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erta" state="visible" r:id="rId4"/>
  </sheets>
  <calcPr calcId="171027"/>
</workbook>
</file>

<file path=xl/sharedStrings.xml><?xml version="1.0" encoding="utf-8"?>
<sst xmlns="http://schemas.openxmlformats.org/spreadsheetml/2006/main" count="39025" uniqueCount="21223">
  <si>
    <t>Fecha de Descarga</t>
  </si>
  <si>
    <t>11/05/2026</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</si>
  <si>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</si>
  <si>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</si>
  <si>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</si>
  <si>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</si>
  <si>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</si>
  <si>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</si>
  <si>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</si>
  <si>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</si>
  <si>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</si>
  <si>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</si>
  <si>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</si>
  <si>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</si>
  <si>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</si>
  <si>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</si>
  <si>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</si>
  <si>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</si>
  <si>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</si>
  <si>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</si>
  <si>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</si>
  <si>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</si>
  <si>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</si>
  <si>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</si>
  <si>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</si>
  <si>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</si>
  <si>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</si>
  <si>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96911</t>
  </si>
  <si>
    <t>0183122050</t>
  </si>
  <si>
    <t>CRED MONASTERIO AUTOVIA</t>
  </si>
  <si>
    <t>BADAJOZ</t>
  </si>
  <si>
    <t>MONESTERIO</t>
  </si>
  <si>
    <t>EXTREMADURA</t>
  </si>
  <si>
    <t>CR A-66 P.K. 727 MI</t>
  </si>
  <si>
    <t>-6.220556, 38.029444</t>
  </si>
  <si>
    <t>06260</t>
  </si>
  <si>
    <t>IZ</t>
  </si>
  <si>
    <t>L-D: 24H</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</si>
  <si>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</si>
  <si>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</si>
  <si>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96393</t>
  </si>
  <si>
    <t>0183108489</t>
  </si>
  <si>
    <t>CRED CHUCENA NORTE</t>
  </si>
  <si>
    <t>HUELVA</t>
  </si>
  <si>
    <t>CHUCENA</t>
  </si>
  <si>
    <t>ANDALUCIA</t>
  </si>
  <si>
    <t>CR A-49, 37</t>
  </si>
  <si>
    <t>-6.423194, 37.348278</t>
  </si>
  <si>
    <t>21891</t>
  </si>
  <si>
    <t>DE</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</si>
  <si>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</si>
  <si>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</si>
  <si>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96394</t>
  </si>
  <si>
    <t>0183108471</t>
  </si>
  <si>
    <t>CRED CHUCENA SUR</t>
  </si>
  <si>
    <t>-6.423194, 37.346861</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</si>
  <si>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</si>
  <si>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</si>
  <si>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13023</t>
  </si>
  <si>
    <t>0183061548</t>
  </si>
  <si>
    <t>CRED. ESTEPA M.D.</t>
  </si>
  <si>
    <t>SEVILLA</t>
  </si>
  <si>
    <t>ESTEPA</t>
  </si>
  <si>
    <t>CR A-92, 105,2</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</si>
  <si>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</si>
  <si>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</si>
  <si>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</si>
  <si>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</si>
  <si>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</si>
  <si>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96941</t>
  </si>
  <si>
    <t>0183121409</t>
  </si>
  <si>
    <t>CRED DUEÑAS IZQ</t>
  </si>
  <si>
    <t>PALENCIA</t>
  </si>
  <si>
    <t>DUEÑAS</t>
  </si>
  <si>
    <t>CASTILLA LEON</t>
  </si>
  <si>
    <t>CR A-62, KM. 88,9 M. IZQ</t>
  </si>
  <si>
    <t>-4.512583, 41.911889</t>
  </si>
  <si>
    <t>34210</t>
  </si>
  <si>
    <t>EFITEC 95 N - España, EFITEC 98 N - España, Butano 12,5 Kg, DIESEL E+ NEO - España, DIESEL NEXA 100% RENOVABLE - Esp, Propano 11 Kg, BLUE+GRANEL - España, Autogás</t>
  </si>
  <si>
    <t>Restaurante, Cafetería/Bar, Parking turismos, Parking camiones, Box presión, Duchas, Aspiradores, Waylet pago en surtidor, Waylet pago en caja, Punto recarga eléctrico Repsol</t>
  </si>
  <si>
    <t>12079</t>
  </si>
  <si>
    <t>0183058551</t>
  </si>
  <si>
    <t>CRED CAMPO REAL</t>
  </si>
  <si>
    <t>MADRID</t>
  </si>
  <si>
    <t>CAMPO REAL</t>
  </si>
  <si>
    <t>CR CM-209, 4</t>
  </si>
  <si>
    <t>-3.403472, 40.331278</t>
  </si>
  <si>
    <t>28510</t>
  </si>
  <si>
    <t>L-D: 06:00-22:00</t>
  </si>
  <si>
    <t>EFITEC 95 N - España, EFITEC 98 N - España, Butano 12,5 Kg, DIESEL E+ NEO - España, Diésel e+5, DIESEL NEXA 100% RENOVABLE - Esp, Butano 6 Kg (K6), Propano 11 Kg</t>
  </si>
  <si>
    <t>Lavado cepillos, Parking turismos, Parking camiones, Zona de descanso, Box presión, Aspiradores, Solred cheque lavado, Waylet pago en surtidor, Waylet pago en caja, Adblue Envasado, Punto recarga eléctrico Repsol, Lavados Klin</t>
  </si>
  <si>
    <t>05627</t>
  </si>
  <si>
    <t>0183013044</t>
  </si>
  <si>
    <t>CRED SUCRE</t>
  </si>
  <si>
    <t>BARCELONA</t>
  </si>
  <si>
    <t>VIC</t>
  </si>
  <si>
    <t>CATALUÑA</t>
  </si>
  <si>
    <t>CR N-152, 67,7 M. DCHO</t>
  </si>
  <si>
    <t>2.245583, 41.928111</t>
  </si>
  <si>
    <t>08500</t>
  </si>
  <si>
    <t>DE-IZ</t>
  </si>
  <si>
    <t>EFITEC 95 N - España, EFITEC 98 N - España, Butano 12,5 Kg, DIESEL E+ NEO - España, Diésel e+5, DIESEL NEXA 100% RENOVABLE - Esp, Butano 6 Kg (K6), Propano 11 Kg, Autogás</t>
  </si>
  <si>
    <t>Waylet pago en surtidor, Waylet pago en caja, Punto recarga eléctrico Repsol</t>
  </si>
  <si>
    <t>96808</t>
  </si>
  <si>
    <t>0183115385</t>
  </si>
  <si>
    <t>CRED ESPINARDO M.I. AGRUP</t>
  </si>
  <si>
    <t>MURCIA</t>
  </si>
  <si>
    <t>ESPINARDO A</t>
  </si>
  <si>
    <t>CR  N-301 DESVIO ESPINARDO , P.K. 3</t>
  </si>
  <si>
    <t>-1.1445, 38.005556</t>
  </si>
  <si>
    <t>30100</t>
  </si>
  <si>
    <t>DIESEL E+ NEO - España</t>
  </si>
  <si>
    <t>Waylet pago en surtidor, Waylet pago en caja</t>
  </si>
  <si>
    <t>97084</t>
  </si>
  <si>
    <t>0183132869</t>
  </si>
  <si>
    <t>CRED BERANGO</t>
  </si>
  <si>
    <t>BIZKAIA</t>
  </si>
  <si>
    <t>BERANGO</t>
  </si>
  <si>
    <t>PAIS VASCO</t>
  </si>
  <si>
    <t>Polígono Landaida Goikoa Sector 3 P</t>
  </si>
  <si>
    <t>-2.996639, 43.372528</t>
  </si>
  <si>
    <t>48640</t>
  </si>
  <si>
    <t>L-D: 07:00-22:00</t>
  </si>
  <si>
    <t>EFITEC 95 N - España, Efitec 95 Premium, EFITEC 98 N - España, Butano 12,5 Kg, DIESEL E+ NEO - España, DIESEL NEXA 100% RENOVABLE - Esp, Butano 6 Kg (K6), Propano 11 Kg, Autogás, Butano 12 Kg (NEL)</t>
  </si>
  <si>
    <t>Cafetería/Bar, Lavado cepillos, Parking turismos, Box presión, Aspiradores, Solred cheque lavado, Waylet pago en surtidor, Waylet pago en caja, Adblue Envasado, Punto recarga eléctrico Repsol, Lavados Klin</t>
  </si>
  <si>
    <t>33223</t>
  </si>
  <si>
    <t>0183015858</t>
  </si>
  <si>
    <t>CRED MONTEALEGRE</t>
  </si>
  <si>
    <t>CÁDIZ</t>
  </si>
  <si>
    <t>JEREZ DE LA FRONTERA</t>
  </si>
  <si>
    <t>CR C-440, 2</t>
  </si>
  <si>
    <t>-6.121944, 36.671111</t>
  </si>
  <si>
    <t>11406</t>
  </si>
  <si>
    <t>EFITEC 95 N - España, Efitec 95 Premium, EFITEC 98 N - España, DIESEL E+ NEO - España, Diésel e+5, DIESEL E+10 NEO - España, Butano 12 Kg (NEL)</t>
  </si>
  <si>
    <t>Cafetería/Bar, Lavado cepillos, Box presión, Aspiradores, Solred cheque lavado, Waylet pago en surtidor, Waylet pago en caja, Adblue Envasado, Punto recarga eléctrico Repsol, Lavados Klin</t>
  </si>
  <si>
    <t>13494</t>
  </si>
  <si>
    <t>0183136209</t>
  </si>
  <si>
    <t>CRED SALNES</t>
  </si>
  <si>
    <t>PONTEVEDRA</t>
  </si>
  <si>
    <t>PORTAS</t>
  </si>
  <si>
    <t>GALICIA</t>
  </si>
  <si>
    <t>AUTOPISTA A-9, KM 114</t>
  </si>
  <si>
    <t>-8.671833, 42.5625</t>
  </si>
  <si>
    <t>36658</t>
  </si>
  <si>
    <t>EFITEC 95 N - España, EFITEC 98 N - España, DIESEL E+ NEO - España, DIESEL E+10 NEO - España, BLUE+GRANEL - España</t>
  </si>
  <si>
    <t>34358</t>
  </si>
  <si>
    <t>0183000405</t>
  </si>
  <si>
    <t>CRED C.T.M.</t>
  </si>
  <si>
    <t>CR M-301  VILLAVERDE-VALLECAS, 3,5</t>
  </si>
  <si>
    <t>-3.655667, 40.366333</t>
  </si>
  <si>
    <t>28053</t>
  </si>
  <si>
    <t>Waylet pago en surtidor, Waylet pago en caja, Adblue Envasado, Punto recarga eléctrico Repsol</t>
  </si>
  <si>
    <t>05512</t>
  </si>
  <si>
    <t>0183014604</t>
  </si>
  <si>
    <t>CRED CAMPOS</t>
  </si>
  <si>
    <t>ILLES BALEARS</t>
  </si>
  <si>
    <t>CAMPOS DEL PUERTO</t>
  </si>
  <si>
    <t>BALEARES</t>
  </si>
  <si>
    <t>CR C-717, 38</t>
  </si>
  <si>
    <t>3.02425, 39.426361</t>
  </si>
  <si>
    <t>07630</t>
  </si>
  <si>
    <t>L-S: 06:00-22:30; D: 07:00-22:30</t>
  </si>
  <si>
    <t>EFITEC 95 N - España, EFITEC 98 N - España, DIESEL E+ NEO - España, DIESEL NEXA 100% RENOVABLE - Esp, GO-B BONIF - España, Butano 6 Kg (K6)</t>
  </si>
  <si>
    <t>33935</t>
  </si>
  <si>
    <t>0183008911</t>
  </si>
  <si>
    <t>CRED AZUQUECA</t>
  </si>
  <si>
    <t>GUADALAJARA</t>
  </si>
  <si>
    <t>AZUQUECA DE HENARES</t>
  </si>
  <si>
    <t>CASTILLA LA MANCHA</t>
  </si>
  <si>
    <t>CR N-320  289,7 D</t>
  </si>
  <si>
    <t>-3.260306, 40.575111</t>
  </si>
  <si>
    <t>19200</t>
  </si>
  <si>
    <t>EFITEC 95 N - España, EFITEC 98 N - España, DIESEL E+ NEO - España, DIESEL NEXA 100% RENOVABLE - Esp</t>
  </si>
  <si>
    <t>Restaurante, Cafetería/Bar, Taller mecánico, Parking turismos, Waylet pago en surtidor, Waylet pago en caja, Punto recarga eléctrico Repsol</t>
  </si>
  <si>
    <t>12653</t>
  </si>
  <si>
    <t>0183061480</t>
  </si>
  <si>
    <t>CRED RAMIRO</t>
  </si>
  <si>
    <t>VALLADOLID</t>
  </si>
  <si>
    <t>MEDINA DEL CAMPO</t>
  </si>
  <si>
    <t>CR A-6 P.K. 154,10 D</t>
  </si>
  <si>
    <t>-4.887778, 41.275306</t>
  </si>
  <si>
    <t>47400</t>
  </si>
  <si>
    <t>EFITEC 95 N - España, EFITEC 98 N - España, Butano 12,5 Kg, DIESEL E+ NEO - España, DIESEL E+10 NEO - España, BLUE+GRANEL - España</t>
  </si>
  <si>
    <t>Restaurante, Cafetería/Bar, Parking turismos, Parking camiones, Duchas, Waylet pago en surtidor, Waylet pago en caja, Punto recarga eléctrico Repsol</t>
  </si>
  <si>
    <t>96746</t>
  </si>
  <si>
    <t>0183116607</t>
  </si>
  <si>
    <t>CRED AREA Sº PONFERRADA M.D.</t>
  </si>
  <si>
    <t>LEÓN</t>
  </si>
  <si>
    <t>PONFERRADA</t>
  </si>
  <si>
    <t>CR  A-6 , P.K. 390,3  M.D.</t>
  </si>
  <si>
    <t>-6.625778, 42.584417</t>
  </si>
  <si>
    <t>24400</t>
  </si>
  <si>
    <t>EFITEC 95 N - España, EFITEC 98 N - España, Butano 12,5 Kg, DIESEL E+ NEO - España, DIESEL NEXA 100% RENOVABLE - Esp, BLUE+GRANEL - España, Autogás</t>
  </si>
  <si>
    <t>Rest. Autoservicio, Restaurante, Cafetería/Bar, Parking turismos, Parking camiones, Box presión, Duchas, Aspiradores, Waylet pago en surtidor, Waylet pago en caja</t>
  </si>
  <si>
    <t>04696</t>
  </si>
  <si>
    <t>0183051044</t>
  </si>
  <si>
    <t>CRED SESEÑA M.DCHO</t>
  </si>
  <si>
    <t>TOLEDO</t>
  </si>
  <si>
    <t>SESEÑA</t>
  </si>
  <si>
    <t>CR A-4, 36,5 M.DCHO</t>
  </si>
  <si>
    <t>-3.645056, 40.105139</t>
  </si>
  <si>
    <t>45223</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</si>
  <si>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</si>
  <si>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</si>
  <si>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31083</t>
  </si>
  <si>
    <t>0183100130</t>
  </si>
  <si>
    <t>CRED NIGRAN</t>
  </si>
  <si>
    <t>PRIEGUE NIGRAN</t>
  </si>
  <si>
    <t>CR PO-552 ,P.K. 7,400</t>
  </si>
  <si>
    <t>-8.801444, 42.162306</t>
  </si>
  <si>
    <t>36391</t>
  </si>
  <si>
    <t>L-D: 07:00-23:00</t>
  </si>
  <si>
    <t>EFITEC 95 N - España, EFITEC 98 N - España, DIESEL E+ NEO - España, Diésel e+5, DIESEL E+10 NEO - España, Propano 11 Kg, Butano 12 Kg (NEL)</t>
  </si>
  <si>
    <t>Cafetería/Bar, Waylet pago en surtidor, Waylet pago en caja, Adblue Envasado, Punto recarga eléctrico Repsol</t>
  </si>
  <si>
    <t>33074</t>
  </si>
  <si>
    <t>0183000090</t>
  </si>
  <si>
    <t>CRED ESTEPONA</t>
  </si>
  <si>
    <t>MÁLAGA</t>
  </si>
  <si>
    <t>ESTEPONA</t>
  </si>
  <si>
    <t>A7  KM 1058,7</t>
  </si>
  <si>
    <t>-5.038861, 36.463611</t>
  </si>
  <si>
    <t>29680</t>
  </si>
  <si>
    <t>EFITEC 95 N - España, Efitec 95 Premium, EFITEC 98 N - España, DIESEL E+ NEO - España, Diésel e+5, DIESEL NEXA 100% RENOVABLE - Esp, Butano 6 Kg (K6), BLUE+GRANEL - España, Autogás, Butano 12 Kg (NEL)</t>
  </si>
  <si>
    <t>96236</t>
  </si>
  <si>
    <t>0183077452</t>
  </si>
  <si>
    <t>CRED ZAFRA DE ZÁNCARA</t>
  </si>
  <si>
    <t>CUENCA</t>
  </si>
  <si>
    <t>ZAFRA DE ZANCARA</t>
  </si>
  <si>
    <t>CR N-3, 121,3</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</si>
  <si>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</si>
  <si>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</si>
  <si>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</si>
  <si>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</si>
  <si>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04289</t>
  </si>
  <si>
    <t>0183051382</t>
  </si>
  <si>
    <t>CRED CUBELLES</t>
  </si>
  <si>
    <t>CUBELLES</t>
  </si>
  <si>
    <t>CR C-31, 148,50</t>
  </si>
  <si>
    <t>1.672139, 41.206972</t>
  </si>
  <si>
    <t>08880</t>
  </si>
  <si>
    <t>EFITEC 95 N - España, EFITEC 98 N - España, Butano 12,5 Kg, DIESEL E+ NEO - España, DIESEL E+10 NEO - España, Butano 12 Kg (NEL)</t>
  </si>
  <si>
    <t>31263</t>
  </si>
  <si>
    <t>0183110659</t>
  </si>
  <si>
    <t>CRED AMOREBIETA A-8 M.D.</t>
  </si>
  <si>
    <t>AMOREBIETA-AUTOPISTA</t>
  </si>
  <si>
    <t>CR A-8  BILBAO BEHOBIA P.K. 99,7</t>
  </si>
  <si>
    <t>-2.756306, 43.231556</t>
  </si>
  <si>
    <t>48340</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</si>
  <si>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</si>
  <si>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</si>
  <si>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34326</t>
  </si>
  <si>
    <t>0183003557</t>
  </si>
  <si>
    <t>CRED BAIX EBRE</t>
  </si>
  <si>
    <t>TARRAGONA</t>
  </si>
  <si>
    <t>TORTOSA</t>
  </si>
  <si>
    <t>CL AVENIDA GENERALITAT, 152</t>
  </si>
  <si>
    <t>0.519972, 40.799972</t>
  </si>
  <si>
    <t>43500</t>
  </si>
  <si>
    <t>EFITEC 95 N - España, EFITEC 98 N - España, DIESEL E+ NEO - España, DIESEL NEXA 100% RENOVABLE - Esp, Butano 12 Kg (NEL)</t>
  </si>
  <si>
    <t>11400</t>
  </si>
  <si>
    <t>0183051580</t>
  </si>
  <si>
    <t>CRED O GROVE - M.IZQ.</t>
  </si>
  <si>
    <t>GROVE, O</t>
  </si>
  <si>
    <t>CR PO-316 ,P.K. 3,3</t>
  </si>
  <si>
    <t>-8.862167, 42.472194</t>
  </si>
  <si>
    <t>36980</t>
  </si>
  <si>
    <t>EFITEC 95 N - España, EFITEC 98 N - España, Butano 12,5 Kg, DIESEL E+ NEO - España, DIESEL E+10 NEO - España, Butano 6 Kg (K6), Propano 11 Kg, Butano 12 Kg (NEL)</t>
  </si>
  <si>
    <t>Lavado cepillos, Parking turismos, Box presión, Waylet pago en surtidor, Waylet pago en caja, Lavados Klin</t>
  </si>
  <si>
    <t>96687</t>
  </si>
  <si>
    <t>0183113208</t>
  </si>
  <si>
    <t>CRED INTELHORCE</t>
  </si>
  <si>
    <t>MALAGA</t>
  </si>
  <si>
    <t>CL CONCEPCION ARENAL ,S.N. (ESQ.CR</t>
  </si>
  <si>
    <t>-4.482944, 36.690444</t>
  </si>
  <si>
    <t>29006</t>
  </si>
  <si>
    <t>EFITEC 95 N - España, EFITEC 98 N - España, DIESEL E+ NEO - España, DIESEL NEXA 100% RENOVABLE - Esp, BLUE+GRANEL - España, Autogás, Butano 12 Kg (NEL)</t>
  </si>
  <si>
    <t>Cafetería/Bar, Parking turismos, Box presión, Aspiradores, Waylet pago en surtidor, Waylet pago en caja, Punto recarga eléctrico Repsol, Lavados Klin</t>
  </si>
  <si>
    <t>34504</t>
  </si>
  <si>
    <t>0183000462</t>
  </si>
  <si>
    <t>CRED BERGARA</t>
  </si>
  <si>
    <t>GIPUZKOA</t>
  </si>
  <si>
    <t>BERGARA</t>
  </si>
  <si>
    <t>CL AMILLAGA, 17</t>
  </si>
  <si>
    <t>-2.423889, 43.125833</t>
  </si>
  <si>
    <t>20570</t>
  </si>
  <si>
    <t>EFITEC 95 N - España, EFITEC 98 N - España, DIESEL E+ NEO - España, Diésel e+5, DIESEL NEXA 100% RENOVABLE - Esp, Butano 6 Kg (K6), BLUE+GRANEL - España</t>
  </si>
  <si>
    <t>Lavado cepillos, Box presión, Aspiradores, Solred cheque lavado, Waylet pago en surtidor, Waylet pago en caja, Adblue Envasado, Punto recarga eléctrico Repsol, Lavados Klin</t>
  </si>
  <si>
    <t>34401</t>
  </si>
  <si>
    <t>0183000413</t>
  </si>
  <si>
    <t>CRED ALCORISA</t>
  </si>
  <si>
    <t>TERUEL</t>
  </si>
  <si>
    <t>ALCORISA</t>
  </si>
  <si>
    <t>ARAGON</t>
  </si>
  <si>
    <t>CR N-211, 212,5</t>
  </si>
  <si>
    <t>-0.377333, 40.894278</t>
  </si>
  <si>
    <t>44550</t>
  </si>
  <si>
    <t>EFITEC 95 N - España, EFITEC 98 N - España, Butano 12,5 Kg, DIESEL E+ NEO - España, DIESEL NEXA 100% RENOVABLE - Esp, GO-B BONIF - España, Propano 11 Kg, Butano 12 Kg (NEL)</t>
  </si>
  <si>
    <t>Lavado cepillos, Parking turismos, Box presión, Aspiradores, Solred cheque lavado, Waylet pago en surtidor, Waylet pago en caja, Adblue Envasado, Punto recarga eléctrico Repsol, Lavados Klin</t>
  </si>
  <si>
    <t>07270</t>
  </si>
  <si>
    <t>0183012673</t>
  </si>
  <si>
    <t>CRED MORATALAZ</t>
  </si>
  <si>
    <t>CL GL.CORREGIDOR SANCHO DE CORD, S.</t>
  </si>
  <si>
    <t>-3.652028, 40.407389</t>
  </si>
  <si>
    <t>28030</t>
  </si>
  <si>
    <t>33268</t>
  </si>
  <si>
    <t>0183052885</t>
  </si>
  <si>
    <t>CRED BENAVENTE</t>
  </si>
  <si>
    <t>ZAMORA</t>
  </si>
  <si>
    <t>BENAVENTE</t>
  </si>
  <si>
    <t>CR N-6, 260,5  I</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</si>
  <si>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</si>
  <si>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</si>
  <si>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</si>
  <si>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</si>
  <si>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31194</t>
  </si>
  <si>
    <t>0183008309</t>
  </si>
  <si>
    <t>CRED. CAN ROSA</t>
  </si>
  <si>
    <t>MOLLET DEL VALES</t>
  </si>
  <si>
    <t>CL BOSC, S.N.</t>
  </si>
  <si>
    <t>2.222167, 41.547861</t>
  </si>
  <si>
    <t>08100</t>
  </si>
  <si>
    <t>EFITEC 95 N - España, EFITEC 98 N - España, Butano 12,5 Kg, DIESEL E+ NEO - España, DIESEL E+10 NEO - España, Propano 11 Kg, BLUE+GRANEL - España</t>
  </si>
  <si>
    <t>Lavado cepillos, Aspiradores, Solred cheque lavado, Waylet pago en surtidor, Waylet pago en caja, Adblue Envasado, Punto recarga eléctrico Repsol, Recarga eléctrica</t>
  </si>
  <si>
    <t>33939</t>
  </si>
  <si>
    <t>0183013291</t>
  </si>
  <si>
    <t>CRED LA MANGA</t>
  </si>
  <si>
    <t>MANGA, LA -SUR</t>
  </si>
  <si>
    <t>CL AV. GRAN VIA -MANGA MAR MENO, S.</t>
  </si>
  <si>
    <t>-0.730861, 37.6735</t>
  </si>
  <si>
    <t>30370</t>
  </si>
  <si>
    <t>EFITEC 95 N - España, Efitec 95 Premium, EFITEC 98 N - España, DIESEL E+ NEO - España, Diésel e+5, DIESEL NEXA 100% RENOVABLE - Esp, Butano 6 Kg (K6), Propano 11 Kg, Butano 12 Kg (NEL)</t>
  </si>
  <si>
    <t>Lavado cepillos, Solred cheque lavado, Waylet pago en surtidor, Waylet pago en caja, Punto recarga eléctrico Repsol, Lavados Klin</t>
  </si>
  <si>
    <t>96245</t>
  </si>
  <si>
    <t>0183079441</t>
  </si>
  <si>
    <t>E.S. HEVAGO,S.A.</t>
  </si>
  <si>
    <t>REDONDELA</t>
  </si>
  <si>
    <t>CL AVENIDA DE SANTA MARINA, S.N.</t>
  </si>
  <si>
    <t>-8.607722, 42.290361</t>
  </si>
  <si>
    <t>36800</t>
  </si>
  <si>
    <t>L-D: 07:00-00:00</t>
  </si>
  <si>
    <t>Parking turismos, Box presión, Waylet pago en caja</t>
  </si>
  <si>
    <t>96222</t>
  </si>
  <si>
    <t>0183076025</t>
  </si>
  <si>
    <t>E.S. STA. LUCIA</t>
  </si>
  <si>
    <t>A CORUÑA</t>
  </si>
  <si>
    <t>EIXO</t>
  </si>
  <si>
    <t>CR N-525, 336,4</t>
  </si>
  <si>
    <t>-8.522611, 42.84325</t>
  </si>
  <si>
    <t>15893</t>
  </si>
  <si>
    <t>EFITEC 95 N - España, EFITEC 98 N - España, Butano 12,5 Kg, DIESEL E+ NEO - España, DIESEL E+10 NEO - España, Butano 6 Kg (K6), Propano 11 Kg, BLUE+GRANEL - España</t>
  </si>
  <si>
    <t>Restaurante, Cafetería/Bar, Lavado cepillos, Parking turismos, Box presión, Aspiradores, Solred cheque lavado, Lavandería, Waylet pago en caja</t>
  </si>
  <si>
    <t>03441</t>
  </si>
  <si>
    <t>0183131424</t>
  </si>
  <si>
    <t>CRED ALASKA MALAGA</t>
  </si>
  <si>
    <t>C/ HEROES DE SOSTOA, 147</t>
  </si>
  <si>
    <t>-4.442694, 36.702194</t>
  </si>
  <si>
    <t>29003</t>
  </si>
  <si>
    <t>L-D: 06:00-00:00</t>
  </si>
  <si>
    <t>Lavado cepillos, Box presión, Aspiradores, Lavandería, Waylet pago en surtidor, Waylet pago en caja, Adblue Envasado, Punto recarga eléctrico Repsol, Lavados Klin</t>
  </si>
  <si>
    <t>96226</t>
  </si>
  <si>
    <t>0183076611</t>
  </si>
  <si>
    <t>CRED COLLADO II</t>
  </si>
  <si>
    <t>COLLADO VILLALBA</t>
  </si>
  <si>
    <t>CR M-601, 1,3</t>
  </si>
  <si>
    <t>-4.007472, 40.648778</t>
  </si>
  <si>
    <t>28400</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</si>
  <si>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</si>
  <si>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</si>
  <si>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33383</t>
  </si>
  <si>
    <t>0063212369</t>
  </si>
  <si>
    <t>CRED ALTAFULLA</t>
  </si>
  <si>
    <t>CR N-340, 1173</t>
  </si>
  <si>
    <t>1.365667, 41.139889</t>
  </si>
  <si>
    <t>43007</t>
  </si>
  <si>
    <t>EFITEC 95 N - España, EFITEC 98 N - España, Butano 12,5 Kg, DIESEL E+ NEO - España, DIESEL NEXA 100% RENOVABLE - Esp, Butano 6 Kg (K6), Propano 11 Kg, BLUE+GRANEL - España, Autogás, Butano 12 Kg (NEL)</t>
  </si>
  <si>
    <t>Rest. Autoservicio, Restaurante, Cafetería/Bar, Parking turismos, Parking camiones, Zona de descanso, Lavandería, Waylet pago en surtidor, Waylet pago en caja, Punto recarga eléctrico Repsol</t>
  </si>
  <si>
    <t>97131</t>
  </si>
  <si>
    <t>0183132489</t>
  </si>
  <si>
    <t>CRED BERA MI</t>
  </si>
  <si>
    <t>NAVARRA</t>
  </si>
  <si>
    <t>BERA</t>
  </si>
  <si>
    <t>CRTA N-121 A    KM 66  MI</t>
  </si>
  <si>
    <t>-1.710056, 43.278278</t>
  </si>
  <si>
    <t>31780</t>
  </si>
  <si>
    <t>EFITEC 95 N - España, DIESEL E+ NEO - España, GO-B BONIF - España, BLUE+GRANEL - España</t>
  </si>
  <si>
    <t>Duchas, Waylet pago en surtidor, Waylet pago en caja</t>
  </si>
  <si>
    <t>96307</t>
  </si>
  <si>
    <t>0183101732</t>
  </si>
  <si>
    <t>CRED TOLOSA</t>
  </si>
  <si>
    <t>TOLOSA - C.RED</t>
  </si>
  <si>
    <t>CR N-1, 432,5</t>
  </si>
  <si>
    <t>-2.0925, 43.116917</t>
  </si>
  <si>
    <t>20400</t>
  </si>
  <si>
    <t>EFITEC 95 N - España, DIESEL E+ NEO - España, GO-B BONIF - España, Butano 6 Kg (K6), BLUE+GRANEL - España, Autogás</t>
  </si>
  <si>
    <t>Restaurante, Cafetería/Bar, Parking turismos, Parking camiones, Zona de descanso, Duchas, Waylet pago en surtidor, Waylet pago en caja, Punto recarga eléctrico Repsol</t>
  </si>
  <si>
    <t>12965</t>
  </si>
  <si>
    <t>0183076009</t>
  </si>
  <si>
    <t>CRED EL PLÁ</t>
  </si>
  <si>
    <t>ALICANTE</t>
  </si>
  <si>
    <t>JAVEA</t>
  </si>
  <si>
    <t>VALENCIA</t>
  </si>
  <si>
    <t>CR CV-739 , P.K. 1,5</t>
  </si>
  <si>
    <t>0.179444, 38.781861</t>
  </si>
  <si>
    <t>03730</t>
  </si>
  <si>
    <t>EFITEC 95 N - España, Efitec 95 Premium, EFITEC 98 N - España, DIESEL E+ NEO - España, Diésel e+5, DIESEL E+10 NEO - España, Butano 6 Kg (K6), Propano 11 Kg, BLUE+GRANEL - España, Autogás, Butano 12 Kg (NEL)</t>
  </si>
  <si>
    <t>Cafetería/Bar, Lavado cepillos, Box presión, Aspiradores, Solred cheque lavado, Lavandería, Waylet pago en surtidor, Waylet pago en caja, Lavados Klin</t>
  </si>
  <si>
    <t>13314</t>
  </si>
  <si>
    <t>0183075944</t>
  </si>
  <si>
    <t>CRED COMPROMISO DE CASPE</t>
  </si>
  <si>
    <t>ZARAGOZA</t>
  </si>
  <si>
    <t>AV 3ER CINTURON, S/N</t>
  </si>
  <si>
    <t>-0.857667, 41.644972</t>
  </si>
  <si>
    <t>50002</t>
  </si>
  <si>
    <t>EFITEC 95 N - España, EFITEC 98 N - España, Butano 12,5 Kg, DIESEL E+ NEO - España, DIESEL NEXA 100% RENOVABLE - Esp, Butano 6 Kg (K6)</t>
  </si>
  <si>
    <t>96142</t>
  </si>
  <si>
    <t>0183078781</t>
  </si>
  <si>
    <t>CRED VILLALBA ESTACIÓN</t>
  </si>
  <si>
    <t>CL REAL 2</t>
  </si>
  <si>
    <t>-4.004694, 40.626056</t>
  </si>
  <si>
    <t>EFITEC 95 N - España, EFITEC 98 N - España, DIESEL E+ NEO - España, DIESEL NEXA 100% RENOVABLE - Esp, Butano 6 Kg (K6), Butano 12 Kg (NEL)</t>
  </si>
  <si>
    <t>Cafetería/Bar, Lavado cepillos, Box presión, Aspiradores, Solred cheque lavado, Waylet pago en surtidor, Waylet pago en caja, Punto recarga eléctrico Repsol, Lavados Klin</t>
  </si>
  <si>
    <t>92158</t>
  </si>
  <si>
    <t>0183109594</t>
  </si>
  <si>
    <t>CRED MIJ-ARAN</t>
  </si>
  <si>
    <t>LLEIDA</t>
  </si>
  <si>
    <t>VIELHA</t>
  </si>
  <si>
    <t>CR N-230, 164,1</t>
  </si>
  <si>
    <t>0.797083, 42.711111</t>
  </si>
  <si>
    <t>25530</t>
  </si>
  <si>
    <t>L-X: 07:00-23:00; J-S: 00:00-23:59; D: 07:00-23:00</t>
  </si>
  <si>
    <t>EFITEC 95 N - España, EFITEC 98 N - España, Butano 12,5 Kg, DIESEL E+ NEO - España, Propano 11 Kg, BLUE+GRANEL - España</t>
  </si>
  <si>
    <t>34170</t>
  </si>
  <si>
    <t>0183054071</t>
  </si>
  <si>
    <t>CRED ULLA</t>
  </si>
  <si>
    <t>GIRONA</t>
  </si>
  <si>
    <t>ULLA</t>
  </si>
  <si>
    <t>CR C-31, 350,5</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</si>
  <si>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</si>
  <si>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</si>
  <si>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</si>
  <si>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</si>
  <si>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34197</t>
  </si>
  <si>
    <t>0183013234</t>
  </si>
  <si>
    <t>CRED NÁVIA</t>
  </si>
  <si>
    <t>ASTURIAS</t>
  </si>
  <si>
    <t>NAVIA</t>
  </si>
  <si>
    <t>CL AV DE LOS EMIGRANTES, 34</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</si>
  <si>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</si>
  <si>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</si>
  <si>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</si>
  <si>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</si>
  <si>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34375</t>
  </si>
  <si>
    <t>0183000934</t>
  </si>
  <si>
    <t>ES APARC.Y ESTAC.DE SERV.,SA</t>
  </si>
  <si>
    <t>COSLADA</t>
  </si>
  <si>
    <t>CL AVENIDA JOSE GARATE, 2</t>
  </si>
  <si>
    <t>-3.551972, 40.427028</t>
  </si>
  <si>
    <t>28823</t>
  </si>
  <si>
    <t>Lavado cepillos, Box presión, Aspiradores, Solred cheque lavado, Waylet pago en surtidor, Waylet pago en caja, Adblue Envasado, Punto recarga eléctrico Repsol</t>
  </si>
  <si>
    <t>04549</t>
  </si>
  <si>
    <t>0183051051</t>
  </si>
  <si>
    <t>CRED SAN BLAS</t>
  </si>
  <si>
    <t>CL ALCALA, 510</t>
  </si>
  <si>
    <t>-3.625361, 40.441</t>
  </si>
  <si>
    <t>28027</t>
  </si>
  <si>
    <t>EFITEC 95 N - España, Efitec 95 Premium, EFITEC 98 N - España, DIESEL E+ NEO - España, Diésel e+5, DIESEL NEXA 100% RENOVABLE - Esp, BLUE+GRANEL - España</t>
  </si>
  <si>
    <t>96047</t>
  </si>
  <si>
    <t>0183077833</t>
  </si>
  <si>
    <t>CRED VALDECARPINTEROS</t>
  </si>
  <si>
    <t>SALAMANCA</t>
  </si>
  <si>
    <t>VALDECARPINTEROS</t>
  </si>
  <si>
    <t>CR N-620, 313,3</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</si>
  <si>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</si>
  <si>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</si>
  <si>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</si>
  <si>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</si>
  <si>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96239</t>
  </si>
  <si>
    <t>0183077338</t>
  </si>
  <si>
    <t>CRED EL GOLF</t>
  </si>
  <si>
    <t>SANT LLORENÇ DE HORTONS</t>
  </si>
  <si>
    <t>CR B-224, 20,8</t>
  </si>
  <si>
    <t>1.854667, 41.484778</t>
  </si>
  <si>
    <t>08791</t>
  </si>
  <si>
    <t>L-V: 06:00-22:00; S-D: 07:00-22:00</t>
  </si>
  <si>
    <t>Restaurante, Cafetería/Bar, Parking turismos, Zona de descanso, Aspiradores, Waylet pago en surtidor, Waylet pago en caja, Adblue Envasado</t>
  </si>
  <si>
    <t>05890</t>
  </si>
  <si>
    <t>0183014190</t>
  </si>
  <si>
    <t>CRED TORREPEROGIL</t>
  </si>
  <si>
    <t>JAÉN</t>
  </si>
  <si>
    <t>TORREPEROGIL</t>
  </si>
  <si>
    <t>CR N-322, 154,0</t>
  </si>
  <si>
    <t>-3.295139, 38.035444</t>
  </si>
  <si>
    <t>23320</t>
  </si>
  <si>
    <t>EFITEC 95 N - España, EFITEC 98 N - España, Butano 12,5 Kg, DIESEL E+ NEO - España, DIESEL NEXA 100% RENOVABLE - Esp, GO-B BONIF - España, Propano 11 Kg</t>
  </si>
  <si>
    <t>Lavado cepillos, Aspiradores, Waylet pago en surtidor, Waylet pago en caja, Adblue Envasado</t>
  </si>
  <si>
    <t>12400</t>
  </si>
  <si>
    <t>0183058569</t>
  </si>
  <si>
    <t>CRED FUENLABRADA II DIR MADRID</t>
  </si>
  <si>
    <t>FUENLABRADA</t>
  </si>
  <si>
    <t>CR A-42, 18,7</t>
  </si>
  <si>
    <t>-3.762667, 40.258611</t>
  </si>
  <si>
    <t>28940</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</si>
  <si>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</si>
  <si>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</si>
  <si>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96924</t>
  </si>
  <si>
    <t>0183120351</t>
  </si>
  <si>
    <t>CRED CARBAJOSA DE LA SAGR</t>
  </si>
  <si>
    <t>CARBAJOSA DE LA SAGR</t>
  </si>
  <si>
    <t>POL. IND. MONTALVO</t>
  </si>
  <si>
    <t>-5.655556, 40.939694</t>
  </si>
  <si>
    <t>37188</t>
  </si>
  <si>
    <t>EFITEC 95 N - España, EFITEC 98 N - España, DIESEL E+ NEO - España, DIESEL NEXA 100% RENOVABLE - Esp, Propano 11 Kg, BLUE+GRANEL - España, Autogás</t>
  </si>
  <si>
    <t>Lavado cepillos, Box presión, Aspiradores, Waylet pago en surtidor, Waylet pago en caja, Punto recarga eléctrico Repsol, Lavados Klin</t>
  </si>
  <si>
    <t>05603</t>
  </si>
  <si>
    <t>0183053396</t>
  </si>
  <si>
    <t>ES LOUZANETA</t>
  </si>
  <si>
    <t>LUGO</t>
  </si>
  <si>
    <t>LOUZANETA</t>
  </si>
  <si>
    <t>CR N-540, 2</t>
  </si>
  <si>
    <t>-7.587389, 42.996806</t>
  </si>
  <si>
    <t>27297</t>
  </si>
  <si>
    <t>EFITEC 95 N - España, EFITEC 98 N - España, DIESEL E+ NEO - España, DIESEL E+10 NEO - España, Propano 11 Kg, Butano 12 Kg (NEL)</t>
  </si>
  <si>
    <t>Cafetería/Bar, Parking turismos, Waylet pago en caja</t>
  </si>
  <si>
    <t>95846</t>
  </si>
  <si>
    <t>0183135649</t>
  </si>
  <si>
    <t>CRED. GRANJA DE MORERUELO MD</t>
  </si>
  <si>
    <t>GRANJA DE MORERUELA</t>
  </si>
  <si>
    <t>CARRETERA A-66 km 241</t>
  </si>
  <si>
    <t>-5.748611, 41.813417</t>
  </si>
  <si>
    <t>49740</t>
  </si>
  <si>
    <t>EFITEC 95 N - España, DIESEL E+ NEO - España, BLUE+GRANEL - España</t>
  </si>
  <si>
    <t>34557</t>
  </si>
  <si>
    <t>0183053065</t>
  </si>
  <si>
    <t>CRED PARLA</t>
  </si>
  <si>
    <t>PARLA</t>
  </si>
  <si>
    <t>CL REAL, S.N.</t>
  </si>
  <si>
    <t>-3.776083, 40.230861</t>
  </si>
  <si>
    <t>28980</t>
  </si>
  <si>
    <t>EFITEC 95 N - España, Butano 12,5 Kg, DIESEL E+ NEO - España, DIESEL NEXA 100% RENOVABLE - Esp, Butano 6 Kg (K6), Propano 11 Kg</t>
  </si>
  <si>
    <t>Lavado cepillos, Box presión, Aspiradores, Solred cheque lavado, Waylet pago en surtidor, Waylet pago en caja, Punto recarga eléctrico Repsol, Lavados Klin</t>
  </si>
  <si>
    <t>06172</t>
  </si>
  <si>
    <t>0183014463</t>
  </si>
  <si>
    <t>CRED U.S. LUANCO</t>
  </si>
  <si>
    <t>SANTA EULALIA DE NEMBRO</t>
  </si>
  <si>
    <t>CR AS-238, 11,1</t>
  </si>
  <si>
    <t>-5.814278, 43.608194</t>
  </si>
  <si>
    <t>33449</t>
  </si>
  <si>
    <t>EFITEC 95 N - España, DIESEL E+ NEO - España, DIESEL E+10 NEO - España, GO-B BONIF - España, Propano 11 Kg, Butano 12 Kg (NEL)</t>
  </si>
  <si>
    <t>Cafetería/Bar, Parking turismos, Waylet pago en surtidor, Waylet pago en caja, Adblue Envasado</t>
  </si>
  <si>
    <t>33248</t>
  </si>
  <si>
    <t>0063212609</t>
  </si>
  <si>
    <t>CRED LLIRIA</t>
  </si>
  <si>
    <t>LLIRIA</t>
  </si>
  <si>
    <t>CL LLANO DEL ARCO, 123</t>
  </si>
  <si>
    <t>-0.590083, 39.635694</t>
  </si>
  <si>
    <t>46160</t>
  </si>
  <si>
    <t>L-S: 06:00-22:00; D: 07:00-22:00</t>
  </si>
  <si>
    <t>EFITEC 95 N - España, EFITEC 98 N - España, DIESEL E+ NEO - España, DIESEL E+10 NEO - España, Butano 6 Kg (K6), BLUE+GRANEL - España, Butano 12 Kg (NEL)</t>
  </si>
  <si>
    <t>15882</t>
  </si>
  <si>
    <t>0008375891</t>
  </si>
  <si>
    <t>CRED CALLE LEGALITAT</t>
  </si>
  <si>
    <t>CL LEGALIDAD, 59</t>
  </si>
  <si>
    <t>2.161778, 41.408722</t>
  </si>
  <si>
    <t>08024</t>
  </si>
  <si>
    <t>EFITEC 95 N - España, Efitec 95 Premium, EFITEC 98 N - España, DIESEL E+ NEO - España, DIESEL NEXA 100% RENOVABLE - Esp</t>
  </si>
  <si>
    <t>Waylet pago en surtidor, Waylet pago en caja, Adblue Envasado</t>
  </si>
  <si>
    <t>96089</t>
  </si>
  <si>
    <t>0183079813</t>
  </si>
  <si>
    <t>CRED RABASA</t>
  </si>
  <si>
    <t>CL AVDA. DE LA UNIVERSIDAD, S.N.</t>
  </si>
  <si>
    <t>-0.508861, 38.376194</t>
  </si>
  <si>
    <t>03009</t>
  </si>
  <si>
    <t>EFITEC 95 N - España, EFITEC 98 N - España, DIESEL E+ NEO - España, DIESEL NEXA 100% RENOVABLE - Esp, Butano 6 Kg (K6), Propano 11 Kg, BLUE+GRANEL - España, Autogás, Butano 12 Kg (NEL)</t>
  </si>
  <si>
    <t>Cafetería/Bar, Taller mecánico, Taller neumáticos, Lavado cepillos, Lavado camiones, Parking turismos, Zona de descanso, Box presión, Aspiradores, Solred cheque lavado, Waylet pago en surtidor, Waylet pago en caja, Punto recarga eléctrico Repsol, Lavados Klin</t>
  </si>
  <si>
    <t>11158</t>
  </si>
  <si>
    <t>0183012202</t>
  </si>
  <si>
    <t>E.S .HERMIOIL,S.L.</t>
  </si>
  <si>
    <t>ÁVILA</t>
  </si>
  <si>
    <t>BURGOHONDO</t>
  </si>
  <si>
    <t>CR AV-902, 1,2</t>
  </si>
  <si>
    <t>-4.77475, 40.411778</t>
  </si>
  <si>
    <t>05113</t>
  </si>
  <si>
    <t>L-D: 08:00-20:30</t>
  </si>
  <si>
    <t>EFITEC 95 N - España, DIESEL E+ NEO - España, DIESEL E+10 NEO - España, GO-B BONIF - España</t>
  </si>
  <si>
    <t>Cafetería/Bar, Parking turismos, Box presión, Waylet pago en caja</t>
  </si>
  <si>
    <t>34415</t>
  </si>
  <si>
    <t>0040139115</t>
  </si>
  <si>
    <t>E.S. OT MEDITERRANI,SL</t>
  </si>
  <si>
    <t>SOLIVELLA</t>
  </si>
  <si>
    <t>CR C-14, 45</t>
  </si>
  <si>
    <t>1.178556, 41.457917</t>
  </si>
  <si>
    <t>43412</t>
  </si>
  <si>
    <t>L: 06:00-22:00</t>
  </si>
  <si>
    <t>Sin personal/desatendida, Waylet pago en caja</t>
  </si>
  <si>
    <t>05761</t>
  </si>
  <si>
    <t>0183051069</t>
  </si>
  <si>
    <t>CRED ARTURO SORIA</t>
  </si>
  <si>
    <t>CL ARTURO SORIA, 175</t>
  </si>
  <si>
    <t>-3.658278, 40.457306</t>
  </si>
  <si>
    <t>28043</t>
  </si>
  <si>
    <t>EFITEC 95 N - España, Efitec 95 Premium, EFITEC 98 N - España, DIESEL E+ NEO - España, Diésel e+5, DIESEL NEXA 100% RENOVABLE - Esp, Butano 6 Kg (K6), BLUE+GRANEL - España</t>
  </si>
  <si>
    <t>34479</t>
  </si>
  <si>
    <t>0183014448</t>
  </si>
  <si>
    <t>CRED LEGANES MENDIGUICHIA</t>
  </si>
  <si>
    <t>LEGANES</t>
  </si>
  <si>
    <t>AV DR. MENDIGUCHIA CARRICHE, 40</t>
  </si>
  <si>
    <t>-3.773639, 40.333222</t>
  </si>
  <si>
    <t>28913</t>
  </si>
  <si>
    <t>EFITEC 95 N - España, Efitec 95 Premium, EFITEC 98 N - España, DIESEL E+ NEO - España, Diésel e+5, DIESEL NEXA 100% RENOVABLE - Esp</t>
  </si>
  <si>
    <t>Lavado cepillos, Box presión, Solred cheque lavado, Waylet pago en surtidor, Waylet pago en caja, Adblue Envasado, Punto recarga eléctrico Repsol, Lavados Klin</t>
  </si>
  <si>
    <t>05929</t>
  </si>
  <si>
    <t>0183052828</t>
  </si>
  <si>
    <t>RAFAEL RIOS S. L.</t>
  </si>
  <si>
    <t>PUEBLA DE ALCOCER</t>
  </si>
  <si>
    <t>CR C-413, 44</t>
  </si>
  <si>
    <t>-5.252806, 38.993528</t>
  </si>
  <si>
    <t>06630</t>
  </si>
  <si>
    <t>EFITEC 95 N - España, EFITEC 98 N - España, Butano 12,5 Kg, DIESEL E+ NEO - España, DIESEL E+10 NEO - España, GO-B BONIF - España, Propano 11 Kg, BLUE+GRANEL - España</t>
  </si>
  <si>
    <t>Parking turismos, Box presión, Aspiradores, Waylet pago en caja</t>
  </si>
  <si>
    <t>05561</t>
  </si>
  <si>
    <t>0183050400</t>
  </si>
  <si>
    <t>CRED ALOVERA</t>
  </si>
  <si>
    <t>ALOVERA</t>
  </si>
  <si>
    <t>CR A-2, 45,6</t>
  </si>
  <si>
    <t>-3.235778, 40.579667</t>
  </si>
  <si>
    <t>19208</t>
  </si>
  <si>
    <t>EFITEC 95 N - España, EFITEC 98 N - España, Butano 12,5 Kg, DIESEL E+ NEO - España, DIESEL NEXA 100% RENOVABLE - Esp, Butano 6 Kg (K6), Propano 11 Kg, BLUE+GRANEL - España, Butano 12 Kg (NEL)</t>
  </si>
  <si>
    <t>Parking turismos, Parking camiones, Duchas, Waylet pago en surtidor, Waylet pago en caja, Punto recarga eléctrico Repsol</t>
  </si>
  <si>
    <t>96986</t>
  </si>
  <si>
    <t>0183123603</t>
  </si>
  <si>
    <t>CRED LUCENA AUTOPISTA M.I.</t>
  </si>
  <si>
    <t>CÓRDOBA</t>
  </si>
  <si>
    <t>LUCENA</t>
  </si>
  <si>
    <t>Ctra. A-45 p.k. 51,0 MI</t>
  </si>
  <si>
    <t>-4.550639, 37.440417</t>
  </si>
  <si>
    <t>14900</t>
  </si>
  <si>
    <t>EFITEC 95 N - España, EFITEC 98 N - España, DIESEL E+ NEO - España, DIESEL E+10 NEO - España, Autogás</t>
  </si>
  <si>
    <t>Cafetería/Bar, Parking turismos, Parking camiones, Zona de descanso, Waylet pago en surtidor, Waylet pago en caja, Adblue Envasado</t>
  </si>
  <si>
    <t>13068</t>
  </si>
  <si>
    <t>0183075779</t>
  </si>
  <si>
    <t>ES REPSOL TOMARES</t>
  </si>
  <si>
    <t>TOMARES</t>
  </si>
  <si>
    <t>CR SE-617, 3,3</t>
  </si>
  <si>
    <t>-6.060194, 37.377361</t>
  </si>
  <si>
    <t>41940</t>
  </si>
  <si>
    <t>L-D: 06:30-22:30</t>
  </si>
  <si>
    <t>EFITEC 95 N - España, EFITEC 98 N - España, Butano 12,5 Kg, DIESEL E+ NEO - España, DIESEL NEXA 100% RENOVABLE - Esp, Propano 11 Kg, BLUE+GRANEL - España</t>
  </si>
  <si>
    <t>Lavado cepillos, Parking turismos, Box presión, Aspiradores, Waylet pago en caja</t>
  </si>
  <si>
    <t>07234</t>
  </si>
  <si>
    <t>0183053024</t>
  </si>
  <si>
    <t>CRED LOS POTROS</t>
  </si>
  <si>
    <t>CAMPANA, LA</t>
  </si>
  <si>
    <t>CR N-4, 487</t>
  </si>
  <si>
    <t>-5.441361, 37.505306</t>
  </si>
  <si>
    <t>41429</t>
  </si>
  <si>
    <t>07300</t>
  </si>
  <si>
    <t>0183019074</t>
  </si>
  <si>
    <t>CRED MOJACAR MOLINO</t>
  </si>
  <si>
    <t>ALMERÍA</t>
  </si>
  <si>
    <t>MOJACAR</t>
  </si>
  <si>
    <t>CR AL-118, 0,6</t>
  </si>
  <si>
    <t>-1.824028, 37.169056</t>
  </si>
  <si>
    <t>04638</t>
  </si>
  <si>
    <t>EFITEC 95 N - España, Efitec 95 Premium, EFITEC 98 N - España, DIESEL E+ NEO - España, Diésel e+5, DIESEL NEXA 100% RENOVABLE - Esp, Butano 6 Kg (K6), Butano 12 Kg (NEL)</t>
  </si>
  <si>
    <t>Cafetería/Bar, Lavado cepillos, Aspiradores, Solred cheque lavado, Waylet pago en surtidor, Waylet pago en caja, Lavados Klin</t>
  </si>
  <si>
    <t>96541</t>
  </si>
  <si>
    <t>0183107226</t>
  </si>
  <si>
    <t>CRED CASABLANCA NORTE</t>
  </si>
  <si>
    <t>PUEBLA DE ALFINDEN</t>
  </si>
  <si>
    <t>CR A-2, 333,8</t>
  </si>
  <si>
    <t>-0.754694, 41.640639</t>
  </si>
  <si>
    <t>50171</t>
  </si>
  <si>
    <t>EFITEC 95 N - España, Efitec 95 Premium, EFITEC 98 N - España, DIESEL E+ NEO - España, DIESEL NEXA 100% RENOVABLE - Esp, GO-B BONIF - España, BLUE+GRANEL - España, Autogás</t>
  </si>
  <si>
    <t>Restaurante, Cafetería/Bar, Parking turismos, Parking camiones, Waylet pago en surtidor, Waylet pago en caja, Adblue Envasado, Punto recarga eléctrico Repsol</t>
  </si>
  <si>
    <t>31526</t>
  </si>
  <si>
    <t>0183011311</t>
  </si>
  <si>
    <t>E.S. GILMASA S.L.</t>
  </si>
  <si>
    <t>CL AVENIDA ALBUFERA, 319</t>
  </si>
  <si>
    <t>-3.632889, 40.384139</t>
  </si>
  <si>
    <t>28031</t>
  </si>
  <si>
    <t>EFITEC 95 N - España, EFITEC 98 N - España, Butano 12,5 Kg, DIESEL E+ NEO - España, DIESEL E+10 NEO - España, Propano 11 Kg, BLUE+GRANEL - España, Autogás</t>
  </si>
  <si>
    <t>Cafetería/Bar, Lavado cepillos, Parking turismos, Box presión, Aspiradores, Waylet pago en surtidor, Waylet pago en caja, Punto recarga eléctrico Repsol</t>
  </si>
  <si>
    <t>33462</t>
  </si>
  <si>
    <t>0183004860</t>
  </si>
  <si>
    <t>CRED BIDASOA DCHA</t>
  </si>
  <si>
    <t>IRUN</t>
  </si>
  <si>
    <t>CL AVENIDA DE IPARRALDE , 42</t>
  </si>
  <si>
    <t>-1.787028, 43.347278</t>
  </si>
  <si>
    <t>20304</t>
  </si>
  <si>
    <t>EFITEC 95 N - España, EFITEC 98 N - España, DIESEL E+ NEO - España, Diésel e+5, DIESEL NEXA 100% RENOVABLE - Esp</t>
  </si>
  <si>
    <t>96774</t>
  </si>
  <si>
    <t>0183117290</t>
  </si>
  <si>
    <t>CRED ALFONSO XIII</t>
  </si>
  <si>
    <t>AV. ALFONSO XIII  ESQ. C/COSTA RICA</t>
  </si>
  <si>
    <t>-3.667389, 40.458861</t>
  </si>
  <si>
    <t>28016</t>
  </si>
  <si>
    <t>EFITEC 95 N - España, EFITEC 98 N - España, DIESEL E+ NEO - España, DIESEL NEXA 100% RENOVABLE - Esp, Butano 6 Kg (K6), BLUE+GRANEL - España, Autogás, Butano 12 Kg (NEL)</t>
  </si>
  <si>
    <t>Cafetería/Bar, Lavado cepillos, Parking turismos, Box presión, Aspiradores, Solred cheque lavado, Waylet pago en surtidor, Waylet pago en caja, Punto recarga eléctrico Repsol, Lavados Klin</t>
  </si>
  <si>
    <t>15783</t>
  </si>
  <si>
    <t>0183014422</t>
  </si>
  <si>
    <t>CRED GRANOLLERS</t>
  </si>
  <si>
    <t>GRANOLLERS</t>
  </si>
  <si>
    <t>CR B-5002, 15</t>
  </si>
  <si>
    <t>2.285722, 41.594639</t>
  </si>
  <si>
    <t>08400</t>
  </si>
  <si>
    <t>EFITEC 95 N - España, EFITEC 98 N - España, Butano 12,5 Kg, DIESEL E+ NEO - España, DIESEL NEXA 100% RENOVABLE - Esp</t>
  </si>
  <si>
    <t>05528</t>
  </si>
  <si>
    <t>0000921783</t>
  </si>
  <si>
    <t>CRED CARDEDEU</t>
  </si>
  <si>
    <t>CARDEDEU</t>
  </si>
  <si>
    <t>CR C-251, 5,5</t>
  </si>
  <si>
    <t>2.339722, 41.635222</t>
  </si>
  <si>
    <t>08440</t>
  </si>
  <si>
    <t>EFITEC 95 N - España, Efitec 95 Premium, EFITEC 98 N - España, Butano 12,5 Kg, DIESEL E+ NEO - España, Diésel e+5, DIESEL NEXA 100% RENOVABLE - Esp, Butano 6 Kg (K6)</t>
  </si>
  <si>
    <t>Cafetería/Bar, Lavado cepillos, Parking turismos, Box presión, Aspiradores, Solred cheque lavado, Waylet pago en surtidor, Waylet pago en caja, Adblue Envasado, Lavados Klin</t>
  </si>
  <si>
    <t>92230</t>
  </si>
  <si>
    <t>0183134113</t>
  </si>
  <si>
    <t>Ripoll Sedaví</t>
  </si>
  <si>
    <t>SEDAVI</t>
  </si>
  <si>
    <t>AVENIDA DEL MEDITERRANEO Nº 12</t>
  </si>
  <si>
    <t>-0.374, 39.424333</t>
  </si>
  <si>
    <t>46910</t>
  </si>
  <si>
    <t>Cafetería/Bar, Lavado cepillos, Parking turismos, Zona de descanso, Box presión, Aspiradores, Waylet pago en caja</t>
  </si>
  <si>
    <t>13174</t>
  </si>
  <si>
    <t>0183077254</t>
  </si>
  <si>
    <t>CRED CORNELLÁ II</t>
  </si>
  <si>
    <t>CORNELLA DE LLOBREGAT</t>
  </si>
  <si>
    <t>PG CAMI DEL MIG, 23</t>
  </si>
  <si>
    <t>2.090167, 41.346972</t>
  </si>
  <si>
    <t>08940</t>
  </si>
  <si>
    <t>L-V: 06:00-21:00; S: 08:00-14:00</t>
  </si>
  <si>
    <t>Lavado cepillos, Aspiradores, Solred cheque lavado, Waylet pago en surtidor, Waylet pago en caja, Adblue Envasado, Punto recarga eléctrico Repsol, Lavados Klin</t>
  </si>
  <si>
    <t>96680</t>
  </si>
  <si>
    <t>0183112747</t>
  </si>
  <si>
    <t>CRED NOVA BARBERA</t>
  </si>
  <si>
    <t>BARBERA DEL VALLES</t>
  </si>
  <si>
    <t>CL RONDA SANTA MARIA ,202-210 (ESQ.</t>
  </si>
  <si>
    <t>2.12975, 41.521139</t>
  </si>
  <si>
    <t>08210</t>
  </si>
  <si>
    <t>EFITEC 95 N - España, EFITEC 98 N - España, Butano 12,5 Kg, DIESEL E+ NEO - España, DIESEL NEXA 100% RENOVABLE - Esp, Propano 11 Kg, Autogás, Butano 12 Kg (NEL)</t>
  </si>
  <si>
    <t>Cafetería/Bar, Lavado cepillos, Parking turismos, Box presión, Aspiradores, Solred cheque lavado, Lavandería, Waylet pago en surtidor, Waylet pago en caja, Punto recarga eléctrico Repsol, Lavados Klin</t>
  </si>
  <si>
    <t>15795</t>
  </si>
  <si>
    <t>0183114842</t>
  </si>
  <si>
    <t>CRED BARRIO FORTUNA</t>
  </si>
  <si>
    <t>CL SAN BERNARDO - BO. FORTUNA, S.N.</t>
  </si>
  <si>
    <t>-3.77875, 40.360194</t>
  </si>
  <si>
    <t>28917</t>
  </si>
  <si>
    <t>94874</t>
  </si>
  <si>
    <t>0183135565</t>
  </si>
  <si>
    <t>CRED MAZARRON AUTOPISTA</t>
  </si>
  <si>
    <t>ESTRECHO DE MAZARRON</t>
  </si>
  <si>
    <t>AP- 7, PK. 848</t>
  </si>
  <si>
    <t>-1.366028, 37.592722</t>
  </si>
  <si>
    <t>30876</t>
  </si>
  <si>
    <t>Parking turismos, Parking camiones, Zona de descanso, Waylet pago en surtidor, Waylet pago en caja</t>
  </si>
  <si>
    <t>96768</t>
  </si>
  <si>
    <t>0183118066</t>
  </si>
  <si>
    <t>CRED MORATILLAS</t>
  </si>
  <si>
    <t>SIETE AGUAS</t>
  </si>
  <si>
    <t>CR A-3 P.K. 304</t>
  </si>
  <si>
    <t>-0.93025, 39.450333</t>
  </si>
  <si>
    <t>46392</t>
  </si>
  <si>
    <t>Lavado camiones, Parking turismos, Parking camiones, Zona de descanso, Box presión, Waylet pago en surtidor, Waylet pago en caja, Adblue Envasado</t>
  </si>
  <si>
    <t>12428</t>
  </si>
  <si>
    <t>0183058122</t>
  </si>
  <si>
    <t>CRED CASARRUBUELOS</t>
  </si>
  <si>
    <t>CASARRUBUELOS</t>
  </si>
  <si>
    <t>CL DE LA INMACULADA 43</t>
  </si>
  <si>
    <t>-3.82175, 40.170889</t>
  </si>
  <si>
    <t>28978</t>
  </si>
  <si>
    <t>L-D: 06:30-22:00</t>
  </si>
  <si>
    <t>EFITEC 95 N - España, EFITEC 98 N - España, Butano 12,5 Kg, DIESEL E+ NEO - España, DIESEL NEXA 100% RENOVABLE - Esp, GO-B BONIF - España, Propano 11 Kg, BLUE+GRANEL - España</t>
  </si>
  <si>
    <t>Lavado cepillos, Parking turismos, Box presión, Aspiradores, Solred cheque lavado, Waylet pago en surtidor, Waylet pago en caja, Punto recarga eléctrico Repsol, Lavados Klin</t>
  </si>
  <si>
    <t>96344</t>
  </si>
  <si>
    <t>0183103209</t>
  </si>
  <si>
    <t>CRED LOS OLIVOS</t>
  </si>
  <si>
    <t>JABALQUINTO</t>
  </si>
  <si>
    <t>CR N-323, 11,9</t>
  </si>
  <si>
    <t>-3.779222, 38.023833</t>
  </si>
  <si>
    <t>23712</t>
  </si>
  <si>
    <t>EFITEC 95 N - España, EFITEC 98 N - España, Butano 12,5 Kg, DIESEL E+ NEO - España, DIESEL NEXA 100% RENOVABLE - Esp, BLUE+GRANEL - España</t>
  </si>
  <si>
    <t>Cafetería/Bar, Duchas, Waylet pago en surtidor, Waylet pago en caja, Punto recarga eléctrico Repsol</t>
  </si>
  <si>
    <t>96601</t>
  </si>
  <si>
    <t>0183108075</t>
  </si>
  <si>
    <t>CRED OLAZ M.I.</t>
  </si>
  <si>
    <t>OLAZ DE EGUES</t>
  </si>
  <si>
    <t>CR N-135, 4.6</t>
  </si>
  <si>
    <t>-1.59275, 42.817194</t>
  </si>
  <si>
    <t>31620</t>
  </si>
  <si>
    <t>EFITEC 95 N - España, EFITEC 98 N - España, DIESEL E+ NEO - España, DIESEL E+10 NEO - España, Propano 11 Kg, BLUE+GRANEL - España</t>
  </si>
  <si>
    <t>96238</t>
  </si>
  <si>
    <t>0183077528</t>
  </si>
  <si>
    <t>CRED MONTESIERRA</t>
  </si>
  <si>
    <t>CL AVENIDA MONTESIERRA, S.Nº</t>
  </si>
  <si>
    <t>-5.953472, 37.393194</t>
  </si>
  <si>
    <t>41007</t>
  </si>
  <si>
    <t>97024</t>
  </si>
  <si>
    <t>0183129238</t>
  </si>
  <si>
    <t>CRED PARETS</t>
  </si>
  <si>
    <t>PARETS DEL VALLES</t>
  </si>
  <si>
    <t>CARRER DE LA VOLTA, SN</t>
  </si>
  <si>
    <t>2.232028, 41.559167</t>
  </si>
  <si>
    <t>08150</t>
  </si>
  <si>
    <t>EFITEC 95 N - España, EFITEC 98 N - España, Butano 12,5 Kg, DIESEL E+ NEO - España, Butano 6 Kg (K6)</t>
  </si>
  <si>
    <t>Lavado cepillos, Aspiradores, Solred cheque lavado, Waylet pago en surtidor, Waylet pago en caja, Punto recarga eléctrico Repsol, Lavados Klin</t>
  </si>
  <si>
    <t>96338</t>
  </si>
  <si>
    <t>0183101880</t>
  </si>
  <si>
    <t>CRED MONCALIÁN</t>
  </si>
  <si>
    <t>CANTABRIA</t>
  </si>
  <si>
    <t>AMBROSERO</t>
  </si>
  <si>
    <t>AU A-8, 182</t>
  </si>
  <si>
    <t>-3.542028, 43.411417</t>
  </si>
  <si>
    <t>39791</t>
  </si>
  <si>
    <t>EFITEC 95 N - España, EFITEC 98 N - España, DIESEL E+ NEO - España, DIESEL NEXA 100% RENOVABLE - Esp, Butano 6 Kg (K6), Propano 11 Kg, BLUE+GRANEL - España, Butano 12 Kg (NEL)</t>
  </si>
  <si>
    <t>Restaurante, Cafetería/Bar, Parking turismos, Parking camiones, Box presión, Duchas, Aspiradores, Waylet pago en surtidor, Waylet pago en caja, Adblue Envasado, Punto recarga eléctrico Repsol</t>
  </si>
  <si>
    <t>33417</t>
  </si>
  <si>
    <t>0183000348</t>
  </si>
  <si>
    <t>CRED ARRIGORRIAGA MD</t>
  </si>
  <si>
    <t>ARRIGORRIAGA</t>
  </si>
  <si>
    <t>AU AP-68, 6</t>
  </si>
  <si>
    <t>-2.897389, 43.190194</t>
  </si>
  <si>
    <t>48480</t>
  </si>
  <si>
    <t>EFITEC 95 N - España, Efitec 95 Premium, EFITEC 98 N - España, DIESEL E+ NEO - España, Diésel e+5, DIESEL NEXA 100% RENOVABLE - Esp, BLUE+GRANEL - España, Autogás</t>
  </si>
  <si>
    <t>Cafetería/Bar, Parking turismos, Parking camiones, Zona de descanso, Box presión, Aspiradores, Waylet pago en surtidor, Waylet pago en caja, Punto recarga eléctrico Repsol</t>
  </si>
  <si>
    <t>15505</t>
  </si>
  <si>
    <t>0183110428</t>
  </si>
  <si>
    <t>CRED CARRUS</t>
  </si>
  <si>
    <t>ELCHE</t>
  </si>
  <si>
    <t>AV DE NOVELDA, 128</t>
  </si>
  <si>
    <t>-0.716694, 38.278306</t>
  </si>
  <si>
    <t>03206</t>
  </si>
  <si>
    <t>EFITEC 95 N - España, EFITEC 98 N - España, Butano 12,5 Kg, DIESEL E+ NEO - España, DIESEL E+10 NEO - España, Butano 6 Kg (K6), Propano 11 Kg</t>
  </si>
  <si>
    <t>Lavado cepillos, Aspiradores, Solred cheque lavado, Waylet pago en surtidor, Waylet pago en caja, Adblue Envasado, Lavados Klin</t>
  </si>
  <si>
    <t>96726</t>
  </si>
  <si>
    <t>0183113687</t>
  </si>
  <si>
    <t>CRED ABANILLA</t>
  </si>
  <si>
    <t>SANTOMERA</t>
  </si>
  <si>
    <t>CR  A-7 , P.K. 554 M.D.</t>
  </si>
  <si>
    <t>-1.03575, 38.101972</t>
  </si>
  <si>
    <t>30140</t>
  </si>
  <si>
    <t>Parking turismos, Parking camiones, Zona de descanso, Box presión, Aspiradores, Waylet pago en surtidor, Waylet pago en caja, Adblue Envasado, Punto recarga eléctrico Repsol</t>
  </si>
  <si>
    <t>33306</t>
  </si>
  <si>
    <t>0183018878</t>
  </si>
  <si>
    <t>CRED PUMARIN-GIJON</t>
  </si>
  <si>
    <t>GIJON</t>
  </si>
  <si>
    <t>CL AVENIDA CONSTITUCION, 220</t>
  </si>
  <si>
    <t>-5.684722, 43.521111</t>
  </si>
  <si>
    <t>33211</t>
  </si>
  <si>
    <t>EFITEC 95 N - España, Efitec 95 Premium, EFITEC 98 N - España, DIESEL E+ NEO - España, Diésel e+5, DIESEL E+10 NEO - España, Butano 6 Kg (K6), Propano 11 Kg, BLUE+GRANEL - España, Autogás, GNC, Butano 12 Kg (NEL)</t>
  </si>
  <si>
    <t>33255</t>
  </si>
  <si>
    <t>0183016880</t>
  </si>
  <si>
    <t>CRED GUADALIX</t>
  </si>
  <si>
    <t>GUADALIX DE LA SIERRA</t>
  </si>
  <si>
    <t>CR M-608, 6.50</t>
  </si>
  <si>
    <t>-3.686611, 40.784417</t>
  </si>
  <si>
    <t>28794</t>
  </si>
  <si>
    <t>EFITEC 95 N - España, EFITEC 98 N - España, DIESEL E+ NEO - España, DIESEL NEXA 100% RENOVABLE - Esp, Butano 6 Kg (K6), Propano 11 Kg</t>
  </si>
  <si>
    <t>Cafetería/Bar, Lavado cepillos, Box presión, Aspiradores, Solred cheque lavado, Waylet pago en surtidor, Waylet pago en caja, Lavados Klin</t>
  </si>
  <si>
    <t>13202</t>
  </si>
  <si>
    <t>0183075928</t>
  </si>
  <si>
    <t>CRED CALONGE</t>
  </si>
  <si>
    <t>CALONGE</t>
  </si>
  <si>
    <t>CR GE-667, 1</t>
  </si>
  <si>
    <t>3.072694, 41.858389</t>
  </si>
  <si>
    <t>17251</t>
  </si>
  <si>
    <t>EFITEC 95 N - España, EFITEC 98 N - España, Butano 12,5 Kg, DIESEL E+ NEO - España, Diésel e+5, DIESEL E+10 NEO - España, Butano 6 Kg (K6), Autogás, Butano 12 Kg (NEL)</t>
  </si>
  <si>
    <t>34430</t>
  </si>
  <si>
    <t>0183018795</t>
  </si>
  <si>
    <t>CRED PINEDA</t>
  </si>
  <si>
    <t>SANT FRUITOS DE BAGE</t>
  </si>
  <si>
    <t>CR L-4501, 3,5</t>
  </si>
  <si>
    <t>1.840028, 41.758083</t>
  </si>
  <si>
    <t>08272</t>
  </si>
  <si>
    <t>L-V: 06:00-22:00</t>
  </si>
  <si>
    <t>Parking turismos, Waylet pago en surtidor, Waylet pago en caja</t>
  </si>
  <si>
    <t>34115</t>
  </si>
  <si>
    <t>0183002336</t>
  </si>
  <si>
    <t>CRED DUEÑAS DCHO</t>
  </si>
  <si>
    <t>CR A-62, KM. 88,9 M. DCHO</t>
  </si>
  <si>
    <t>-4.510639, 41.913361</t>
  </si>
  <si>
    <t>EFITEC 95 N - España, EFITEC 98 N - España, Butano 12,5 Kg, DIESEL E+ NEO - España, DIESEL E+10 NEO - España, Propano 11 Kg</t>
  </si>
  <si>
    <t>Parking turismos, Parking camiones, Waylet pago en surtidor, Waylet pago en caja</t>
  </si>
  <si>
    <t>33171</t>
  </si>
  <si>
    <t>0183003912</t>
  </si>
  <si>
    <t>CRED LEGAZPI</t>
  </si>
  <si>
    <t>CL PLAZA LEGAZPI, 9</t>
  </si>
  <si>
    <t>-3.695306, 40.391361</t>
  </si>
  <si>
    <t>28045</t>
  </si>
  <si>
    <t>EFITEC 95 N - España, Gasolina 95 Nexa origen 100 % renovable, EFITEC 98 N - España, DIESEL E+ NEO - España, DIESEL NEXA 100% RENOVABLE - Esp, BLUE+GRANEL - España</t>
  </si>
  <si>
    <t>34391</t>
  </si>
  <si>
    <t>0183063056</t>
  </si>
  <si>
    <t>CRED NAVALMORAL IZQ</t>
  </si>
  <si>
    <t>CÁCERES</t>
  </si>
  <si>
    <t>NAVALMORAL DE LA MAT</t>
  </si>
  <si>
    <t>CR N-5A, 179,0 M IZQ</t>
  </si>
  <si>
    <t>-5.52425, 39.891111</t>
  </si>
  <si>
    <t>10300</t>
  </si>
  <si>
    <t>EFITEC 95 N - España, EFITEC 98 N - España, DIESEL E+ NEO - España, DIESEL E+10 NEO - España, BLUE+GRANEL - España, Butano 12 Kg (NEL)</t>
  </si>
  <si>
    <t>Restaurante, Cafetería/Bar, Waylet pago en surtidor, Waylet pago en caja, Punto recarga eléctrico Repsol</t>
  </si>
  <si>
    <t>10995</t>
  </si>
  <si>
    <t>0183006600</t>
  </si>
  <si>
    <t>CRED LA ESTRADA</t>
  </si>
  <si>
    <t>ESTRADA, LA</t>
  </si>
  <si>
    <t>CL SAN PELAY0, 73</t>
  </si>
  <si>
    <t>-8.490111, 42.695278</t>
  </si>
  <si>
    <t>36680</t>
  </si>
  <si>
    <t>EFITEC 95 N - España, EFITEC 98 N - España, Butano 12,5 Kg, DIESEL E+ NEO - España, DIESEL E+10 NEO - España, GO-B BONIF - España, Propano 11 Kg, Butano 12 Kg (NEL)</t>
  </si>
  <si>
    <t>Lavado cepillos, Box presión, Aspiradores, Solred cheque lavado, Waylet pago en surtidor, Waylet pago en caja</t>
  </si>
  <si>
    <t>33091</t>
  </si>
  <si>
    <t>0183000249</t>
  </si>
  <si>
    <t>CRED VILLALBA</t>
  </si>
  <si>
    <t>VILLALBA</t>
  </si>
  <si>
    <t>CL CAMPO DEL PUENTE, S.N.</t>
  </si>
  <si>
    <t>-7.672333, 43.302639</t>
  </si>
  <si>
    <t>27800</t>
  </si>
  <si>
    <t>EFITEC 95 N - España, EFITEC 98 N - España, DIESEL E+ NEO - España, DIESEL E+10 NEO - España, GO-B BONIF - España, BLUE+GRANEL - España</t>
  </si>
  <si>
    <t>33421</t>
  </si>
  <si>
    <t>0183050665</t>
  </si>
  <si>
    <t>CRED ALTUBE M.I.</t>
  </si>
  <si>
    <t>ARABA</t>
  </si>
  <si>
    <t>ALTUBE</t>
  </si>
  <si>
    <t>AU AP-68, 36</t>
  </si>
  <si>
    <t>-2.870083, 42.966111</t>
  </si>
  <si>
    <t>01139</t>
  </si>
  <si>
    <t>EFITEC 95 N - España, EFITEC 98 N - España, DIESEL E+ NEO - España, DIESEL NEXA 100% RENOVABLE - Esp, Autogás</t>
  </si>
  <si>
    <t>Parking turismos, Parking camiones, Zona de descanso, Waylet pago en surtidor, Waylet pago en caja, Punto recarga eléctrico Repsol</t>
  </si>
  <si>
    <t>96856</t>
  </si>
  <si>
    <t>0183123876</t>
  </si>
  <si>
    <t>CRED LA ATALAYUELA</t>
  </si>
  <si>
    <t>CTRA M-602, KM 13</t>
  </si>
  <si>
    <t>-3.639389, 40.372306</t>
  </si>
  <si>
    <t>28018</t>
  </si>
  <si>
    <t>EFITEC 95 N - España, EFITEC 98 N - España, DIESEL E+ NEO - España, DIESEL NEXA 100% RENOVABLE - Esp, BLUE+GRANEL - España, Autogás, GNC Nexa origen 100 % renovable</t>
  </si>
  <si>
    <t>96124</t>
  </si>
  <si>
    <t>0183102078</t>
  </si>
  <si>
    <t>CRED CHIVA</t>
  </si>
  <si>
    <t>CHIVA</t>
  </si>
  <si>
    <t>AT A-3, 337</t>
  </si>
  <si>
    <t>-0.588833, 39.475222</t>
  </si>
  <si>
    <t>46370</t>
  </si>
  <si>
    <t>33534</t>
  </si>
  <si>
    <t>0015030521</t>
  </si>
  <si>
    <t>CRED CRTA. ALCOLEA</t>
  </si>
  <si>
    <t>REUS</t>
  </si>
  <si>
    <t>CL DR.VILASECA-PAISES CATALANS, 26</t>
  </si>
  <si>
    <t>1.096917, 41.156639</t>
  </si>
  <si>
    <t>43205</t>
  </si>
  <si>
    <t>33603</t>
  </si>
  <si>
    <t>0008406068</t>
  </si>
  <si>
    <t>CRED BADALONA I</t>
  </si>
  <si>
    <t>BADALONA</t>
  </si>
  <si>
    <t>CL INDUSTRIA, 629</t>
  </si>
  <si>
    <t>2.232111, 41.431083</t>
  </si>
  <si>
    <t>08912</t>
  </si>
  <si>
    <t>L-D: 05:00-23:00</t>
  </si>
  <si>
    <t>EFITEC 95 N - España, EFITEC 98 N - España, Butano 12,5 Kg, DIESEL E+ NEO - España, DIESEL NEXA 100% RENOVABLE - Esp, Butano 6 Kg (K6), Propano 11 Kg, BLUE+GRANEL - España, Autogás</t>
  </si>
  <si>
    <t>Lavado cepillos, Box presión, Solred cheque lavado, Waylet pago en surtidor, Waylet pago en caja, Punto recarga eléctrico Repsol, Lavados Klin</t>
  </si>
  <si>
    <t>10977</t>
  </si>
  <si>
    <t>0183002245</t>
  </si>
  <si>
    <t>CRED GRANDA</t>
  </si>
  <si>
    <t>GRANDA-SIERO</t>
  </si>
  <si>
    <t>CR N-634, 347</t>
  </si>
  <si>
    <t>-5.754722, 43.383611</t>
  </si>
  <si>
    <t>33199</t>
  </si>
  <si>
    <t>L-D: 06:00-22:30</t>
  </si>
  <si>
    <t>EFITEC 95 N - España, EFITEC 98 N - España, DIESEL E+ NEO - España, DIESEL E+10 NEO - España, Propano 11 Kg, BLUE+GRANEL - España, Butano 12 Kg (NEL)</t>
  </si>
  <si>
    <t>Lavado cepillos, Parking turismos, Box presión, Aspiradores, Solred cheque lavado, Waylet pago en surtidor, Waylet pago en caja, Lavados Klin</t>
  </si>
  <si>
    <t>33012</t>
  </si>
  <si>
    <t>0063167860</t>
  </si>
  <si>
    <t>CRED SANTA FAZ</t>
  </si>
  <si>
    <t>SANTA FAZ</t>
  </si>
  <si>
    <t>CR N-332, 112,6</t>
  </si>
  <si>
    <t>-0.447417, 38.38625</t>
  </si>
  <si>
    <t>03559</t>
  </si>
  <si>
    <t>EFITEC 95 N - España, EFITEC 98 N - España, DIESEL E+ NEO - España, Diésel e+5, DIESEL E+10 NEO - España, Butano 6 Kg (K6), Propano 11 Kg, BLUE+GRANEL - España, Butano 12 Kg (NEL)</t>
  </si>
  <si>
    <t>96268</t>
  </si>
  <si>
    <t>0183080043</t>
  </si>
  <si>
    <t>CRED  CTRA. EL ESCORIAL MD</t>
  </si>
  <si>
    <t>SAN LORENZO DE EL ESCORIAL</t>
  </si>
  <si>
    <t>CR M-600, PK. 3</t>
  </si>
  <si>
    <t>-4.108222, 40.633306</t>
  </si>
  <si>
    <t>28200</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</si>
  <si>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</si>
  <si>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</si>
  <si>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</si>
  <si>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05710</t>
  </si>
  <si>
    <t>0183054881</t>
  </si>
  <si>
    <t>CRED PINOSO</t>
  </si>
  <si>
    <t>PINOSO</t>
  </si>
  <si>
    <t>CL JUMILLA, 56</t>
  </si>
  <si>
    <t>-1.046806, 38.402472</t>
  </si>
  <si>
    <t>03650</t>
  </si>
  <si>
    <t>EFITEC 95 N - España, EFITEC 98 N - España, DIESEL E+ NEO - España, DIESEL NEXA 100% RENOVABLE - Esp, GO-B BONIF - España, Propano 11 Kg, Butano 12 Kg (NEL)</t>
  </si>
  <si>
    <t>Cafetería/Bar, Box presión, Aspiradores, Waylet pago en surtidor, Waylet pago en caja, Adblue Envasado, Punto recarga eléctrico Repsol, Lavados Klin, Recarga eléctrica</t>
  </si>
  <si>
    <t>96759</t>
  </si>
  <si>
    <t>0183118454</t>
  </si>
  <si>
    <t>CRED MOSTOLES (CTR)</t>
  </si>
  <si>
    <t>MOSTOLES</t>
  </si>
  <si>
    <t>CR M-856 ROTON. ENTR.MOSTOLES CONFL</t>
  </si>
  <si>
    <t>-3.886667, 40.333889</t>
  </si>
  <si>
    <t>28935</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</si>
  <si>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</si>
  <si>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</si>
  <si>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92623</t>
  </si>
  <si>
    <t>0183120468</t>
  </si>
  <si>
    <t>CRED EL ALGAR</t>
  </si>
  <si>
    <t>ALTEA</t>
  </si>
  <si>
    <t>VIA PARTIDA  GARGANES, 42</t>
  </si>
  <si>
    <t>-0.048611, 38.604722</t>
  </si>
  <si>
    <t>03590</t>
  </si>
  <si>
    <t>EFITEC 95 N - España, EFITEC 98 N - España, DIESEL E+ NEO - España, DIESEL E+10 NEO - España, Butano 6 Kg (K6), Propano 11 Kg, BLUE+GRANEL - España, Butano 12 Kg (NEL)</t>
  </si>
  <si>
    <t>Cafetería/Bar, Lavandería, Waylet pago en surtidor, Waylet pago en caja</t>
  </si>
  <si>
    <t>96713</t>
  </si>
  <si>
    <t>0183121664</t>
  </si>
  <si>
    <t>CRED CIUDAD JARDIN</t>
  </si>
  <si>
    <t>CALLE JACINTO BENAVENTE  JUNTO A RR</t>
  </si>
  <si>
    <t>-4.4255, 36.753111</t>
  </si>
  <si>
    <t>29014</t>
  </si>
  <si>
    <t>L: 06:00-23:59; M-D: 06:00-00:00</t>
  </si>
  <si>
    <t>EFITEC 95 N - España, EFITEC 98 N - España, DIESEL E+ NEO - España, Diésel e+5, DIESEL E+10 NEO - España, BLUE+GRANEL - España, Butano 12 Kg (NEL)</t>
  </si>
  <si>
    <t>96348</t>
  </si>
  <si>
    <t>0183104884</t>
  </si>
  <si>
    <t>CRED TUNELES VALLVIDRERA</t>
  </si>
  <si>
    <t>SANT CUGAT DEL VALLES</t>
  </si>
  <si>
    <t>AU E-9, 6,50</t>
  </si>
  <si>
    <t>2.07825, 41.4335</t>
  </si>
  <si>
    <t>08190</t>
  </si>
  <si>
    <t>Cafetería/Bar, Parking turismos, Zona de descanso, Waylet pago en surtidor, Waylet pago en caja, Adblue Envasado, Punto recarga eléctrico Repsol</t>
  </si>
  <si>
    <t>34308</t>
  </si>
  <si>
    <t>0183017508</t>
  </si>
  <si>
    <t>CRED MONTBRIO</t>
  </si>
  <si>
    <t>MONTBRIO DEL CAMP</t>
  </si>
  <si>
    <t>CR T-310, 8,6</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</si>
  <si>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</si>
  <si>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</si>
  <si>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</si>
  <si>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</si>
  <si>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33412</t>
  </si>
  <si>
    <t>0183050756</t>
  </si>
  <si>
    <t>CRED GALLUR M.I.</t>
  </si>
  <si>
    <t>GALLUR</t>
  </si>
  <si>
    <t>AU A-68, 254</t>
  </si>
  <si>
    <t>-1.32, 41.834472</t>
  </si>
  <si>
    <t>50650</t>
  </si>
  <si>
    <t>15545</t>
  </si>
  <si>
    <t>0183058817</t>
  </si>
  <si>
    <t>CRED CHINALES</t>
  </si>
  <si>
    <t>CORDOBA</t>
  </si>
  <si>
    <t>CR N-432, 269,2</t>
  </si>
  <si>
    <t>-4.766778, 37.897333</t>
  </si>
  <si>
    <t>14007</t>
  </si>
  <si>
    <t>EFITEC 95 N - España, Efitec 95 Premium, EFITEC 98 N - España, DIESEL E+ NEO - España, Diésel e+5, DIESEL NEXA 100% RENOVABLE - Esp, BLUE+GRANEL - España, Autogás, Butano 12 Kg (NEL)</t>
  </si>
  <si>
    <t>33233</t>
  </si>
  <si>
    <t>0183115112</t>
  </si>
  <si>
    <t>CRED BAEZA</t>
  </si>
  <si>
    <t>BAEZA</t>
  </si>
  <si>
    <t>CL AVENIDA PUCHE PARDO, S.N.</t>
  </si>
  <si>
    <t>-3.4575, 37.997722</t>
  </si>
  <si>
    <t>23440</t>
  </si>
  <si>
    <t>Box presión, Aspiradores, Waylet pago en surtidor, Waylet pago en caja, Lavados Klin</t>
  </si>
  <si>
    <t>07621</t>
  </si>
  <si>
    <t>0183051994</t>
  </si>
  <si>
    <t>CRED MOLINS</t>
  </si>
  <si>
    <t>MOLINS DE REI</t>
  </si>
  <si>
    <t>AU AP-2, 8,5</t>
  </si>
  <si>
    <t>2.025, 41.393611</t>
  </si>
  <si>
    <t>08750</t>
  </si>
  <si>
    <t>EFITEC 95 N - España, EFITEC 98 N - España, DIESEL E+ NEO - España, DIESEL NEXA 100% RENOVABLE - Esp, BLUE+GRANEL - España, Autogás</t>
  </si>
  <si>
    <t>Cafetería/Bar, Parking turismos, Parking camiones, Zona de descanso, Waylet pago en surtidor, Waylet pago en caja, Punto recarga eléctrico Repsol</t>
  </si>
  <si>
    <t>96339</t>
  </si>
  <si>
    <t>0183105337</t>
  </si>
  <si>
    <t>CRED TRES CANTOS</t>
  </si>
  <si>
    <t>TRES CANTOS</t>
  </si>
  <si>
    <t>CL AVDA DE LA INDUSTRIA, 33</t>
  </si>
  <si>
    <t>-3.699444, 40.61425</t>
  </si>
  <si>
    <t>28760</t>
  </si>
  <si>
    <t>Restaurante, Cafetería/Bar, Parking turismos, Box presión, Aspiradores, Waylet pago en surtidor, Waylet pago en caja, Adblue Envasado, Punto recarga eléctrico Repsol, Lavados Klin</t>
  </si>
  <si>
    <t>96783</t>
  </si>
  <si>
    <t>0183116458</t>
  </si>
  <si>
    <t>CRED MORA M.D.</t>
  </si>
  <si>
    <t>MASCARAQUE</t>
  </si>
  <si>
    <t>CR  CM-42 , P.K. 21,3</t>
  </si>
  <si>
    <t>-3.835667, 39.693194</t>
  </si>
  <si>
    <t>45430</t>
  </si>
  <si>
    <t>Restaurante, Cafetería/Bar, Parking turismos, Parking camiones, Waylet pago en surtidor, Waylet pago en caja, Punto recarga eléctrico Repsol</t>
  </si>
  <si>
    <t>34562</t>
  </si>
  <si>
    <t>0183018043</t>
  </si>
  <si>
    <t>CRED ISCAR</t>
  </si>
  <si>
    <t>ISCAR</t>
  </si>
  <si>
    <t>CR C-112, 21</t>
  </si>
  <si>
    <t>-4.539611, 41.359028</t>
  </si>
  <si>
    <t>47420</t>
  </si>
  <si>
    <t>Box presión, Aspiradores, Waylet pago en surtidor, Waylet pago en caja, Punto recarga eléctrico Repsol</t>
  </si>
  <si>
    <t>15652</t>
  </si>
  <si>
    <t>0183019488</t>
  </si>
  <si>
    <t>CRED CIEZA</t>
  </si>
  <si>
    <t>CIEZA</t>
  </si>
  <si>
    <t>CL PARAJE ASENSADO, S.N.</t>
  </si>
  <si>
    <t>-1.426861, 38.248361</t>
  </si>
  <si>
    <t>30530</t>
  </si>
  <si>
    <t>EFITEC 95 N - España, EFITEC 98 N - España, DIESEL E+ NEO - España, DIESEL NEXA 100% RENOVABLE - Esp, Propano 11 Kg, Butano 12 Kg (NEL)</t>
  </si>
  <si>
    <t>Parking turismos, Box presión, Aspiradores, Waylet pago en surtidor, Waylet pago en caja, Lavados Klin</t>
  </si>
  <si>
    <t>33426</t>
  </si>
  <si>
    <t>0183050640</t>
  </si>
  <si>
    <t>CRED IGAY M.I.</t>
  </si>
  <si>
    <t>IGAY</t>
  </si>
  <si>
    <t>AU AP-68, 63,5</t>
  </si>
  <si>
    <t>-2.913222, 42.741361</t>
  </si>
  <si>
    <t>01213</t>
  </si>
  <si>
    <t>33033</t>
  </si>
  <si>
    <t>0063167944</t>
  </si>
  <si>
    <t>CRED MONESTERIO</t>
  </si>
  <si>
    <t>CR N-630, 722,2</t>
  </si>
  <si>
    <t>-6.268417, 38.083528</t>
  </si>
  <si>
    <t>Lavado cepillos, Zona de descanso, Box presión, Aspiradores, Solred cheque lavado, Waylet pago en surtidor, Waylet pago en caja, Adblue Envasado, Lavados Klin</t>
  </si>
  <si>
    <t>97033</t>
  </si>
  <si>
    <t>0183125459</t>
  </si>
  <si>
    <t>CRED LA HISPANIDAD</t>
  </si>
  <si>
    <t>Avda. Salamanca, 80</t>
  </si>
  <si>
    <t>-4.759639, 41.627806</t>
  </si>
  <si>
    <t>47014</t>
  </si>
  <si>
    <t>EFITEC 95 N - España, EFITEC 98 N - España, DIESEL E+ NEO - España, Diésel e+5, DIESEL NEXA 100% RENOVABLE - Esp, Propano 11 Kg, Butano 12 Kg (NEL)</t>
  </si>
  <si>
    <t>Lavado cepillos, Parking turismos, Box presión, Aspiradores, Solred cheque lavado, Waylet pago en surtidor, Waylet pago en caja, Punto recarga eléctrico Repsol, Lavados Klin, Recarga eléctrica</t>
  </si>
  <si>
    <t>15313</t>
  </si>
  <si>
    <t>0183012012</t>
  </si>
  <si>
    <t>ES ERREKALDE DE ZUDAIRE, S.L.</t>
  </si>
  <si>
    <t>ZUDAIRE</t>
  </si>
  <si>
    <t>CALLE SAN ANTON , 7</t>
  </si>
  <si>
    <t>-2.130472, 42.771222</t>
  </si>
  <si>
    <t>31272</t>
  </si>
  <si>
    <t>L-D: 08:00-22:00</t>
  </si>
  <si>
    <t>Waylet pago en caja</t>
  </si>
  <si>
    <t>94104</t>
  </si>
  <si>
    <t>0183120203</t>
  </si>
  <si>
    <t>E.S. 365 POZUELO</t>
  </si>
  <si>
    <t>POZUELO DE ALARCON</t>
  </si>
  <si>
    <t>CR M-502 P.K. 3,6</t>
  </si>
  <si>
    <t>-3.788806, 40.413861</t>
  </si>
  <si>
    <t>28223</t>
  </si>
  <si>
    <t>EFITEC 95 N - España, EFITEC 98 N - España, Butano 12,5 Kg, DIESEL E+ NEO - España, DIESEL NEXA 100% RENOVABLE - Esp, Butano 6 Kg (K6), Propano 11 Kg</t>
  </si>
  <si>
    <t>Restaurante, Cafetería/Bar, Parking turismos, Waylet pago en caja</t>
  </si>
  <si>
    <t>96490</t>
  </si>
  <si>
    <t>0183108901</t>
  </si>
  <si>
    <t>CRED VELEZ</t>
  </si>
  <si>
    <t>VELEZ MALAGA</t>
  </si>
  <si>
    <t>CL ROTONDA PAGO DE LA MATA, S.N.</t>
  </si>
  <si>
    <t>-4.098028, 36.763056</t>
  </si>
  <si>
    <t>29700</t>
  </si>
  <si>
    <t>EFITEC 95 N - España, EFITEC 98 N - España, Butano 12,5 Kg, DIESEL E+ NEO - España, DIESEL E+10 NEO - España, BLUE+GRANEL - España, Butano 12 Kg (NEL)</t>
  </si>
  <si>
    <t>31442</t>
  </si>
  <si>
    <t>0183136662</t>
  </si>
  <si>
    <t>CRED CANILLEJAS</t>
  </si>
  <si>
    <t>AVDA DE CANILLEJAS A VICALVARO, 147</t>
  </si>
  <si>
    <t>-3.611222, 40.424806</t>
  </si>
  <si>
    <t>28022</t>
  </si>
  <si>
    <t>96389</t>
  </si>
  <si>
    <t>0183106061</t>
  </si>
  <si>
    <t>CRED UGALDEBIETA M.I.</t>
  </si>
  <si>
    <t>ABANTO-AUTOPISTA</t>
  </si>
  <si>
    <t>AT A-8, 131</t>
  </si>
  <si>
    <t>-3.067722, 43.327111</t>
  </si>
  <si>
    <t>48509</t>
  </si>
  <si>
    <t>Rest. Autoservicio, Restaurante, Cafetería/Bar, Parking turismos, Parking camiones, Zona de descanso, Waylet pago en surtidor, Waylet pago en caja, Punto recarga eléctrico Repsol</t>
  </si>
  <si>
    <t>07629</t>
  </si>
  <si>
    <t>0183018415</t>
  </si>
  <si>
    <t>E.S. MIRAT COMBUSTIBLES,S.L.</t>
  </si>
  <si>
    <t>TRUJILLO</t>
  </si>
  <si>
    <t>CR N-5, 253</t>
  </si>
  <si>
    <t>-5.870806, 39.460472</t>
  </si>
  <si>
    <t>10200</t>
  </si>
  <si>
    <t>Box presión, Aspiradores, Waylet pago en caja, Adblue Envasado</t>
  </si>
  <si>
    <t>34494</t>
  </si>
  <si>
    <t>0183013127</t>
  </si>
  <si>
    <t>CRED CASTELLAR</t>
  </si>
  <si>
    <t>CASTELLAR DEL VALLES</t>
  </si>
  <si>
    <t>CR B-124, 5,3</t>
  </si>
  <si>
    <t>2.088528, 41.595167</t>
  </si>
  <si>
    <t>08211</t>
  </si>
  <si>
    <t>EFITEC 95 N - España, Efitec 95 Premium, EFITEC 98 N - España, DIESEL E+ NEO - España, DIESEL NEXA 100% RENOVABLE - Esp, Butano 6 Kg (K6), Butano 12 Kg (NEL)</t>
  </si>
  <si>
    <t>Parking turismos, Aspiradores, Waylet pago en surtidor, Waylet pago en caja</t>
  </si>
  <si>
    <t>34189</t>
  </si>
  <si>
    <t>0183015353</t>
  </si>
  <si>
    <t>CRED LA MASIA</t>
  </si>
  <si>
    <t>ODENA</t>
  </si>
  <si>
    <t>CR N-2, 555</t>
  </si>
  <si>
    <t>1.636806, 41.578361</t>
  </si>
  <si>
    <t>08711</t>
  </si>
  <si>
    <t>EFITEC 95 N - España, Efitec 95 Premium, EFITEC 98 N - España, DIESEL E+ NEO - España, Diésel e+5, DIESEL NEXA 100% RENOVABLE - Esp, Butano 12 Kg (NEL)</t>
  </si>
  <si>
    <t>Cafetería/Bar, Waylet pago en surtidor, Waylet pago en caja, Punto recarga eléctrico Repsol</t>
  </si>
  <si>
    <t>00666</t>
  </si>
  <si>
    <t>0183012681</t>
  </si>
  <si>
    <t>CRED EL ENCUENTRO</t>
  </si>
  <si>
    <t>CIUDAD REAL</t>
  </si>
  <si>
    <t>CL RONDA DE ALARCOS, 21</t>
  </si>
  <si>
    <t>-3.9345, 38.98475</t>
  </si>
  <si>
    <t>13002</t>
  </si>
  <si>
    <t>00854</t>
  </si>
  <si>
    <t>0183019439</t>
  </si>
  <si>
    <t>E.S. MIRAT COMBUSTIBLES,S.L</t>
  </si>
  <si>
    <t>CACERES</t>
  </si>
  <si>
    <t>CL GIL CORDERO, S.N.</t>
  </si>
  <si>
    <t>-6.382444, 39.469417</t>
  </si>
  <si>
    <t>10001</t>
  </si>
  <si>
    <t>EFITEC 95 N - España, EFITEC 98 N - España, Butano 12,5 Kg, DIESEL E+ NEO - España, DIESEL NEXA 100% RENOVABLE - Esp, Propano 11 Kg</t>
  </si>
  <si>
    <t>Waylet pago en caja, Adblue Envasado</t>
  </si>
  <si>
    <t>97066</t>
  </si>
  <si>
    <t>0183132562</t>
  </si>
  <si>
    <t>CRED SANTIAGO DEL CAMPO</t>
  </si>
  <si>
    <t>SANTIAGO DEL CAMPO</t>
  </si>
  <si>
    <t>CTRA A-66  PK 528</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</si>
  <si>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</si>
  <si>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</si>
  <si>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</si>
  <si>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</si>
  <si>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96835</t>
  </si>
  <si>
    <t>0183121417</t>
  </si>
  <si>
    <t>CRED T4 TIERRA</t>
  </si>
  <si>
    <t>Avda. de la Hispanidad, 44  BARAJAS</t>
  </si>
  <si>
    <t>-3.598, 40.496889</t>
  </si>
  <si>
    <t>28042</t>
  </si>
  <si>
    <t>Cafetería/Bar, Lavado cepillos, Box presión, Solred cheque lavado, Waylet pago en surtidor, Waylet pago en caja, Punto recarga eléctrico Repsol, Lavados Klin</t>
  </si>
  <si>
    <t>97000</t>
  </si>
  <si>
    <t>0183124155</t>
  </si>
  <si>
    <t>CRED LAS PEDRIZAS M.I.</t>
  </si>
  <si>
    <t>ANTEQUERA</t>
  </si>
  <si>
    <t>AP-46, PK 3,7 M IZQ</t>
  </si>
  <si>
    <t>-4.439028, 36.916917</t>
  </si>
  <si>
    <t>29200</t>
  </si>
  <si>
    <t>34232</t>
  </si>
  <si>
    <t>0183017938</t>
  </si>
  <si>
    <t>CRED SABINOSA</t>
  </si>
  <si>
    <t>CR N-340, 1165</t>
  </si>
  <si>
    <t>1.280833, 41.122944</t>
  </si>
  <si>
    <t>EFITEC 95 N - España, Efitec 95 Premium, Gasolina 95 Nexa origen 100 % renovable, Butano 12,5 Kg, DIESEL E+ NEO - España, DIESEL NEXA 100% RENOVABLE - Esp, Butano 6 Kg (K6), Propano 11 Kg</t>
  </si>
  <si>
    <t>Taller mecánico, Parking turismos, Waylet pago en surtidor, Waylet pago en caja</t>
  </si>
  <si>
    <t>34518</t>
  </si>
  <si>
    <t>0183121243</t>
  </si>
  <si>
    <t>CRED CASTELLBELL I</t>
  </si>
  <si>
    <t>CASTELLBELL I EL VIL</t>
  </si>
  <si>
    <t>CR C-55 P.K. 17,10 MARGEN DCHO.</t>
  </si>
  <si>
    <t>1.850583, 41.636472</t>
  </si>
  <si>
    <t>08296</t>
  </si>
  <si>
    <t>Restaurante, Cafetería/Bar, Parking turismos, Parking camiones, Zona de descanso, Waylet pago en surtidor, Waylet pago en caja</t>
  </si>
  <si>
    <t>96584</t>
  </si>
  <si>
    <t>0183108034</t>
  </si>
  <si>
    <t>CRED CADI-MOIXARU</t>
  </si>
  <si>
    <t>BELLVER DE CERDANYA</t>
  </si>
  <si>
    <t>CR C-16 P.K. 130,733</t>
  </si>
  <si>
    <t>1.832806, 42.346556</t>
  </si>
  <si>
    <t>25720</t>
  </si>
  <si>
    <t>EFITEC 95 N - España, EFITEC 98 N - España, DIESEL E+ NEO - España, DIESEL E+10 NEO - España</t>
  </si>
  <si>
    <t>Restaurante, Cafetería/Bar, Parking turismos, Zona de descanso, Waylet pago en caja, Punto recarga eléctrico Repsol</t>
  </si>
  <si>
    <t>34530</t>
  </si>
  <si>
    <t>0183060631</t>
  </si>
  <si>
    <t>CRED ALMENDRAL</t>
  </si>
  <si>
    <t>ALMENDRAL</t>
  </si>
  <si>
    <t>CARRETERA NACIONAL 435 KM KM. 34,5</t>
  </si>
  <si>
    <t>-6.81775, 38.614778</t>
  </si>
  <si>
    <t>06171</t>
  </si>
  <si>
    <t>EFITEC 95 N - España, DIESEL E+ NEO - España, DIESEL E+10 NEO - España, GO-B BONIF - España, Propano 11 Kg, BLUE+GRANEL - España, Butano 12 Kg (NEL)</t>
  </si>
  <si>
    <t>Restaurante, Cafetería/Bar, Lavado cepillos, Lavado camiones, Parking turismos, Parking camiones, Zona de descanso, Box presión, Aspiradores, Solred cheque lavado, Waylet pago en surtidor, Waylet pago en caja, Adblue Envasado</t>
  </si>
  <si>
    <t>97043</t>
  </si>
  <si>
    <t>0183125947</t>
  </si>
  <si>
    <t>CRED MIRANDA DE AZAN</t>
  </si>
  <si>
    <t>ARAPILES</t>
  </si>
  <si>
    <t>CTRA. CV-70 KM. 1,6</t>
  </si>
  <si>
    <t>-5.662417, 40.895833</t>
  </si>
  <si>
    <t>37796</t>
  </si>
  <si>
    <t>EFITEC 95 N - España, EFITEC 98 N - España, DIESEL E+ NEO - España, DIESEL E+10 NEO - España, Propano 11 Kg, BLUE+GRANEL - España, Autogás, Butano 12 Kg (NEL)</t>
  </si>
  <si>
    <t>Restaurante, Cafetería/Bar, Parking turismos, Box presión, Aspiradores, Waylet pago en surtidor, Waylet pago en caja, Punto recarga eléctrico Repsol</t>
  </si>
  <si>
    <t>31697</t>
  </si>
  <si>
    <t>0183135300</t>
  </si>
  <si>
    <t>CRED FORONDA</t>
  </si>
  <si>
    <t>ARANGUIZ</t>
  </si>
  <si>
    <t>CTRA N-622, PK 6,699</t>
  </si>
  <si>
    <t>-2.702278, 42.895667</t>
  </si>
  <si>
    <t>01196</t>
  </si>
  <si>
    <t>EFITEC 95 N - España, EFITEC 98 N - España, DIESEL E+ NEO - España, Diésel e+5, DIESEL E+10 NEO - España, BLUE+GRANEL - España</t>
  </si>
  <si>
    <t>Lavado cepillos, Box presión, Aspiradores, Solred cheque lavado, Waylet pago en surtidor, Waylet pago en caja, Lavados Klin</t>
  </si>
  <si>
    <t>97022</t>
  </si>
  <si>
    <t>0183129188</t>
  </si>
  <si>
    <t>CRED ALBOLOTE</t>
  </si>
  <si>
    <t>GRANADA</t>
  </si>
  <si>
    <t>ALBOLOTE</t>
  </si>
  <si>
    <t>C/ LOJA SN</t>
  </si>
  <si>
    <t>-3.649472, 37.233</t>
  </si>
  <si>
    <t>18220</t>
  </si>
  <si>
    <t>EFITEC 95 N - España, EFITEC 98 N - España, DIESEL E+ NEO - España, DIESEL E+10 NEO - España, Butano 12 Kg (NEL)</t>
  </si>
  <si>
    <t>Cafetería/Bar, Lavado cepillos, Parking turismos, Zona de descanso, Box presión, Aspiradores, Solred cheque lavado, Waylet pago en surtidor, Waylet pago en caja, Adblue Envasado, Punto recarga eléctrico Repsol, Lavados Klin</t>
  </si>
  <si>
    <t>96837</t>
  </si>
  <si>
    <t>0183121128</t>
  </si>
  <si>
    <t>CRED AREA DE SERVICIO CARTAYA PLAYA</t>
  </si>
  <si>
    <t>CARTAYA</t>
  </si>
  <si>
    <t>A-49 P.K. 102</t>
  </si>
  <si>
    <t>-7.114472, 37.322694</t>
  </si>
  <si>
    <t>21450</t>
  </si>
  <si>
    <t>Rest. Autoservicio, Restaurante, Cafetería/Bar, Parking turismos, Parking camiones, Duchas, Waylet pago en surtidor, Waylet pago en caja</t>
  </si>
  <si>
    <t>96027</t>
  </si>
  <si>
    <t>0183077460</t>
  </si>
  <si>
    <t>E.S. APLICA, S.L.</t>
  </si>
  <si>
    <t>SIDAMON</t>
  </si>
  <si>
    <t>CR A-2, 480,3</t>
  </si>
  <si>
    <t>0.823056, 41.633333</t>
  </si>
  <si>
    <t>25222</t>
  </si>
  <si>
    <t>Restaurante, Cafetería/Bar, Parking turismos, Parking camiones, Zona de descanso, Duchas, Waylet pago en caja, Adblue Envasado, Punto recarga eléctrico Repsol</t>
  </si>
  <si>
    <t>05987</t>
  </si>
  <si>
    <t>0183001395</t>
  </si>
  <si>
    <t>CRED XUQUER</t>
  </si>
  <si>
    <t>CL CLARIANO, 3</t>
  </si>
  <si>
    <t>-0.352306, 39.47625</t>
  </si>
  <si>
    <t>46021</t>
  </si>
  <si>
    <t>EFITEC 95 N - España, EFITEC 98 N - España, DIESEL E+ NEO - España, Diésel e+5, DIESEL E+10 NEO - España</t>
  </si>
  <si>
    <t>96699</t>
  </si>
  <si>
    <t>0183112416</t>
  </si>
  <si>
    <t>CRED VILLAVIDEL M.I.</t>
  </si>
  <si>
    <t>PALANQUINOS</t>
  </si>
  <si>
    <t>CR  A-231 , P.K. 8 M.I.</t>
  </si>
  <si>
    <t>-5.518139, 42.455528</t>
  </si>
  <si>
    <t>24225</t>
  </si>
  <si>
    <t>Restaurante, Parking turismos, Parking camiones, Zona de descanso, Duchas, Waylet pago en surtidor, Waylet pago en caja</t>
  </si>
  <si>
    <t>12299</t>
  </si>
  <si>
    <t>0183053883</t>
  </si>
  <si>
    <t>CRED VALENCINA</t>
  </si>
  <si>
    <t>VALENCINA DE LA CONCEPCION</t>
  </si>
  <si>
    <t>CR SE-510, 3,8</t>
  </si>
  <si>
    <t>-6.067722, 37.412278</t>
  </si>
  <si>
    <t>41907</t>
  </si>
  <si>
    <t>15451</t>
  </si>
  <si>
    <t>0183019017</t>
  </si>
  <si>
    <t>CRED LA TALAIA</t>
  </si>
  <si>
    <t>TEIA</t>
  </si>
  <si>
    <t>C-32 PK 88,5</t>
  </si>
  <si>
    <t>2.333944, 41.491917</t>
  </si>
  <si>
    <t>08329</t>
  </si>
  <si>
    <t>96065</t>
  </si>
  <si>
    <t>0183080308</t>
  </si>
  <si>
    <t>CRED EL ARCÁNGEL</t>
  </si>
  <si>
    <t>CL ENRIQUE PUGA, S.N.</t>
  </si>
  <si>
    <t>-4.766111, 37.877056</t>
  </si>
  <si>
    <t>14010</t>
  </si>
  <si>
    <t>EFITEC 95 N - España, EFITEC 98 N - España, Butano 12,5 Kg, DIESEL E+ NEO - España, Diésel e+5, DIESEL NEXA 100% RENOVABLE - Esp, Butano 6 Kg (K6), Propano 11 Kg, BLUE+GRANEL - España</t>
  </si>
  <si>
    <t>Cafetería/Bar, Lavado cepillos, Aspiradores, Solred cheque lavado, Waylet pago en surtidor, Waylet pago en caja, Punto recarga eléctrico Repsol, Lavados Klin</t>
  </si>
  <si>
    <t>34302</t>
  </si>
  <si>
    <t>0063191456</t>
  </si>
  <si>
    <t>CRED CASCANTE</t>
  </si>
  <si>
    <t>CASCANTE</t>
  </si>
  <si>
    <t>CR N-121  C, 10</t>
  </si>
  <si>
    <t>-1.676361, 41.993278</t>
  </si>
  <si>
    <t>31520</t>
  </si>
  <si>
    <t>EFITEC 95 N - España, EFITEC 98 N - España, Butano 12,5 Kg, DIESEL E+ NEO - España, Diésel e+5, DIESEL NEXA 100% RENOVABLE - Esp, Butano 6 Kg (K6), Propano 11 Kg, Butano 12 Kg (NEL)</t>
  </si>
  <si>
    <t>96548</t>
  </si>
  <si>
    <t>0183107291</t>
  </si>
  <si>
    <t>CRED LOPIDANA DCHO</t>
  </si>
  <si>
    <t>LOPIDANA</t>
  </si>
  <si>
    <t>CR N-1, 350,5</t>
  </si>
  <si>
    <t>-2.712472, 42.877139</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</si>
  <si>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</si>
  <si>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</si>
  <si>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31278</t>
  </si>
  <si>
    <t>0183010081</t>
  </si>
  <si>
    <t>CRED LOS PALANCARES</t>
  </si>
  <si>
    <t>CR N-320, 136,5</t>
  </si>
  <si>
    <t>-2.125889, 40.055111</t>
  </si>
  <si>
    <t>16004</t>
  </si>
  <si>
    <t>EFITEC 95 N - España, EFITEC 98 N - España, Butano 12,5 Kg, DIESEL E+ NEO - España, DIESEL NEXA 100% RENOVABLE - Esp, Butano 6 Kg (K6), Propano 11 Kg, Butano 12 Kg (NEL)</t>
  </si>
  <si>
    <t>Lavado cepillos, Parking turismos, Parking camiones, Aspiradores, Waylet pago en surtidor, Waylet pago en caja, Punto recarga eléctrico Repsol, Lavados Klin</t>
  </si>
  <si>
    <t>10797</t>
  </si>
  <si>
    <t>0183057678</t>
  </si>
  <si>
    <t>E.S. EUROBAMAS S.L.</t>
  </si>
  <si>
    <t>ABANILLA-V</t>
  </si>
  <si>
    <t>CR C-3223, 27</t>
  </si>
  <si>
    <t>-1.075694, 38.270222</t>
  </si>
  <si>
    <t>30640</t>
  </si>
  <si>
    <t>EFITEC 95 N - España, Butano 12,5 Kg, DIESEL E+ NEO - España, DIESEL NEXA 100% RENOVABLE - Esp, GO-B BONIF - España, Propano 11 Kg</t>
  </si>
  <si>
    <t>Cafetería/Bar, Parking turismos, Box presión, Aspiradores, Waylet pago en caja</t>
  </si>
  <si>
    <t>34524</t>
  </si>
  <si>
    <t>0063236624</t>
  </si>
  <si>
    <t>CRED ARGALES</t>
  </si>
  <si>
    <t>AVDA. NORTE DE CASTILLA 1. (POL. DE</t>
  </si>
  <si>
    <t>-4.732111, 41.628806</t>
  </si>
  <si>
    <t>47008</t>
  </si>
  <si>
    <t>EFITEC 95 N - España, EFITEC 98 N - España, DIESEL E+ NEO - España, DIESEL NEXA 100% RENOVABLE - Esp, Butano 6 Kg (K6), BLUE+GRANEL - España, Butano 12 Kg (NEL)</t>
  </si>
  <si>
    <t>Lavado cepillos, Box presión, Aspiradores, Waylet pago en surtidor, Waylet pago en caja, Adblue Envasado, Lavados Klin</t>
  </si>
  <si>
    <t>96772</t>
  </si>
  <si>
    <t>0183116656</t>
  </si>
  <si>
    <t>CRED SANCTI SPIRITUS</t>
  </si>
  <si>
    <t>SANCTI SPIRITUS</t>
  </si>
  <si>
    <t>CR  CR  A-62 ,P.K. 309 M.I.</t>
  </si>
  <si>
    <t>-6.38775, 40.711833</t>
  </si>
  <si>
    <t>37470</t>
  </si>
  <si>
    <t>Cafetería/Bar, Parking turismos, Parking camiones, Zona de descanso, Duchas, Waylet pago en surtidor, Waylet pago en caja, Punto recarga eléctrico Repsol</t>
  </si>
  <si>
    <t>31560</t>
  </si>
  <si>
    <t>0183055565</t>
  </si>
  <si>
    <t>CRED TORRENTE</t>
  </si>
  <si>
    <t>TORRENTE</t>
  </si>
  <si>
    <t>CL CARRETERA PICAÑA, 24</t>
  </si>
  <si>
    <t>-0.456389, 39.439028</t>
  </si>
  <si>
    <t>46900</t>
  </si>
  <si>
    <t>EFITEC 95 N - España, Efitec 95 Premium, EFITEC 98 N - España, DIESEL E+ NEO - España, Diésel e+5, DIESEL NEXA 100% RENOVABLE - Esp, Butano 6 Kg (K6), Autogás, Butano 12 Kg (NEL)</t>
  </si>
  <si>
    <t>Cafetería/Bar, Lavado cepillos, Box presión, Sin personal/desatendida, Aspiradores, Solred cheque lavado, Waylet pago en surtidor, Waylet pago en caja, Adblue Envasado, Punto recarga eléctrico Repsol, Lavados Klin</t>
  </si>
  <si>
    <t>33536</t>
  </si>
  <si>
    <t>0223030206</t>
  </si>
  <si>
    <t>CRED BORGES</t>
  </si>
  <si>
    <t>BORGES DEL CAMP, LES</t>
  </si>
  <si>
    <t>CR N-420, 510,1</t>
  </si>
  <si>
    <t>1.030028, 41.165361</t>
  </si>
  <si>
    <t>43350</t>
  </si>
  <si>
    <t>EFITEC 95 N - España, Efitec 95 Premium, EFITEC 98 N - España, Butano 12,5 Kg, DIESEL E+ NEO - España, DIESEL NEXA 100% RENOVABLE - Esp, Butano 6 Kg (K6), Propano 11 Kg</t>
  </si>
  <si>
    <t>Cafetería/Bar, Parking turismos, Parking camiones, Zona de descanso, Waylet pago en surtidor, Waylet pago en caja</t>
  </si>
  <si>
    <t>96491</t>
  </si>
  <si>
    <t>0183112531</t>
  </si>
  <si>
    <t>CRED ESTEPONA PLAYA</t>
  </si>
  <si>
    <t>A7  KM 1062,2</t>
  </si>
  <si>
    <t>-5.075194, 36.453111</t>
  </si>
  <si>
    <t>EFITEC 95 N - España, EFITEC 98 N - España, DIESEL E+ NEO - España, DIESEL E+10 NEO - España, Butano 6 Kg (K6), Autogás, Butano 12 Kg (NEL)</t>
  </si>
  <si>
    <t>Cafetería/Bar, Lavado cepillos, Parking turismos, Zona de descanso, Aspiradores, Waylet pago en surtidor, Waylet pago en caja, Lavados Klin</t>
  </si>
  <si>
    <t>96037</t>
  </si>
  <si>
    <t>0183078229</t>
  </si>
  <si>
    <t>E.S. GALURESA ESCLAVITUD</t>
  </si>
  <si>
    <t>BAIUCA (ESCRAVITUDE, A)</t>
  </si>
  <si>
    <t>CR N-550, 78,6</t>
  </si>
  <si>
    <t>-8.65125, 42.774028</t>
  </si>
  <si>
    <t>15980</t>
  </si>
  <si>
    <t>EFITEC 95 N - España, EFITEC 98 N - España, Butano 12,5 Kg, DIESEL E+ NEO - España, DIESEL E+10 NEO - España, GO-B BONIF - España, Propano 11 Kg</t>
  </si>
  <si>
    <t>Restaurante, Cafetería/Bar, Lavado cepillos, Parking turismos, Box presión, Aspiradores, Solred cheque lavado, Waylet pago en caja</t>
  </si>
  <si>
    <t>02097</t>
  </si>
  <si>
    <t>0183054345</t>
  </si>
  <si>
    <t>CRED CEA BERMUDEZ</t>
  </si>
  <si>
    <t>CL CEA BERMUDEZ, 32</t>
  </si>
  <si>
    <t>-3.709639, 40.439</t>
  </si>
  <si>
    <t>28003</t>
  </si>
  <si>
    <t>03060</t>
  </si>
  <si>
    <t>0183016781</t>
  </si>
  <si>
    <t>CRED V. DE CAMEROS</t>
  </si>
  <si>
    <t>LA RIOJA</t>
  </si>
  <si>
    <t>VILLANUEVA DE CAMEROS</t>
  </si>
  <si>
    <t>CR N-111, 292</t>
  </si>
  <si>
    <t>-2.650028, 42.166556</t>
  </si>
  <si>
    <t>26123</t>
  </si>
  <si>
    <t>EFITEC 95 N - España, DIESEL E+ NEO - España</t>
  </si>
  <si>
    <t>Restaurante, Cafetería/Bar, Parking turismos, Sin personal/desatendida, Waylet pago en surtidor, Waylet pago en caja, Adblue Envasado</t>
  </si>
  <si>
    <t>92095</t>
  </si>
  <si>
    <t>0183133578</t>
  </si>
  <si>
    <t>CRED MARESME</t>
  </si>
  <si>
    <t>MATARO</t>
  </si>
  <si>
    <t>CTR BARCELONA PK 27</t>
  </si>
  <si>
    <t>2.428167, 41.523194</t>
  </si>
  <si>
    <t>08302</t>
  </si>
  <si>
    <t>96607</t>
  </si>
  <si>
    <t>0183107978</t>
  </si>
  <si>
    <t>CRED ARAHAL II</t>
  </si>
  <si>
    <t>ARAHAL</t>
  </si>
  <si>
    <t>CR A-92, 44</t>
  </si>
  <si>
    <t>-5.565806, 37.254917</t>
  </si>
  <si>
    <t>41600</t>
  </si>
  <si>
    <t>11597</t>
  </si>
  <si>
    <t>0183062751</t>
  </si>
  <si>
    <t>CRED CABRERA</t>
  </si>
  <si>
    <t>CABRERA DE MAR</t>
  </si>
  <si>
    <t>CL RIERA ARGENTONA, 1</t>
  </si>
  <si>
    <t>2.420278, 41.531</t>
  </si>
  <si>
    <t>08349</t>
  </si>
  <si>
    <t>EFITEC 95 N - España, Efitec 95 Premium, EFITEC 98 N - España, Butano 12,5 Kg, DIESEL E+ NEO - España, Diésel e+5, DIESEL NEXA 100% RENOVABLE - Esp, Butano 6 Kg (K6), Propano 11 Kg, BLUE+GRANEL - España</t>
  </si>
  <si>
    <t>Lavado cepillos, Parking turismos, Aspiradores, Waylet pago en surtidor, Waylet pago en caja, Punto recarga eléctrico Repsol, Lavados Klin</t>
  </si>
  <si>
    <t>33538</t>
  </si>
  <si>
    <t>0015030588</t>
  </si>
  <si>
    <t>CRED MONTBLANC</t>
  </si>
  <si>
    <t>MONTBLANC</t>
  </si>
  <si>
    <t>CL AV. MURALLA, STA.TECLA, 10</t>
  </si>
  <si>
    <t>1.164611, 41.374361</t>
  </si>
  <si>
    <t>43400</t>
  </si>
  <si>
    <t>EFITEC 95 N - España, EFITEC 98 N - España, Butano 12,5 Kg, DIESEL E+ NEO - España, DIESEL NEXA 100% RENOVABLE - Esp, Butano 6 Kg (K6), Propano 11 Kg, BLUE+GRANEL - España</t>
  </si>
  <si>
    <t>34396</t>
  </si>
  <si>
    <t>0063197248</t>
  </si>
  <si>
    <t>CRED HUERCAL DE ALMERIA</t>
  </si>
  <si>
    <t>HUERCAL DE ALMERIA</t>
  </si>
  <si>
    <t>CR N-340  A, 446,5</t>
  </si>
  <si>
    <t>-2.444778, 36.874972</t>
  </si>
  <si>
    <t>04230</t>
  </si>
  <si>
    <t>EFITEC 95 N - España, EFITEC 98 N - España, DIESEL E+ NEO - España, DIESEL E+10 NEO - España, Propano 11 Kg, Autogás, Butano 12 Kg (NEL)</t>
  </si>
  <si>
    <t>04487</t>
  </si>
  <si>
    <t>0183012459</t>
  </si>
  <si>
    <t>CRED SALAS</t>
  </si>
  <si>
    <t>BURGOS</t>
  </si>
  <si>
    <t>SALAS DE LOS INFANTES</t>
  </si>
  <si>
    <t>CR N-234, 437</t>
  </si>
  <si>
    <t>-3.29225, 42.023583</t>
  </si>
  <si>
    <t>09600</t>
  </si>
  <si>
    <t>Lavado cepillos, Box presión, Aspiradores, Solred cheque lavado, Waylet pago en surtidor, Waylet pago en caja, Punto recarga eléctrico Repsol</t>
  </si>
  <si>
    <t>33859</t>
  </si>
  <si>
    <t>0183058981</t>
  </si>
  <si>
    <t>CRED BELLPUIG</t>
  </si>
  <si>
    <t>BELL-PUIG</t>
  </si>
  <si>
    <t>CR A-2, 495,5</t>
  </si>
  <si>
    <t>1.007167, 41.632389</t>
  </si>
  <si>
    <t>25250</t>
  </si>
  <si>
    <t>Cafetería/Bar, Parking turismos, Parking camiones, Waylet pago en surtidor, Waylet pago en caja, Punto recarga eléctrico Repsol</t>
  </si>
  <si>
    <t>93265</t>
  </si>
  <si>
    <t>0183110881</t>
  </si>
  <si>
    <t>CRED OSIRIS</t>
  </si>
  <si>
    <t>GAVA</t>
  </si>
  <si>
    <t>CL TARRAGONA, 29-31</t>
  </si>
  <si>
    <t>2.013639, 41.296861</t>
  </si>
  <si>
    <t>08850</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</si>
  <si>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</si>
  <si>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</si>
  <si>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</si>
  <si>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33470</t>
  </si>
  <si>
    <t>0073092090</t>
  </si>
  <si>
    <t>CRED SANTA CRUZ DE MUDELA</t>
  </si>
  <si>
    <t>SANTA CRUZ DE MUDELA</t>
  </si>
  <si>
    <t>CR N-4, 216,9</t>
  </si>
  <si>
    <t>-3.471361, 38.636167</t>
  </si>
  <si>
    <t>13730</t>
  </si>
  <si>
    <t>EFITEC 95 N - España, EFITEC 98 N - España, DIESEL E+ NEO - España, DIESEL NEXA 100% RENOVABLE - Esp, GO-B BONIF - España, Propano 11 Kg, BLUE+GRANEL - España, Butano 12 Kg (NEL)</t>
  </si>
  <si>
    <t>Restaurante, Cafetería/Bar, Parking turismos, Parking camiones, Duchas, Waylet pago en surtidor, Waylet pago en caja, Adblue Envasado, Punto recarga eléctrico Repsol, Recarga eléctrica</t>
  </si>
  <si>
    <t>96739</t>
  </si>
  <si>
    <t>0183113281</t>
  </si>
  <si>
    <t>CRED CAMPOLIVAR</t>
  </si>
  <si>
    <t>PATERNA</t>
  </si>
  <si>
    <t>CL CRTA.VIEJA DE BURJASOT-CENTRO CO</t>
  </si>
  <si>
    <t>-0.442306, 39.531389</t>
  </si>
  <si>
    <t>46980</t>
  </si>
  <si>
    <t>L-S: 06:30-22:30; D: 07:30-22:30</t>
  </si>
  <si>
    <t>EFITEC 95 N - España, EFITEC 98 N - España, DIESEL E+ NEO - España, DIESEL E+10 NEO - España, Butano 6 Kg (K6), BLUE+GRANEL - España, Autogás, Butano 12 Kg (NEL)</t>
  </si>
  <si>
    <t>Cafetería/Bar, Lavado cepillos, Parking turismos, Box presión, Aspiradores, Solred cheque lavado, Lavandería, Waylet pago en surtidor, Waylet pago en caja, Adblue Envasado, Punto recarga eléctrico Repsol, Lavados Klin</t>
  </si>
  <si>
    <t>34131</t>
  </si>
  <si>
    <t>0183012798</t>
  </si>
  <si>
    <t>CRED CALDES</t>
  </si>
  <si>
    <t>CALDES DE MONTBUI</t>
  </si>
  <si>
    <t>CR C-59, 16,59</t>
  </si>
  <si>
    <t>2.161417, 41.654472</t>
  </si>
  <si>
    <t>08140</t>
  </si>
  <si>
    <t>EFITEC 95 N - España, EFITEC 98 N - España, DIESEL E+ NEO - España, Diésel e+5, DIESEL NEXA 100% RENOVABLE - Esp, Butano 12 Kg (NEL)</t>
  </si>
  <si>
    <t>Parking turismos, Waylet pago en surtidor, Waylet pago en caja, Punto recarga eléctrico Repsol</t>
  </si>
  <si>
    <t>96383</t>
  </si>
  <si>
    <t>0183105162</t>
  </si>
  <si>
    <t>CRED MAJADAHONDA I</t>
  </si>
  <si>
    <t>MAJADAHONDA</t>
  </si>
  <si>
    <t>CL MANUEL DE FALLA, SN</t>
  </si>
  <si>
    <t>-3.86, 40.448778</t>
  </si>
  <si>
    <t>28220</t>
  </si>
  <si>
    <t>94335</t>
  </si>
  <si>
    <t>0183130848</t>
  </si>
  <si>
    <t>ES BILMAN BUS SL</t>
  </si>
  <si>
    <t>MONREAL DEL CAMPO</t>
  </si>
  <si>
    <t>A-23 AUTOVIA MUDEJAR, KM 165</t>
  </si>
  <si>
    <t>-1.333361, 40.750583</t>
  </si>
  <si>
    <t>44300</t>
  </si>
  <si>
    <t>Rest. Autoservicio, Cafetería/Bar, Parking turismos, Parking camiones, Box presión, Aspiradores, Waylet pago en caja</t>
  </si>
  <si>
    <t>97032</t>
  </si>
  <si>
    <t>0183129162</t>
  </si>
  <si>
    <t>CRED CUESTA DEL BOLON</t>
  </si>
  <si>
    <t>C/ VILLALPANDO ESQUINA CALLE CUESTA</t>
  </si>
  <si>
    <t>-5.747972, 41.511722</t>
  </si>
  <si>
    <t>49023</t>
  </si>
  <si>
    <t>Lavado cepillos, Parking turismos, Box presión, Aspiradores, Waylet pago en surtidor, Waylet pago en caja, Adblue Envasado, Punto recarga eléctrico Repsol, Lavados Klin</t>
  </si>
  <si>
    <t>34249</t>
  </si>
  <si>
    <t>0183003193</t>
  </si>
  <si>
    <t>CRED EL MASET</t>
  </si>
  <si>
    <t>CASTELLÓN</t>
  </si>
  <si>
    <t>CASTELLON DE LA PLANA</t>
  </si>
  <si>
    <t>CL AVENIDA VALENCIA, 96</t>
  </si>
  <si>
    <t>-0.048444, 39.976056</t>
  </si>
  <si>
    <t>12005</t>
  </si>
  <si>
    <t>EFITEC 95 N - España, EFITEC 98 N - España, DIESEL E+ NEO - España, DIESEL E+10 NEO - España, Butano 6 Kg (K6), Butano 12 Kg (NEL)</t>
  </si>
  <si>
    <t>Cafetería/Bar, Waylet pago en surtidor, Waylet pago en caja</t>
  </si>
  <si>
    <t>96729</t>
  </si>
  <si>
    <t>0183112283</t>
  </si>
  <si>
    <t>CRED ALBERIQUE</t>
  </si>
  <si>
    <t>MASALAVES</t>
  </si>
  <si>
    <t>CR. A-7 PK 378 M.I.</t>
  </si>
  <si>
    <t>-0.529361, 39.154583</t>
  </si>
  <si>
    <t>46292</t>
  </si>
  <si>
    <t>Parking turismos, Parking camiones, Zona de descanso, Waylet pago en surtidor, Waylet pago en caja, Adblue Envasado, Punto recarga eléctrico Repsol</t>
  </si>
  <si>
    <t>97138</t>
  </si>
  <si>
    <t>0183134717</t>
  </si>
  <si>
    <t>CRED ROCAFORT</t>
  </si>
  <si>
    <t>ROCAFORT</t>
  </si>
  <si>
    <t>PRINCIPE FELIPE, 3</t>
  </si>
  <si>
    <t>-0.42575, 39.549056</t>
  </si>
  <si>
    <t>46111</t>
  </si>
  <si>
    <t>EFITEC 95 N - España, Efitec 95 Premium, EFITEC 98 N - España, DIESEL E+ NEO - España, DIESEL NEXA 100% RENOVABLE - Esp, Butano 6 Kg (K6), Propano 11 Kg, BLUE+GRANEL - España, Autogás, Butano 12 Kg (NEL)</t>
  </si>
  <si>
    <t>96025</t>
  </si>
  <si>
    <t>0183077700</t>
  </si>
  <si>
    <t>CRED QUINTANAPALLA 2</t>
  </si>
  <si>
    <t>QUINTANAPALLA</t>
  </si>
  <si>
    <t>AU AP-1   (IZDA), 12</t>
  </si>
  <si>
    <t>-3.549556, 42.40475</t>
  </si>
  <si>
    <t>09290</t>
  </si>
  <si>
    <t>EFITEC 95 N - España, EFITEC 98 N - España, DIESEL E+ NEO - España, DIESEL E+10 NEO - España, BLUE+GRANEL - España, Autogás</t>
  </si>
  <si>
    <t>Restaurante, Cafetería/Bar, Parking turismos, Parking camiones, Zona de descanso, Waylet pago en surtidor, Waylet pago en caja, Adblue Envasado, Punto recarga eléctrico Repsol</t>
  </si>
  <si>
    <t>96200</t>
  </si>
  <si>
    <t>0183106426</t>
  </si>
  <si>
    <t>CRED ESKORTZA</t>
  </si>
  <si>
    <t>CL AVENIDA DE LTXUMBORRO, S.N.</t>
  </si>
  <si>
    <t>-1.817028, 43.333889</t>
  </si>
  <si>
    <t>20305</t>
  </si>
  <si>
    <t>EFITEC 95 N - España, Butano 12,5 Kg, DIESEL E+ NEO - España, DIESEL E+10 NEO - España, Propano 11 Kg, Butano 12 Kg (NEL)</t>
  </si>
  <si>
    <t>34281</t>
  </si>
  <si>
    <t>0183005149</t>
  </si>
  <si>
    <t>E.S. VILLARCE ABADESA</t>
  </si>
  <si>
    <t>VILLAGONZALO PEDERNALES</t>
  </si>
  <si>
    <t>CR A-1, 232,7 MARGEN DCHO</t>
  </si>
  <si>
    <t>-3.703306, 42.290056</t>
  </si>
  <si>
    <t>09195</t>
  </si>
  <si>
    <t>13153</t>
  </si>
  <si>
    <t>0183062686</t>
  </si>
  <si>
    <t>CRED ANDUJAR</t>
  </si>
  <si>
    <t>ANDUJAR</t>
  </si>
  <si>
    <t>CL Pª COLON, S.N.</t>
  </si>
  <si>
    <t>-4.056778, 38.035583</t>
  </si>
  <si>
    <t>23740</t>
  </si>
  <si>
    <t>EFITEC 95 N - España, EFITEC 98 N - España, DIESEL E+ NEO - España, DIESEL NEXA 100% RENOVABLE - Esp, GO-B BONIF - España, Butano 6 Kg (K6), Butano 12 Kg (NEL)</t>
  </si>
  <si>
    <t>92143</t>
  </si>
  <si>
    <t>0183116144</t>
  </si>
  <si>
    <t>CRED BAL DE TENA</t>
  </si>
  <si>
    <t>HUESCA</t>
  </si>
  <si>
    <t>SABIÑANIGO</t>
  </si>
  <si>
    <t>CR N-260  P.K. 516,00 I</t>
  </si>
  <si>
    <t>-0.355417, 42.53975</t>
  </si>
  <si>
    <t>22600</t>
  </si>
  <si>
    <t>Restaurante, Cafetería/Bar, Lavado camiones, Parking turismos, Parking camiones, Box presión, Aspiradores, Waylet pago en surtidor, Waylet pago en caja</t>
  </si>
  <si>
    <t>96891</t>
  </si>
  <si>
    <t>0183118637</t>
  </si>
  <si>
    <t>CRED GAVA PLAYA</t>
  </si>
  <si>
    <t>CR  C-31 P.K. 182,6  M.IZQ.</t>
  </si>
  <si>
    <t>2.001167, 41.269111</t>
  </si>
  <si>
    <t>EFITEC 95 N - España, EFITEC 98 N - España, Butano 12,5 Kg, DIESEL E+ NEO - España, Diésel e+5, DIESEL E+10 NEO - España, Propano 11 Kg, BLUE+GRANEL - España, Butano 12 Kg (NEL)</t>
  </si>
  <si>
    <t>Waylet pago en surtidor, Waylet pago en caja, Punto recarga eléctrico Repsol, Recarga eléctrica</t>
  </si>
  <si>
    <t>05583</t>
  </si>
  <si>
    <t>0183058064</t>
  </si>
  <si>
    <t>CRED VILLARRODIS</t>
  </si>
  <si>
    <t>VILLARRODIS</t>
  </si>
  <si>
    <t>CR L-410, 9</t>
  </si>
  <si>
    <t>-8.479167, 43.3175</t>
  </si>
  <si>
    <t>15141</t>
  </si>
  <si>
    <t>EFITEC 95 N - España, EFITEC 98 N - España, DIESEL E+ NEO - España, DIESEL E+10 NEO - España, Butano 6 Kg (K6), Propano 11 Kg, Butano 12 Kg (NEL)</t>
  </si>
  <si>
    <t>97137</t>
  </si>
  <si>
    <t>0183133636</t>
  </si>
  <si>
    <t>ES PARKING SAN CRISTOBAL MENGIBAR</t>
  </si>
  <si>
    <t>MENGIBAR</t>
  </si>
  <si>
    <t>C/ MIGUEL LOPEZ MORAL. NUM 36</t>
  </si>
  <si>
    <t>-3.801167, 37.975861</t>
  </si>
  <si>
    <t>23620</t>
  </si>
  <si>
    <t>EFITEC 95 N - España, EFITEC 98 N - España, Butano 12,5 Kg, DIESEL E+ NEO - España, DIESEL NEXA 100% RENOVABLE - Esp, Propano 11 Kg, BLUE+GRANEL - España, Butano 12 Kg (NEL)</t>
  </si>
  <si>
    <t>Parking camiones, Zona de descanso, Duchas, Waylet pago en caja, Punto recarga eléctrico Repsol</t>
  </si>
  <si>
    <t>11458</t>
  </si>
  <si>
    <t>0183054543</t>
  </si>
  <si>
    <t>CRED LUGONES</t>
  </si>
  <si>
    <t>LUGONES</t>
  </si>
  <si>
    <t>CR SI-3, 2,2</t>
  </si>
  <si>
    <t>-5.791333, 43.40025</t>
  </si>
  <si>
    <t>33420</t>
  </si>
  <si>
    <t>Restaurante, Cafetería/Bar, Lavado cepillos, Parking turismos, Parking camiones, Box presión, Aspiradores, Solred cheque lavado, Waylet pago en surtidor, Waylet pago en caja, Lavados Klin</t>
  </si>
  <si>
    <t>05837</t>
  </si>
  <si>
    <t>0183056951</t>
  </si>
  <si>
    <t>CRED CÁCERES</t>
  </si>
  <si>
    <t>CR N-630, 548,9</t>
  </si>
  <si>
    <t>-6.418306, 39.494611</t>
  </si>
  <si>
    <t>10005</t>
  </si>
  <si>
    <t>Restaurante, Cafetería/Bar, Lavado cepillos, Parking turismos, Parking camiones, Box presión, Duchas, Aspiradores, Solred cheque lavado, Waylet pago en surtidor, Waylet pago en caja, Adblue Envasado, Lavados Klin</t>
  </si>
  <si>
    <t>96401</t>
  </si>
  <si>
    <t>0183109065</t>
  </si>
  <si>
    <t>CRED EL MONTICO II</t>
  </si>
  <si>
    <t>TAMON</t>
  </si>
  <si>
    <t>AU A-8  P.K. 401,5 I</t>
  </si>
  <si>
    <t>-5.817333, 43.511278</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</si>
  <si>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</si>
  <si>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</si>
  <si>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 Punto recarga eléctrico Repsol</t>
  </si>
  <si>
    <t>96133</t>
  </si>
  <si>
    <t>0183109586</t>
  </si>
  <si>
    <t>CRED SANSE AUTOVIA</t>
  </si>
  <si>
    <t>SAN SEBASTIAN DE LOS REYES</t>
  </si>
  <si>
    <t>CR N-1, 18,6</t>
  </si>
  <si>
    <t>-3.6065, 40.545778</t>
  </si>
  <si>
    <t>28700</t>
  </si>
  <si>
    <t>EFITEC 95 N - España, EFITEC 98 N - España, DIESEL E+ NEO - España, DIESEL NEXA 100% RENOVABLE - Esp, Butano 6 Kg (K6), BLUE+GRANEL - España, Autogás</t>
  </si>
  <si>
    <t>05683</t>
  </si>
  <si>
    <t>0183019389</t>
  </si>
  <si>
    <t>E.S. ENGUERA S.L.</t>
  </si>
  <si>
    <t>ENGUERA</t>
  </si>
  <si>
    <t>CL AVENIDA CONSTITUCION, 20</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</si>
  <si>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</si>
  <si>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</si>
  <si>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</si>
  <si>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</si>
  <si>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05399</t>
  </si>
  <si>
    <t>0183016419</t>
  </si>
  <si>
    <t>ES LA SEU D'URGELL</t>
  </si>
  <si>
    <t>LA SEU D'URGELL</t>
  </si>
  <si>
    <t>CL AVENIDA VALIRA, 25</t>
  </si>
  <si>
    <t>1.454972, 42.360389</t>
  </si>
  <si>
    <t>25700</t>
  </si>
  <si>
    <t>L-D: 07:00-21:00</t>
  </si>
  <si>
    <t>15987</t>
  </si>
  <si>
    <t>0183130707</t>
  </si>
  <si>
    <t>CRED CARRER VALENCIA</t>
  </si>
  <si>
    <t>CARRER VALENCIA, 503</t>
  </si>
  <si>
    <t>2.179722, 41.405139</t>
  </si>
  <si>
    <t>08013</t>
  </si>
  <si>
    <t>EFITEC 95 N - España, Efitec 95 Premium, EFITEC 98 N - España, Butano 12,5 Kg, DIESEL E+ NEO - España, DIESEL NEXA 100% RENOVABLE - Esp, Butano 6 Kg (K6)</t>
  </si>
  <si>
    <t>97050</t>
  </si>
  <si>
    <t>0183130467</t>
  </si>
  <si>
    <t>E.S. AREA DE SERVICIO PEINADOR</t>
  </si>
  <si>
    <t>MOS</t>
  </si>
  <si>
    <t>CTRA PUXEIROS A PEINADOR, Nº 59</t>
  </si>
  <si>
    <t>-8.650583, 42.211917</t>
  </si>
  <si>
    <t>36146</t>
  </si>
  <si>
    <t>L-V: 06:00-23:00; S-D: 08:00-23:00</t>
  </si>
  <si>
    <t>Restaurante, Cafetería/Bar, Lavado cepillos, Parking turismos, Parking camiones, Zona de descanso, Box presión, Aspiradores, Solred cheque lavado, Waylet pago en caja, Recarga eléctrica</t>
  </si>
  <si>
    <t>11266</t>
  </si>
  <si>
    <t>0183130731</t>
  </si>
  <si>
    <t>ES ESTACION DE SERVICIO MOCEJON SL</t>
  </si>
  <si>
    <t>SONSECA</t>
  </si>
  <si>
    <t>CR CM-410 , P.K. 27 M.D.</t>
  </si>
  <si>
    <t>-3.987583, 39.684278</t>
  </si>
  <si>
    <t>45100</t>
  </si>
  <si>
    <t>L-S: 07:00-22:00; D: 08:00-22:00</t>
  </si>
  <si>
    <t>05768</t>
  </si>
  <si>
    <t>0183052174</t>
  </si>
  <si>
    <t>CRED AGUILAR</t>
  </si>
  <si>
    <t>AGUILAR DE CAMPOO</t>
  </si>
  <si>
    <t>CL AVENIDA RONDA, 111</t>
  </si>
  <si>
    <t>-4.255306, 42.793639</t>
  </si>
  <si>
    <t>34800</t>
  </si>
  <si>
    <t>Lavado cepillos, Box presión, Aspiradores, Solred cheque lavado, Waylet pago en surtidor, Waylet pago en caja, Adblue Envasado, Lavados Klin</t>
  </si>
  <si>
    <t>13371</t>
  </si>
  <si>
    <t>0183077031</t>
  </si>
  <si>
    <t>CL AVDA. DE LA ALDEHUELA, S.N.</t>
  </si>
  <si>
    <t>-5.65325, 40.957972</t>
  </si>
  <si>
    <t>37008</t>
  </si>
  <si>
    <t>Parking turismos, Parking camiones, Box presión, Aspiradores, Waylet pago en caja</t>
  </si>
  <si>
    <t>11299</t>
  </si>
  <si>
    <t>0183113216</t>
  </si>
  <si>
    <t>ASTIGI IBERICA,S.L.</t>
  </si>
  <si>
    <t>FUENTE PALMERA(LOS VILLARES)</t>
  </si>
  <si>
    <t>CR CP-246  P.K. 8,8</t>
  </si>
  <si>
    <t>-5.100028, 37.692028</t>
  </si>
  <si>
    <t>14120</t>
  </si>
  <si>
    <t>EFITEC 95 N - España, Butano 12,5 Kg, DIESEL E+ NEO - España, DIESEL E+10 NEO - España, GO-B BONIF - España</t>
  </si>
  <si>
    <t>Box presión, Aspiradores, Waylet pago en caja</t>
  </si>
  <si>
    <t>33048</t>
  </si>
  <si>
    <t>0063197115</t>
  </si>
  <si>
    <t>CRED MUSAKOLA</t>
  </si>
  <si>
    <t>MONDRAGON</t>
  </si>
  <si>
    <t>CL AVDA. DE GUIPUZCOA, 34</t>
  </si>
  <si>
    <t>-2.478333, 43.067028</t>
  </si>
  <si>
    <t>20500</t>
  </si>
  <si>
    <t>L-S: 06:00-22:00; D: 08:00-20:00</t>
  </si>
  <si>
    <t>EFITEC 95 N - España, EFITEC 98 N - España, DIESEL E+ NEO - España, DIESEL NEXA 100% RENOVABLE - Esp, Butano 6 Kg (K6), Propano 11 Kg, Butano 12 Kg (NEL)</t>
  </si>
  <si>
    <t>33471</t>
  </si>
  <si>
    <t>0183017672</t>
  </si>
  <si>
    <t>CRED BARREIROS</t>
  </si>
  <si>
    <t>BARREIROS</t>
  </si>
  <si>
    <t>CR N-634, 570,4</t>
  </si>
  <si>
    <t>-7.241778, 43.539972</t>
  </si>
  <si>
    <t>27790</t>
  </si>
  <si>
    <t>EFITEC 95 N - España, EFITEC 98 N - España, Butano 12,5 Kg, DIESEL E+ NEO - España, DIESEL E+10 NEO - España, GO-B BONIF - España, Butano 6 Kg (K6), Propano 11 Kg</t>
  </si>
  <si>
    <t>Lavado cepillos, Box presión, Aspiradores, Waylet pago en surtidor, Waylet pago en caja, Lavados Klin</t>
  </si>
  <si>
    <t>33003</t>
  </si>
  <si>
    <t>0063237572</t>
  </si>
  <si>
    <t>CRED HIPÓDROMO</t>
  </si>
  <si>
    <t>CR A-6,  8</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</si>
  <si>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</si>
  <si>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</si>
  <si>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</si>
  <si>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04099</t>
  </si>
  <si>
    <t>0183058684</t>
  </si>
  <si>
    <t>CRED POZOBLANCO</t>
  </si>
  <si>
    <t>POZOBLANCO</t>
  </si>
  <si>
    <t>CR C-420  VVA. SERENA-ANDUJAR, 131,</t>
  </si>
  <si>
    <t>-4.860222, 38.379972</t>
  </si>
  <si>
    <t>14400</t>
  </si>
  <si>
    <t>EFITEC 95 N - España, Efitec 95 Premium, EFITEC 98 N - España, DIESEL E+ NEO - España, Diésel e+5, DIESEL NEXA 100% RENOVABLE - Esp, BLUE+GRANEL - España, Butano 12 Kg (NEL)</t>
  </si>
  <si>
    <t>11282</t>
  </si>
  <si>
    <t>0183050806</t>
  </si>
  <si>
    <t>CRED OLAZ</t>
  </si>
  <si>
    <t>CR N-135, 4,6</t>
  </si>
  <si>
    <t>-1.593222, 42.816111</t>
  </si>
  <si>
    <t>L-V: 06:30-22:00</t>
  </si>
  <si>
    <t>03862</t>
  </si>
  <si>
    <t>0183013861</t>
  </si>
  <si>
    <t>CRED ALCÁZAR</t>
  </si>
  <si>
    <t>ALCAZAR DE SAN JUAN</t>
  </si>
  <si>
    <t>CR N-420, 284,7</t>
  </si>
  <si>
    <t>-3.230528, 39.388333</t>
  </si>
  <si>
    <t>13600</t>
  </si>
  <si>
    <t>EFITEC 95 N - España, EFITEC 98 N - España, Butano 12,5 Kg, DIESEL E+ NEO - España, DIESEL NEXA 100% RENOVABLE - Esp, GO-B BONIF - España, BLUE+GRANEL - España, Autogás, Butano 12 Kg (NEL)</t>
  </si>
  <si>
    <t>96374</t>
  </si>
  <si>
    <t>0183105469</t>
  </si>
  <si>
    <t>CRED ALGARROBO</t>
  </si>
  <si>
    <t>ALGARROBO</t>
  </si>
  <si>
    <t>AU A-7  277,8</t>
  </si>
  <si>
    <t>-4.050556, 36.760194</t>
  </si>
  <si>
    <t>29750</t>
  </si>
  <si>
    <t>97111</t>
  </si>
  <si>
    <t>0183131283</t>
  </si>
  <si>
    <t>CRED JEREZ ALTO II</t>
  </si>
  <si>
    <t>AVDA. PRESIDENTE ADOLFO SUAREZ N</t>
  </si>
  <si>
    <t>-6.125056, 36.707083</t>
  </si>
  <si>
    <t>11407</t>
  </si>
  <si>
    <t>EFITEC 95 N - España, DIESEL E+ NEO - España, DIESEL E+10 NEO - España</t>
  </si>
  <si>
    <t>Waylet pago en surtidor, Waylet pago en caja, Adblue Envasado, Punto recarga eléctrico Repsol, Recarga eléctrica</t>
  </si>
  <si>
    <t>96350</t>
  </si>
  <si>
    <t>0183104553</t>
  </si>
  <si>
    <t>CRED CIUDAD EXPO</t>
  </si>
  <si>
    <t>MAIRENA DE ALJARAFE</t>
  </si>
  <si>
    <t>CL AVDA. CUBA, S.N.</t>
  </si>
  <si>
    <t>-6.047417, 37.352083</t>
  </si>
  <si>
    <t>41927</t>
  </si>
  <si>
    <t>Lavado cepillos, Box presión, Aspiradores, Solred cheque lavado, Lavandería, Waylet pago en surtidor, Waylet pago en caja, Adblue Envasado, Punto recarga eléctrico Repsol, Lavados Klin</t>
  </si>
  <si>
    <t>96671</t>
  </si>
  <si>
    <t>0183111459</t>
  </si>
  <si>
    <t>CRED  LA ATALAYA M.D.</t>
  </si>
  <si>
    <t>VILLAVICIOSA DE ODON</t>
  </si>
  <si>
    <t>CR  M-50 , P.K. 66,5</t>
  </si>
  <si>
    <t>-3.8725, 40.376694</t>
  </si>
  <si>
    <t>28670</t>
  </si>
  <si>
    <t>Restaurante, Cafetería/Bar, Lavado cepillos, Parking turismos, Parking camiones, Zona de descanso, Box presión, Aspiradores, Solred cheque lavado, Waylet pago en surtidor, Waylet pago en caja, Adblue Envasado, Punto recarga eléctrico Repsol, Lavados Klin</t>
  </si>
  <si>
    <t>96589</t>
  </si>
  <si>
    <t>0183107937</t>
  </si>
  <si>
    <t>CRED MARQUESES DE BARBERA</t>
  </si>
  <si>
    <t>CR N-150, 8,6</t>
  </si>
  <si>
    <t>2.123889, 41.521083</t>
  </si>
  <si>
    <t>Cafetería/Bar, Parking turismos, Waylet pago en surtidor, Waylet pago en caja, Adblue Envasado, Punto recarga eléctrico Repsol, Recarga eléctrica</t>
  </si>
  <si>
    <t>15673</t>
  </si>
  <si>
    <t>0183011972</t>
  </si>
  <si>
    <t>CRED SAN JUAN DE DIOS</t>
  </si>
  <si>
    <t>SAN ANDRES DEL RABAN</t>
  </si>
  <si>
    <t>CR C-623, 3,4</t>
  </si>
  <si>
    <t>-5.602306, 42.617306</t>
  </si>
  <si>
    <t>24191</t>
  </si>
  <si>
    <t>EFITEC 95 N - España, EFITEC 98 N - España, Butano 12,5 Kg, DIESEL E+ NEO - España, Diésel e+5, DIESEL E+10 NEO - España, Propano 11 Kg</t>
  </si>
  <si>
    <t>31554</t>
  </si>
  <si>
    <t>0068088731</t>
  </si>
  <si>
    <t>ES PUIGFEL CARBURANTS</t>
  </si>
  <si>
    <t>RIPOLLET</t>
  </si>
  <si>
    <t>CR B-141, 0,4</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</si>
  <si>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</si>
  <si>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</si>
  <si>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</si>
  <si>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</si>
  <si>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11841</t>
  </si>
  <si>
    <t>0183056738</t>
  </si>
  <si>
    <t>CRED VALSECA</t>
  </si>
  <si>
    <t>SEGOVIA</t>
  </si>
  <si>
    <t>VALSECA</t>
  </si>
  <si>
    <t>CR CL-601, 100,8</t>
  </si>
  <si>
    <t>-4.148778, 40.998861</t>
  </si>
  <si>
    <t>40390</t>
  </si>
  <si>
    <t>96398</t>
  </si>
  <si>
    <t>0183106392</t>
  </si>
  <si>
    <t>CRED GINES</t>
  </si>
  <si>
    <t>GINES</t>
  </si>
  <si>
    <t>CR SE-625, 0,750</t>
  </si>
  <si>
    <t>-6.082028, 37.377722</t>
  </si>
  <si>
    <t>41960</t>
  </si>
  <si>
    <t>EFITEC 95 N - España, EFITEC 98 N - España, DIESEL E+ NEO - España, DIESEL E+10 NEO - España, BLUE+GRANEL - España, Autogás, Butano 12 Kg (NEL)</t>
  </si>
  <si>
    <t>33287</t>
  </si>
  <si>
    <t>0183004001</t>
  </si>
  <si>
    <t>CRED ARAHAL</t>
  </si>
  <si>
    <t>-5.564444, 37.255611</t>
  </si>
  <si>
    <t>Lavado cepillos, Parking turismos, Parking camiones, Box presión, Aspiradores, Solred cheque lavado, Waylet pago en surtidor, Waylet pago en caja, Adblue Envasado, Punto recarga eléctrico Repsol, Lavados Klin</t>
  </si>
  <si>
    <t>96019</t>
  </si>
  <si>
    <t>0183077577</t>
  </si>
  <si>
    <t>CRED MIERES</t>
  </si>
  <si>
    <t>MIERES</t>
  </si>
  <si>
    <t>CL POLG.INDUS.VEGA DE ARRIBA, SN</t>
  </si>
  <si>
    <t>-5.778889, 43.236944</t>
  </si>
  <si>
    <t>33600</t>
  </si>
  <si>
    <t>96329</t>
  </si>
  <si>
    <t>0183101872</t>
  </si>
  <si>
    <t>CRED RÍO CASTOR I</t>
  </si>
  <si>
    <t>AU AP-7, 161,00 I</t>
  </si>
  <si>
    <t>-5.116556, 36.463556</t>
  </si>
  <si>
    <t>Restaurante, Cafetería/Bar, Parking turismos, Parking camiones, Duchas, Waylet pago en surtidor, Waylet pago en caja</t>
  </si>
  <si>
    <t>05720</t>
  </si>
  <si>
    <t>0183014679</t>
  </si>
  <si>
    <t>CRED FELANITX</t>
  </si>
  <si>
    <t>FELANITX</t>
  </si>
  <si>
    <t>CR CAMPOS, KM 11,1, 85</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</si>
  <si>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</si>
  <si>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</si>
  <si>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</si>
  <si>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</si>
  <si>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</si>
  <si>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96909</t>
  </si>
  <si>
    <t>0183124015</t>
  </si>
  <si>
    <t>CRED PARQUE LOGISTICO</t>
  </si>
  <si>
    <t>CTRA. A-431 P.K. 4 (PARQUE LOGISTIC</t>
  </si>
  <si>
    <t>-4.836111, 37.878611</t>
  </si>
  <si>
    <t>14005</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</si>
  <si>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</si>
  <si>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</si>
  <si>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33371</t>
  </si>
  <si>
    <t>0018025353</t>
  </si>
  <si>
    <t>CRED VILLARES</t>
  </si>
  <si>
    <t>VILLARES DE LA REINA</t>
  </si>
  <si>
    <t>CL CTRA.VALLADOLIDPG.LOS VILLA, 2</t>
  </si>
  <si>
    <t>-5.646389, 40.98825</t>
  </si>
  <si>
    <t>37184</t>
  </si>
  <si>
    <t>96636</t>
  </si>
  <si>
    <t>0183110584</t>
  </si>
  <si>
    <t>CRED EL REALENGO</t>
  </si>
  <si>
    <t>CREVILLENTE</t>
  </si>
  <si>
    <t>AP-7, P.K. 728,200</t>
  </si>
  <si>
    <t>-0.812639, 38.193028</t>
  </si>
  <si>
    <t>03330</t>
  </si>
  <si>
    <t>L-D: 00:00-23:59</t>
  </si>
  <si>
    <t>34000</t>
  </si>
  <si>
    <t>0183012988</t>
  </si>
  <si>
    <t>CRED RABADE</t>
  </si>
  <si>
    <t>RABADE</t>
  </si>
  <si>
    <t>CL AVENIDA D FERROL, 67</t>
  </si>
  <si>
    <t>-7.621028, 43.122306</t>
  </si>
  <si>
    <t>27370</t>
  </si>
  <si>
    <t>Lavado cepillos, Waylet pago en surtidor, Waylet pago en caja, Lavados Klin</t>
  </si>
  <si>
    <t>37001</t>
  </si>
  <si>
    <t>0183102961</t>
  </si>
  <si>
    <t>E.S. MATASA</t>
  </si>
  <si>
    <t>COCA</t>
  </si>
  <si>
    <t>CR SG-3431 CUELLAR-ALDEANUEVA, 32,6</t>
  </si>
  <si>
    <t>-4.52675, 41.213417</t>
  </si>
  <si>
    <t>40480</t>
  </si>
  <si>
    <t>L-V: 07:00-21:00; S: 08:00-15:00</t>
  </si>
  <si>
    <t>EFITEC 95 N - España, Butano 12,5 Kg, DIESEL E+ NEO - España, DIESEL E+10 NEO - España, GO-B BONIF - España, Propano 11 Kg</t>
  </si>
  <si>
    <t>31270</t>
  </si>
  <si>
    <t>0183058957</t>
  </si>
  <si>
    <t>CRED ELVIÑA</t>
  </si>
  <si>
    <t>CORUÑA, LA</t>
  </si>
  <si>
    <t>AV DE ALFONSO DE MOLINA 106</t>
  </si>
  <si>
    <t>-8.402278, 43.333556</t>
  </si>
  <si>
    <t>15008</t>
  </si>
  <si>
    <t>12501</t>
  </si>
  <si>
    <t>0183060870</t>
  </si>
  <si>
    <t>E.S. NAVAS A., SL</t>
  </si>
  <si>
    <t>CASTILLEJO DE MESLEON</t>
  </si>
  <si>
    <t>CR A-1, 107,4</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</si>
  <si>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</si>
  <si>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</si>
  <si>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</si>
  <si>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15896</t>
  </si>
  <si>
    <t>0183051424</t>
  </si>
  <si>
    <t>ARMENGOL MORALES SL.</t>
  </si>
  <si>
    <t>PUIGCERDA</t>
  </si>
  <si>
    <t>CR N-152, 171</t>
  </si>
  <si>
    <t>1.936194, 42.432667</t>
  </si>
  <si>
    <t>17520</t>
  </si>
  <si>
    <t>Restaurante, Cafetería/Bar, Lavado cepillos, Parking turismos, Zona de descanso, Box presión, Aspiradores, Solred cheque lavado, Waylet pago en caja, Adblue Envasado, Punto recarga eléctrico Repsol, Recarga eléctrica</t>
  </si>
  <si>
    <t>33168</t>
  </si>
  <si>
    <t>0183134519</t>
  </si>
  <si>
    <t>CRED SANTA ENGRACIA</t>
  </si>
  <si>
    <t>CALLE PONZANO 1</t>
  </si>
  <si>
    <t>-3.699667, 40.437528</t>
  </si>
  <si>
    <t>28010</t>
  </si>
  <si>
    <t>L-X: 07:00-23:00; J: 07:00-23:59; V-S: 00:00-23:59; D: 00:00-23:00</t>
  </si>
  <si>
    <t>04915</t>
  </si>
  <si>
    <t>0183015486</t>
  </si>
  <si>
    <t>CRED PUXEIROS DCHO</t>
  </si>
  <si>
    <t>A CABRAL-IGREXA</t>
  </si>
  <si>
    <t>CTRA MADRID 236</t>
  </si>
  <si>
    <t>-8.669083, 42.211111</t>
  </si>
  <si>
    <t>36318</t>
  </si>
  <si>
    <t>EFITEC 95 N - España, Efitec 95 Premium, EFITEC 98 N - España, DIESEL E+ NEO - España, Diésel e+5, DIESEL E+10 NEO - España, BLUE+GRANEL - España</t>
  </si>
  <si>
    <t>96786</t>
  </si>
  <si>
    <t>0183119445</t>
  </si>
  <si>
    <t>CRED MERIDA AUTOVIA DCHO.</t>
  </si>
  <si>
    <t>MERIDA</t>
  </si>
  <si>
    <t>CTRA A-5, KM 341</t>
  </si>
  <si>
    <t>-6.365083, 38.938417</t>
  </si>
  <si>
    <t>06800</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</si>
  <si>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</si>
  <si>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</si>
  <si>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96958</t>
  </si>
  <si>
    <t>0183123710</t>
  </si>
  <si>
    <t>ES CENTROS DE LAVADO EL DELFIN</t>
  </si>
  <si>
    <t>FINESTRAT</t>
  </si>
  <si>
    <t>AVDA PICASSO PARCELA A-4 SECTOR 27</t>
  </si>
  <si>
    <t>-0.17275, 38.533722</t>
  </si>
  <si>
    <t>03509</t>
  </si>
  <si>
    <t>Lavado cepillos, Box presión, Aspiradores, Waylet pago en caja</t>
  </si>
  <si>
    <t>15725</t>
  </si>
  <si>
    <t>0183056514</t>
  </si>
  <si>
    <t>CRED MAIRENA</t>
  </si>
  <si>
    <t>MAIRENA DEL ALCOR</t>
  </si>
  <si>
    <t>CL CERVANTES, 110</t>
  </si>
  <si>
    <t>-5.75825, 37.371</t>
  </si>
  <si>
    <t>41510</t>
  </si>
  <si>
    <t>97114</t>
  </si>
  <si>
    <t>0183133156</t>
  </si>
  <si>
    <t>CRED ALHAMA</t>
  </si>
  <si>
    <t>ALHAMA DE MURCIA</t>
  </si>
  <si>
    <t>CR A-7 PK 606 M.D.</t>
  </si>
  <si>
    <t>-1.42875, 37.794833</t>
  </si>
  <si>
    <t>30840</t>
  </si>
  <si>
    <t>12270</t>
  </si>
  <si>
    <t>0183060300</t>
  </si>
  <si>
    <t>CRED LA CERRADA</t>
  </si>
  <si>
    <t>MALIAÑO</t>
  </si>
  <si>
    <t>AU A-10, 5</t>
  </si>
  <si>
    <t>-3.836333, 43.412444</t>
  </si>
  <si>
    <t>39600</t>
  </si>
  <si>
    <t>Restaurante, Cafetería/Bar, Lavado cepillos, Aspiradores, Solred cheque lavado, Waylet pago en surtidor, Waylet pago en caja, Lavados Klin</t>
  </si>
  <si>
    <t>10822</t>
  </si>
  <si>
    <t>0183012152</t>
  </si>
  <si>
    <t>CRED LOPIDANA</t>
  </si>
  <si>
    <t>CR N-1, 350,5 IZQ</t>
  </si>
  <si>
    <t>-2.714472, 42.878694</t>
  </si>
  <si>
    <t>EFITEC 95 N - España, EFITEC 98 N - España, Butano 12,5 Kg, DIESEL E+ NEO - España, DIESEL NEXA 100% RENOVABLE - Esp, GO-B BONIF - España, Butano 6 Kg (K6), Propano 11 Kg, BLUE+GRANEL - España, Autogás</t>
  </si>
  <si>
    <t>34471</t>
  </si>
  <si>
    <t>0183014695</t>
  </si>
  <si>
    <t>CRED EL CANDADO PLAYA M. DCHO</t>
  </si>
  <si>
    <t xml:space="preserve"> CL ALMERIA, 78 M. DCHO</t>
  </si>
  <si>
    <t>-4.344361, 36.714944</t>
  </si>
  <si>
    <t>29018</t>
  </si>
  <si>
    <t>EFITEC 95 N - España, EFITEC 98 N - España, DIESEL E+ NEO - España, Diésel e+5, DIESEL E+10 NEO - España, Butano 12 Kg (NEL)</t>
  </si>
  <si>
    <t>Parking turismos, Box presión, Aspiradores, Waylet pago en surtidor, Waylet pago en caja</t>
  </si>
  <si>
    <t>93461</t>
  </si>
  <si>
    <t>0183119692</t>
  </si>
  <si>
    <t>CRED RAFELBUÑOL</t>
  </si>
  <si>
    <t>RAFAELBUNYOL</t>
  </si>
  <si>
    <t>AV CAMI DE LA CEBOLLA, 45</t>
  </si>
  <si>
    <t>-0.323722, 39.587417</t>
  </si>
  <si>
    <t>46138</t>
  </si>
  <si>
    <t>Cafetería/Bar, Lavado cepillos, Box presión, Aspiradores, Waylet pago en surtidor, Waylet pago en caja, Lavados Klin</t>
  </si>
  <si>
    <t>13198</t>
  </si>
  <si>
    <t>0183063767</t>
  </si>
  <si>
    <t>CRED CREVILLENTE</t>
  </si>
  <si>
    <t>CR CV-875 ,P.K. 10,5</t>
  </si>
  <si>
    <t>-0.791083, 38.233111</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</si>
  <si>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</si>
  <si>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</si>
  <si>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97090</t>
  </si>
  <si>
    <t>0183130921</t>
  </si>
  <si>
    <t>CRED MOLLET</t>
  </si>
  <si>
    <t>RONDA LA FARINERA 17</t>
  </si>
  <si>
    <t>2.2025, 41.538333</t>
  </si>
  <si>
    <t>33034</t>
  </si>
  <si>
    <t>0063167969</t>
  </si>
  <si>
    <t>CRED ZAFRA P.</t>
  </si>
  <si>
    <t>ZAFRA</t>
  </si>
  <si>
    <t>CL. CERVANTES SN</t>
  </si>
  <si>
    <t>-6.413944, 38.422778</t>
  </si>
  <si>
    <t>06300</t>
  </si>
  <si>
    <t>Cafetería/Bar, Taller mecánico, Zona de descanso, Waylet pago en surtidor, Waylet pago en caja, Adblue Envasado</t>
  </si>
  <si>
    <t>07590</t>
  </si>
  <si>
    <t>0183059807</t>
  </si>
  <si>
    <t>CRED LA RUA</t>
  </si>
  <si>
    <t>OURENSE</t>
  </si>
  <si>
    <t>RUA, LA</t>
  </si>
  <si>
    <t>CL CIRCUNVALACION, S.N.  I</t>
  </si>
  <si>
    <t>-7.096139, 42.399083</t>
  </si>
  <si>
    <t>32350</t>
  </si>
  <si>
    <t>EFITEC 95 N - España, EFITEC 98 N - España, Butano 12,5 Kg, DIESEL E+ NEO - España, Diésel e+5, DIESEL E+10 NEO - España</t>
  </si>
  <si>
    <t>Box presión, Aspiradores, Waylet pago en surtidor, Waylet pago en caja</t>
  </si>
  <si>
    <t>12234</t>
  </si>
  <si>
    <t>0183129816</t>
  </si>
  <si>
    <t>E.S. ARBA SA M.D.</t>
  </si>
  <si>
    <t>SAELICES</t>
  </si>
  <si>
    <t>AUTOVIA A3 P.K. 108 D</t>
  </si>
  <si>
    <t>-2.743472, 39.912</t>
  </si>
  <si>
    <t>16430</t>
  </si>
  <si>
    <t>Cafetería/Bar, Parking turismos, Parking camiones, Zona de descanso, Duchas, Waylet pago en caja</t>
  </si>
  <si>
    <t>15877</t>
  </si>
  <si>
    <t>0183055573</t>
  </si>
  <si>
    <t>CRED LUGO (LA MURALLA)</t>
  </si>
  <si>
    <t>CL RONDA MURALLA, 134</t>
  </si>
  <si>
    <t>-7.562778, 43.012278</t>
  </si>
  <si>
    <t>27004</t>
  </si>
  <si>
    <t>03815</t>
  </si>
  <si>
    <t>0002251437</t>
  </si>
  <si>
    <t>CRED PUERTO LUMBRERAS</t>
  </si>
  <si>
    <t>PUERTO LUMBRERAS</t>
  </si>
  <si>
    <t>CR N-340   A, 578,2</t>
  </si>
  <si>
    <t>-1.801861, 37.568778</t>
  </si>
  <si>
    <t>30890</t>
  </si>
  <si>
    <t>Lavado cepillos, Parking turismos, Parking camiones, Zona de descanso, Box presión, Solred cheque lavado, Waylet pago en surtidor, Waylet pago en caja, Adblue Envasado, Punto recarga eléctrico Repsol, Lavados Klin</t>
  </si>
  <si>
    <t>96901</t>
  </si>
  <si>
    <t>0183123165</t>
  </si>
  <si>
    <t>CRED SAN MIGUEL DE SALINAS</t>
  </si>
  <si>
    <t>SAN MIGUEL DE SALINA</t>
  </si>
  <si>
    <t>RONDA OESTE S/N ESQUINA C/MIGUEL HE</t>
  </si>
  <si>
    <t>-0.793111, 37.981583</t>
  </si>
  <si>
    <t>03193</t>
  </si>
  <si>
    <t>L-S: 06:00-22:00; D: 08:00-21:00</t>
  </si>
  <si>
    <t>13411</t>
  </si>
  <si>
    <t>0183076132</t>
  </si>
  <si>
    <t>CRED NEPTUNO</t>
  </si>
  <si>
    <t>CL PROLONGACION RECOGIDAS, S/N</t>
  </si>
  <si>
    <t>-3.605806, 37.170194</t>
  </si>
  <si>
    <t>18004</t>
  </si>
  <si>
    <t>EFITEC 95 N - España, EFITEC 98 N - España, DIESEL E+ NEO - España, Diésel e+5, DIESEL NEXA 100% RENOVABLE - Esp, Butano 6 Kg (K6), Propano 11 Kg, Butano 12 Kg (NEL)</t>
  </si>
  <si>
    <t>97129</t>
  </si>
  <si>
    <t>0183133206</t>
  </si>
  <si>
    <t>CRED ALCOVER</t>
  </si>
  <si>
    <t>VALLS</t>
  </si>
  <si>
    <t>POL. 17 PARCELA 127-129 ENLACE AUTO</t>
  </si>
  <si>
    <t>1.229361, 41.271861</t>
  </si>
  <si>
    <t>43800</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</si>
  <si>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</si>
  <si>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</si>
  <si>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12954</t>
  </si>
  <si>
    <t>0183060607</t>
  </si>
  <si>
    <t>CRED CAZALEGAS II</t>
  </si>
  <si>
    <t>CAZALEGAS</t>
  </si>
  <si>
    <t>CR A-5, 103,2</t>
  </si>
  <si>
    <t>-4.691694, 39.993667</t>
  </si>
  <si>
    <t>45683</t>
  </si>
  <si>
    <t>L-J: 06:00-22:00; V: 06:00-23:00; S-D: 06:00-22:00</t>
  </si>
  <si>
    <t>EFITEC 95 N - España, EFITEC 98 N - España, Butano 12,5 Kg, DIESEL E+ NEO - España, DIESEL NEXA 100% RENOVABLE - Esp, GO-B BONIF - España, Propano 11 Kg, BLUE+GRANEL - España, Autogás, Butano 12 Kg (NEL)</t>
  </si>
  <si>
    <t>Restaurante, Cafetería/Bar, Parking turismos, Parking camiones, Zona de descanso, Duchas, Waylet pago en surtidor, Waylet pago en caja</t>
  </si>
  <si>
    <t>11481</t>
  </si>
  <si>
    <t>0183055953</t>
  </si>
  <si>
    <t>CRED YUNCLER</t>
  </si>
  <si>
    <t>YUNCLER</t>
  </si>
  <si>
    <t>CR A-42, 47,3</t>
  </si>
  <si>
    <t>-3.913361, 40.048361</t>
  </si>
  <si>
    <t>45529</t>
  </si>
  <si>
    <t>96506</t>
  </si>
  <si>
    <t>0183108661</t>
  </si>
  <si>
    <t>CRED ESPINOSA</t>
  </si>
  <si>
    <t>ESPINOSA DE LOS CABALLEROS</t>
  </si>
  <si>
    <t>CR A-6, 118,5</t>
  </si>
  <si>
    <t>-4.664472, 41.010083</t>
  </si>
  <si>
    <t>05296</t>
  </si>
  <si>
    <t>Restaurante, Cafetería/Bar, Parking turismos, Parking camiones, Zona de descanso, Waylet pago en surtidor, Waylet pago en caja, Punto recarga eléctrico Repsol, Recarga eléctrica</t>
  </si>
  <si>
    <t>96846</t>
  </si>
  <si>
    <t>0183119767</t>
  </si>
  <si>
    <t>CRED NOVA CULLERA</t>
  </si>
  <si>
    <t>CULLERA</t>
  </si>
  <si>
    <t>CL CORBERA S/N BULEVAR DE PARCELA 1</t>
  </si>
  <si>
    <t>-0.254167, 39.156111</t>
  </si>
  <si>
    <t>46400</t>
  </si>
  <si>
    <t>EFITEC 95 N - España, EFITEC 98 N - España, Butano 12,5 Kg, DIESEL E+ NEO - España, DIESEL E+10 NEO - España, Butano 6 Kg (K6), Propano 11 Kg, BLUE+GRANEL - España, Butano 12 Kg (NEL)</t>
  </si>
  <si>
    <t>34498</t>
  </si>
  <si>
    <t>0183018308</t>
  </si>
  <si>
    <t>CRED PUERTOLLANO</t>
  </si>
  <si>
    <t>PUERTOLLANO</t>
  </si>
  <si>
    <t>CR N-420, 163</t>
  </si>
  <si>
    <t>-4.099833, 38.705222</t>
  </si>
  <si>
    <t>13500</t>
  </si>
  <si>
    <t>Restaurante, Cafetería/Bar, Parking turismos, Zona de descanso, Box presión, Aspiradores, Waylet pago en surtidor, Waylet pago en caja, Adblue Envasado, Punto recarga eléctrico Repsol, Lavados Klin</t>
  </si>
  <si>
    <t>13427</t>
  </si>
  <si>
    <t>0183062595</t>
  </si>
  <si>
    <t>CRED VILLA OLÍMPICA</t>
  </si>
  <si>
    <t>AV DEL LITORAL 49</t>
  </si>
  <si>
    <t>2.204278, 41.393111</t>
  </si>
  <si>
    <t>08005</t>
  </si>
  <si>
    <t>Cafetería/Bar, Taller mecánico, Lavado cepillos, Parking turismos, Box presión, Aspiradores, Solred cheque lavado, Waylet pago en surtidor, Waylet pago en caja, Punto recarga eléctrico Repsol, Lavados Klin</t>
  </si>
  <si>
    <t>03774</t>
  </si>
  <si>
    <t>0063209944</t>
  </si>
  <si>
    <t>ES ENERGY SERVICE TORREDONJIMENO, S</t>
  </si>
  <si>
    <t>TORREDONJIMENO</t>
  </si>
  <si>
    <t>AVDA DE JAEN, NUM. 19</t>
  </si>
  <si>
    <t>-3.944861, 37.763528</t>
  </si>
  <si>
    <t>23650</t>
  </si>
  <si>
    <t>EFITEC 95 N - España, Butano 12,5 Kg, DIESEL E+ NEO - España, DIESEL NEXA 100% RENOVABLE - Esp, Propano 11 Kg</t>
  </si>
  <si>
    <t>Lavado cepillos, Box presión, Aspiradores, Waylet pago en caja, Adblue Envasado</t>
  </si>
  <si>
    <t>97092</t>
  </si>
  <si>
    <t>0183130582</t>
  </si>
  <si>
    <t>CRED PUXEIROS IZQ</t>
  </si>
  <si>
    <t>VIGO</t>
  </si>
  <si>
    <t>CTRA MADRID Nº 245</t>
  </si>
  <si>
    <t>-8.668806, 42.211556</t>
  </si>
  <si>
    <t>EFITEC 95 N - España, EFITEC 98 N - España, DIESEL E+ NEO - España, DIESEL E+10 NEO - España, GO-B BONIF - España, Propano 11 Kg</t>
  </si>
  <si>
    <t>Cafetería/Bar, Box presión, Waylet pago en surtidor, Waylet pago en caja</t>
  </si>
  <si>
    <t>34332</t>
  </si>
  <si>
    <t>0183000447</t>
  </si>
  <si>
    <t>CRED CASTELLDEFELS</t>
  </si>
  <si>
    <t>CASTELLDEFELS</t>
  </si>
  <si>
    <t>CL AVENIDA 303, 1</t>
  </si>
  <si>
    <t>1.973528, 41.27525</t>
  </si>
  <si>
    <t>08860</t>
  </si>
  <si>
    <t>Cafetería/Bar, Waylet pago en surtidor, Waylet pago en caja, Adblue Envasado</t>
  </si>
  <si>
    <t>96653</t>
  </si>
  <si>
    <t>0183111392</t>
  </si>
  <si>
    <t>CRED BOUZAS</t>
  </si>
  <si>
    <t>VIGO-BOUZAS</t>
  </si>
  <si>
    <t>CL EXPLANADA DE BOUZAS (2ª GLORIETA</t>
  </si>
  <si>
    <t>-8.754376, 42.226792</t>
  </si>
  <si>
    <t>36208</t>
  </si>
  <si>
    <t>Cafetería/Bar, Parking turismos, Duchas, Waylet pago en surtidor, Waylet pago en caja, Adblue Envasado, Punto recarga eléctrico Repsol, Recarga eléctrica</t>
  </si>
  <si>
    <t>11542</t>
  </si>
  <si>
    <t>0183135979</t>
  </si>
  <si>
    <t>CRED SILLEDA</t>
  </si>
  <si>
    <t>SILLEDA</t>
  </si>
  <si>
    <t>C/ FERIAL, 1 (N-525 km 301,5)</t>
  </si>
  <si>
    <t>-8.245722, 42.704444</t>
  </si>
  <si>
    <t>36540</t>
  </si>
  <si>
    <t>L: 07:00-00:00</t>
  </si>
  <si>
    <t>96738</t>
  </si>
  <si>
    <t>0183112937</t>
  </si>
  <si>
    <t>CRED ARTICA</t>
  </si>
  <si>
    <t>ARTICA</t>
  </si>
  <si>
    <t>CL CARRETERA DE ARTICA,S.N.</t>
  </si>
  <si>
    <t>-1.653361, 42.8355</t>
  </si>
  <si>
    <t>31013</t>
  </si>
  <si>
    <t>96469</t>
  </si>
  <si>
    <t>0183110782</t>
  </si>
  <si>
    <t>CRED FINESTRAT</t>
  </si>
  <si>
    <t>PG P.IND. LA CALA - PARC.1 A</t>
  </si>
  <si>
    <t>-0.172889, 38.538722</t>
  </si>
  <si>
    <t>Cafetería/Bar, Lavado cepillos, Parking turismos, Box presión, Aspiradores, Waylet pago en surtidor, Waylet pago en caja, Adblue Envasado, Punto recarga eléctrico Repsol, Lavados Klin, Recarga eléctrica</t>
  </si>
  <si>
    <t>10796</t>
  </si>
  <si>
    <t>0183111335</t>
  </si>
  <si>
    <t>CRED FUENTE DEL JARRO</t>
  </si>
  <si>
    <t>FUENTE DEL JARRO</t>
  </si>
  <si>
    <t>CL CIUDAD LIRIA ,13-15</t>
  </si>
  <si>
    <t>-0.457167, 39.514528</t>
  </si>
  <si>
    <t>46988</t>
  </si>
  <si>
    <t>L-V: 06:00-22:00; S: 08:00-14:30</t>
  </si>
  <si>
    <t>EFITEC 95 N - España, EFITEC 98 N - España, Butano 12,5 Kg, DIESEL E+ NEO - España, DIESEL E+10 NEO - España, Propano 11 Kg, Butano 12 Kg (NEL)</t>
  </si>
  <si>
    <t>97086</t>
  </si>
  <si>
    <t>0183131184</t>
  </si>
  <si>
    <t>CRED MANZANILLA</t>
  </si>
  <si>
    <t>SANLUCAR DE BARRAMED</t>
  </si>
  <si>
    <t>CA-603, PK 0,5 MD</t>
  </si>
  <si>
    <t>-6.342111, 36.764583</t>
  </si>
  <si>
    <t>11540</t>
  </si>
  <si>
    <t>92015</t>
  </si>
  <si>
    <t>0183130574</t>
  </si>
  <si>
    <t>CRED AVDA ALEMANIA</t>
  </si>
  <si>
    <t>AVDA ALEMANIA SN</t>
  </si>
  <si>
    <t>-6.3835, 39.462083</t>
  </si>
  <si>
    <t>96366</t>
  </si>
  <si>
    <t>0183105485</t>
  </si>
  <si>
    <t>CRED CERDANYOLA</t>
  </si>
  <si>
    <t>CERDANYOLA</t>
  </si>
  <si>
    <t>CL CAN JERONI MARTI/ESQ.CRTA SABADE</t>
  </si>
  <si>
    <t>2.090472, 41.508583</t>
  </si>
  <si>
    <t>08290</t>
  </si>
  <si>
    <t>EFITEC 95 N - España, EFITEC 98 N - España, DIESEL E+ NEO - España, DIESEL NEXA 100% RENOVABLE - Esp, Propano 11 Kg</t>
  </si>
  <si>
    <t>07600</t>
  </si>
  <si>
    <t>0183135748</t>
  </si>
  <si>
    <t>CRED VALDIVIA</t>
  </si>
  <si>
    <t>VALDIVIA</t>
  </si>
  <si>
    <t>CTRA. N-430, PK.120</t>
  </si>
  <si>
    <t>-5.687917, 39.039944</t>
  </si>
  <si>
    <t>06720</t>
  </si>
  <si>
    <t>Lavado camiones, Box presión, Aspiradores, Waylet pago en surtidor, Waylet pago en caja</t>
  </si>
  <si>
    <t>97101</t>
  </si>
  <si>
    <t>0183130806</t>
  </si>
  <si>
    <t>CRED EL CANDADO MONTAÑA M. IZQ</t>
  </si>
  <si>
    <t>CL ALMERIA, 78 M. IZQ</t>
  </si>
  <si>
    <t>-4.343861, 36.715306</t>
  </si>
  <si>
    <t>Lavado cepillos, Lavado camiones, Box presión, Aspiradores, Waylet pago en surtidor, Waylet pago en caja, Lavados Klin</t>
  </si>
  <si>
    <t>96327</t>
  </si>
  <si>
    <t>0183102888</t>
  </si>
  <si>
    <t>CRED PUENTE SAN FDO. II</t>
  </si>
  <si>
    <t>SAN FERNANDO DE HENARES</t>
  </si>
  <si>
    <t>CR N-2, 16,3</t>
  </si>
  <si>
    <t>-3.523806, 40.449944</t>
  </si>
  <si>
    <t>28830</t>
  </si>
  <si>
    <t>EFITEC 95 N - España, Gasolina 95 Nexa origen 100 % renovable, EFITEC 98 N - España, DIESEL E+ NEO - España, DIESEL NEXA 100% RENOVABLE - Esp, Butano 6 Kg (K6), BLUE+GRANEL - España, Autogás</t>
  </si>
  <si>
    <t>96640</t>
  </si>
  <si>
    <t>0183109685</t>
  </si>
  <si>
    <t>CRED  MAESTRO RODRIGO</t>
  </si>
  <si>
    <t>CL MAESTRO RODRIGO, S.N.</t>
  </si>
  <si>
    <t>-0.404472, 39.487694</t>
  </si>
  <si>
    <t>46015</t>
  </si>
  <si>
    <t>EFITEC 95 N - España, EFITEC 98 N - España, Butano 12,5 Kg, DIESEL E+ NEO - España, DIESEL E+10 NEO - España, Butano 6 Kg (K6), Propano 11 Kg, Autogás, Butano 12 Kg (NEL)</t>
  </si>
  <si>
    <t>11327</t>
  </si>
  <si>
    <t>0183120096</t>
  </si>
  <si>
    <t>CRED AVDA. DEL MEDITERRÁNEO</t>
  </si>
  <si>
    <t>ALMERIA</t>
  </si>
  <si>
    <t>AV. MEDITERRÁNEO, S/N ESQ. C/ ALPUJ</t>
  </si>
  <si>
    <t>-2.445028, 36.827333</t>
  </si>
  <si>
    <t>04007</t>
  </si>
  <si>
    <t>02918</t>
  </si>
  <si>
    <t>0183057546</t>
  </si>
  <si>
    <t>CRED PUENTE CASTRO</t>
  </si>
  <si>
    <t>LEON</t>
  </si>
  <si>
    <t>AVDA.ALCALDE MIGUEL CASTAÑO</t>
  </si>
  <si>
    <t>-5.559389, 42.585611</t>
  </si>
  <si>
    <t>24005</t>
  </si>
  <si>
    <t>EFITEC 95 N - España, Efitec 95 Premium, EFITEC 98 N - España, Butano 12,5 Kg, DIESEL E+ NEO - España, Diésel e+5, DIESEL E+10 NEO - España, Propano 11 Kg, BLUE+GRANEL - España</t>
  </si>
  <si>
    <t>93268</t>
  </si>
  <si>
    <t>0183114594</t>
  </si>
  <si>
    <t>CRED SAN JORGE</t>
  </si>
  <si>
    <t>PR AV MARTINEZ VELASCO C123 KM63</t>
  </si>
  <si>
    <t>-0.429917, 42.125111</t>
  </si>
  <si>
    <t>22004</t>
  </si>
  <si>
    <t>Restaurante, Cafetería/Bar, Taller mecánico, Lavado cepillos, Parking turismos, Box presión, Aspiradores, Solred cheque lavado, Waylet pago en surtidor, Waylet pago en caja, Lavados Klin</t>
  </si>
  <si>
    <t>03470</t>
  </si>
  <si>
    <t>0183011121</t>
  </si>
  <si>
    <t>CRED Pº. DE LA CUBA</t>
  </si>
  <si>
    <t>ALBACETE</t>
  </si>
  <si>
    <t>CL PASEO DE LA CUBA, 15</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</si>
  <si>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</si>
  <si>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</si>
  <si>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</si>
  <si>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</si>
  <si>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13214</t>
  </si>
  <si>
    <t>0183062397</t>
  </si>
  <si>
    <t>CRED CAPELLADES</t>
  </si>
  <si>
    <t>CAPELLADES</t>
  </si>
  <si>
    <t>CR C-244, 8,3</t>
  </si>
  <si>
    <t>1.679778, 41.536889</t>
  </si>
  <si>
    <t>08786</t>
  </si>
  <si>
    <t>13281</t>
  </si>
  <si>
    <t>0183062645</t>
  </si>
  <si>
    <t>CRED CAMAS</t>
  </si>
  <si>
    <t>CAMAS</t>
  </si>
  <si>
    <t>CR SE-610, 0,9</t>
  </si>
  <si>
    <t>-6.026333, 37.381722</t>
  </si>
  <si>
    <t>41900</t>
  </si>
  <si>
    <t>33005</t>
  </si>
  <si>
    <t>0063180079</t>
  </si>
  <si>
    <t>CRED PASEO DE LA HABANA</t>
  </si>
  <si>
    <t>CL PASEO DE LA HABANA, 168</t>
  </si>
  <si>
    <t>-3.681472, 40.459083</t>
  </si>
  <si>
    <t>28036</t>
  </si>
  <si>
    <t>Waylet pago en surtidor, Waylet pago en caja, Parking Wible, Punto recarga eléctrico Repsol</t>
  </si>
  <si>
    <t>34393</t>
  </si>
  <si>
    <t>0183013424</t>
  </si>
  <si>
    <t>CRED VALLADOLID</t>
  </si>
  <si>
    <t>CL AVDA. DE BURGOS, 100</t>
  </si>
  <si>
    <t>-4.724333, 41.672694</t>
  </si>
  <si>
    <t>47009</t>
  </si>
  <si>
    <t>33934</t>
  </si>
  <si>
    <t>0183003441</t>
  </si>
  <si>
    <t>CRED FUENLABRADA</t>
  </si>
  <si>
    <t>CR M-506, 15,6</t>
  </si>
  <si>
    <t>-3.765083, 40.277111</t>
  </si>
  <si>
    <t>Parking turismos, Box presión, Aspiradores, Waylet pago en surtidor, Waylet pago en caja, Adblue Envasado, Lavados Klin</t>
  </si>
  <si>
    <t>96229</t>
  </si>
  <si>
    <t>0183077395</t>
  </si>
  <si>
    <t>E.S.RAOS S.L.</t>
  </si>
  <si>
    <t>SANTANDER</t>
  </si>
  <si>
    <t>PG POLIGONO DE RAOS PARCELA C, S.N.</t>
  </si>
  <si>
    <t>-3.836528, 43.434889</t>
  </si>
  <si>
    <t>39011</t>
  </si>
  <si>
    <t>Cafetería/Bar, Lavado cepillos, Parking turismos, Box presión, Aspiradores, Solred cheque lavado, Waylet pago en caja, Punto recarga eléctrico Repsol, Lavados Klin</t>
  </si>
  <si>
    <t>96099</t>
  </si>
  <si>
    <t>0183100163</t>
  </si>
  <si>
    <t>CRED SABADELL II</t>
  </si>
  <si>
    <t>SABADELL</t>
  </si>
  <si>
    <t>CL CARRETERA DE TERRASSA, 216</t>
  </si>
  <si>
    <t>2.094722, 41.546111</t>
  </si>
  <si>
    <t>08202</t>
  </si>
  <si>
    <t>EFITEC 95 N - España, Gasolina 95 Nexa origen 100 % renovable, EFITEC 98 N - España, DIESEL E+ NEO - España, DIESEL NEXA 100% RENOVABLE - Esp</t>
  </si>
  <si>
    <t>13122</t>
  </si>
  <si>
    <t>0183063577</t>
  </si>
  <si>
    <t>CRED CUNIT</t>
  </si>
  <si>
    <t>CUNIT</t>
  </si>
  <si>
    <t>CR C-246, 53,7</t>
  </si>
  <si>
    <t>1.624417, 41.197417</t>
  </si>
  <si>
    <t>43881</t>
  </si>
  <si>
    <t>EFITEC 95 N - España, EFITEC 98 N - España, Butano 12,5 Kg, DIESEL E+ NEO - España, DIESEL NEXA 100% RENOVABLE - Esp, Butano 6 Kg (K6), Autogás, Butano 12 Kg (NEL)</t>
  </si>
  <si>
    <t>33946</t>
  </si>
  <si>
    <t>0183013853</t>
  </si>
  <si>
    <t>CRED MANZANARES III</t>
  </si>
  <si>
    <t>MANZANARES</t>
  </si>
  <si>
    <t>CR N-4, 171,1</t>
  </si>
  <si>
    <t>-3.373444, 39.023056</t>
  </si>
  <si>
    <t>13200</t>
  </si>
  <si>
    <t>13440</t>
  </si>
  <si>
    <t>0183076108</t>
  </si>
  <si>
    <t>CRED TORREVIEJA</t>
  </si>
  <si>
    <t>TORREVIEJA</t>
  </si>
  <si>
    <t>CL AVDA. ALFREDO NOBEL, 195</t>
  </si>
  <si>
    <t>-0.655833, 37.996028</t>
  </si>
  <si>
    <t>03180</t>
  </si>
  <si>
    <t>L-V: 07:00-21:00; S-D: 09:00-21:00</t>
  </si>
  <si>
    <t>EFITEC 95 N - España, Efitec 95 Premium, EFITEC 98 N - España, Butano 12,5 Kg, DIESEL E+ NEO - España, DIESEL NEXA 100% RENOVABLE - Esp, Butano 6 Kg (K6), Propano 11 Kg, Butano 12 Kg (NEL)</t>
  </si>
  <si>
    <t>13412</t>
  </si>
  <si>
    <t>0183076140</t>
  </si>
  <si>
    <t>CRED CARTUJA</t>
  </si>
  <si>
    <t>CL AV PULIANAS, S.N.</t>
  </si>
  <si>
    <t>-3.603972, 37.195028</t>
  </si>
  <si>
    <t>18011</t>
  </si>
  <si>
    <t>EFITEC 95 N - España, EFITEC 98 N - España, DIESEL E+ NEO - España, Diésel e+5, DIESEL E+10 NEO - España, Butano 6 Kg (K6), Butano 12 Kg (NEL)</t>
  </si>
  <si>
    <t>10484</t>
  </si>
  <si>
    <t>0183006170</t>
  </si>
  <si>
    <t>GESINSA CARBURANTES, S.L.</t>
  </si>
  <si>
    <t>VILAMARXANT</t>
  </si>
  <si>
    <t>CR C-3322, 90</t>
  </si>
  <si>
    <t>-0.624333, 39.572167</t>
  </si>
  <si>
    <t>46191</t>
  </si>
  <si>
    <t>EFITEC 95 N - España, Efitec 95 Premium, Butano 12,5 Kg, DIESEL E+ NEO - España, DIESEL E+10 NEO - España, BLUE+GRANEL - España</t>
  </si>
  <si>
    <t>Lavado cepillos, Zona de descanso, Box presión, Aspiradores, Waylet pago en caja, Adblue Envasado</t>
  </si>
  <si>
    <t>96386</t>
  </si>
  <si>
    <t>0183106012</t>
  </si>
  <si>
    <t>CRED MAS MORATO</t>
  </si>
  <si>
    <t>JONQUERA, LA</t>
  </si>
  <si>
    <t>CR N-2, 772,50</t>
  </si>
  <si>
    <t>2.882667, 42.398417</t>
  </si>
  <si>
    <t>17700</t>
  </si>
  <si>
    <t>Rest. Autoservicio, Restaurante, Cafetería/Bar, Parking turismos, Parking camiones, Zona de descanso, Duchas, Waylet pago en surtidor, Waylet pago en caja, Punto recarga eléctrico Repsol</t>
  </si>
  <si>
    <t>04928</t>
  </si>
  <si>
    <t>0183013580</t>
  </si>
  <si>
    <t>CRED CAN PASTILLA</t>
  </si>
  <si>
    <t>PALMA DE MALLORCA</t>
  </si>
  <si>
    <t>CL CAMINO CA,N PASTILLA, 37</t>
  </si>
  <si>
    <t>2.703083, 39.54775</t>
  </si>
  <si>
    <t>07007</t>
  </si>
  <si>
    <t>EFITEC 95 N - España, Efitec 95 Premium, EFITEC 98 N - España, DIESEL E+ NEO - España, Diésel e+5, DIESEL NEXA 100% RENOVABLE - Esp, Butano 6 Kg (K6), BLUE+GRANEL - España, Butano 12 Kg (NEL)</t>
  </si>
  <si>
    <t>96611</t>
  </si>
  <si>
    <t>0183108133</t>
  </si>
  <si>
    <t>CRED PONTEAREAS DCHO</t>
  </si>
  <si>
    <t>PUENTEAREAS</t>
  </si>
  <si>
    <t>CR N-120, 643,5</t>
  </si>
  <si>
    <t>-8.495694, 42.176389</t>
  </si>
  <si>
    <t>36860</t>
  </si>
  <si>
    <t>34132</t>
  </si>
  <si>
    <t>0063212385</t>
  </si>
  <si>
    <t>CRED ARTÁ</t>
  </si>
  <si>
    <t>ARTA</t>
  </si>
  <si>
    <t>CL CIUTAT, S.N.</t>
  </si>
  <si>
    <t>3.346972, 39.68975</t>
  </si>
  <si>
    <t>07570</t>
  </si>
  <si>
    <t>EFITEC 95 N - España, EFITEC 98 N - España, DIESEL E+ NEO - España, DIESEL E+10 NEO - España, DIESEL NEXA 100% RENOVABLE - Esp, Butano 6 Kg (K6), Butano 12 Kg (NEL)</t>
  </si>
  <si>
    <t>13311</t>
  </si>
  <si>
    <t>0183075233</t>
  </si>
  <si>
    <t>CRED MIGUEL SERVET</t>
  </si>
  <si>
    <t>AV MIGUEL SERVET, 254</t>
  </si>
  <si>
    <t>-0.861833, 41.634528</t>
  </si>
  <si>
    <t>50013</t>
  </si>
  <si>
    <t>EFITEC 95 N - España, Gasolina 95 Nexa origen 100 % renovable, Butano 12,5 Kg, DIESEL E+ NEO - España, DIESEL NEXA 100% RENOVABLE - Esp, Propano 11 Kg</t>
  </si>
  <si>
    <t>96010</t>
  </si>
  <si>
    <t>0183078377</t>
  </si>
  <si>
    <t>CRED ANGEL BRUNA</t>
  </si>
  <si>
    <t>CARTAGENA</t>
  </si>
  <si>
    <t>CL ANGEL BRUNA-RONDA NORTE, S.N.</t>
  </si>
  <si>
    <t>-0.984056, 37.616694</t>
  </si>
  <si>
    <t>30204</t>
  </si>
  <si>
    <t>EFITEC 95 N - España, EFITEC 98 N - España, DIESEL E+ NEO - España, Diésel e+5, DIESEL NEXA 100% RENOVABLE - Esp, Butano 6 Kg (K6), Propano 11 Kg, Autogás, Butano 12 Kg (NEL)</t>
  </si>
  <si>
    <t>96797</t>
  </si>
  <si>
    <t>0183118538</t>
  </si>
  <si>
    <t>CRED ALGARROBO COSTA</t>
  </si>
  <si>
    <t>A-7 P.K. 277,89</t>
  </si>
  <si>
    <t>-4.051389, 36.759167</t>
  </si>
  <si>
    <t>Cafetería/Bar, Lavado cepillos, Parking turismos, Aspiradores, Waylet pago en surtidor, Waylet pago en caja, Lavados Klin</t>
  </si>
  <si>
    <t>02836</t>
  </si>
  <si>
    <t>0063202089</t>
  </si>
  <si>
    <t>CRED CIENFUEGOS</t>
  </si>
  <si>
    <t>VILLANUEVA DE LA SERENA</t>
  </si>
  <si>
    <t xml:space="preserve"> AVENIDA HERNAN CORTES, SN</t>
  </si>
  <si>
    <t>-5.795111, 38.984194</t>
  </si>
  <si>
    <t>06700</t>
  </si>
  <si>
    <t>EFITEC 95 N - España, EFITEC 98 N - España, Butano 12,5 Kg, DIESEL E+ NEO - España, DIESEL E+10 NEO - España, Propano 11 Kg, BLUE+GRANEL - España, Butano 12 Kg (NEL)</t>
  </si>
  <si>
    <t>12070</t>
  </si>
  <si>
    <t>0183054725</t>
  </si>
  <si>
    <t>CRED EL ROMPIDO</t>
  </si>
  <si>
    <t>CR H-411, 7</t>
  </si>
  <si>
    <t>-7.126306, 37.227833</t>
  </si>
  <si>
    <t>Cafetería/Bar, Lavado cepillos, Box presión, Solred cheque lavado, Waylet pago en surtidor, Waylet pago en caja, Lavados Klin</t>
  </si>
  <si>
    <t>33999</t>
  </si>
  <si>
    <t>0063194690</t>
  </si>
  <si>
    <t>CRED MIAMI PLAYA</t>
  </si>
  <si>
    <t>MIAMI PLAYA</t>
  </si>
  <si>
    <t>CR N-340, 1132</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</si>
  <si>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</si>
  <si>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</si>
  <si>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</si>
  <si>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</si>
  <si>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11257</t>
  </si>
  <si>
    <t>0183056407</t>
  </si>
  <si>
    <t>CRED COLMENAR VIEJO</t>
  </si>
  <si>
    <t>COLMENAR VIEJO</t>
  </si>
  <si>
    <t>CR M-607, 28,2</t>
  </si>
  <si>
    <t>-3.730694, 40.639722</t>
  </si>
  <si>
    <t>28770</t>
  </si>
  <si>
    <t>EFITEC 95 N - España, EFITEC 98 N - España, Butano 12,5 Kg, DIESEL E+ NEO - España, DIESEL NEXA 100% RENOVABLE - Esp, Butano 6 Kg (K6), BLUE+GRANEL - España, Autogás</t>
  </si>
  <si>
    <t>Cafetería/Bar, Parking turismos, Box presión, Aspiradores, Waylet pago en surtidor, Waylet pago en caja</t>
  </si>
  <si>
    <t>97027</t>
  </si>
  <si>
    <t>0183125822</t>
  </si>
  <si>
    <t>CRED EL MARIN</t>
  </si>
  <si>
    <t>CL ANTONIO LOPEZ BORRASCA, 2-14</t>
  </si>
  <si>
    <t>-5.698333, 40.962222</t>
  </si>
  <si>
    <t>37007</t>
  </si>
  <si>
    <t>97002</t>
  </si>
  <si>
    <t>0183131069</t>
  </si>
  <si>
    <t>CRED ALMENARA</t>
  </si>
  <si>
    <t>ALMENARA</t>
  </si>
  <si>
    <t>A-7 PK. 292,7 (MD)</t>
  </si>
  <si>
    <t>-0.233333, 39.740389</t>
  </si>
  <si>
    <t>12590</t>
  </si>
  <si>
    <t>EFITEC 95 N - España, EFITEC 98 N - España, DIESEL E+ NEO - España, DIESEL E+10 NEO - España, GO-B BONIF - España, Propano 11 Kg, BLUE+GRANEL - España, Butano 12 Kg (NEL)</t>
  </si>
  <si>
    <t>Cafetería/Bar, Parking turismos, Parking camiones, Waylet pago en surtidor, Waylet pago en caja, Adblue Envasado</t>
  </si>
  <si>
    <t>96114</t>
  </si>
  <si>
    <t>0183079912</t>
  </si>
  <si>
    <t>CRED ALFAFAR</t>
  </si>
  <si>
    <t>ALFAFAR</t>
  </si>
  <si>
    <t>CR N-332, 282</t>
  </si>
  <si>
    <t>-0.380917, 39.410389</t>
  </si>
  <si>
    <t>EFITEC 95 N - España, EFITEC 98 N - España, Butano 12,5 Kg, DIESEL E+ NEO - España, DIESEL E+10 NEO - España, BLUE+GRANEL - España, Autogás, Butano 12 Kg (NEL)</t>
  </si>
  <si>
    <t>Cafetería/Bar, Lavado cepillos, Parking turismos, Box presión, Aspiradores, Solred cheque lavado, Waylet pago en surtidor, Waylet pago en caja, Adblue Envasado, Punto recarga eléctrico Repsol, Lavados Klin, Recarga eléctrica</t>
  </si>
  <si>
    <t>34106</t>
  </si>
  <si>
    <t>0183012350</t>
  </si>
  <si>
    <t>CRED ROBLEDO 1</t>
  </si>
  <si>
    <t>ROBLEDO, EL</t>
  </si>
  <si>
    <t>AU A-66, 19,00</t>
  </si>
  <si>
    <t>-5.798889, 43.435556</t>
  </si>
  <si>
    <t>33690</t>
  </si>
  <si>
    <t>34083</t>
  </si>
  <si>
    <t>0183002757</t>
  </si>
  <si>
    <t>CRED CRTA. FUENCARRAL</t>
  </si>
  <si>
    <t>ALCOBENDAS</t>
  </si>
  <si>
    <t>CR M-603, 14,1</t>
  </si>
  <si>
    <t>-3.654889, 40.525778</t>
  </si>
  <si>
    <t>28100</t>
  </si>
  <si>
    <t>Cafetería/Bar, Parking turismos, Box presión, Aspiradores, Waylet pago en surtidor, Waylet pago en caja, Punto recarga eléctrico Repsol, Lavados Klin, Recarga eléctrica</t>
  </si>
  <si>
    <t>12955</t>
  </si>
  <si>
    <t>0183060599</t>
  </si>
  <si>
    <t>CRED CAZALEGAS I</t>
  </si>
  <si>
    <t>CR A-5, 104,3</t>
  </si>
  <si>
    <t>-4.703778, 39.988722</t>
  </si>
  <si>
    <t>96536</t>
  </si>
  <si>
    <t>0183107176</t>
  </si>
  <si>
    <t>CRED LOS BERMEJALES</t>
  </si>
  <si>
    <t>CR N-4, 544</t>
  </si>
  <si>
    <t>-5.976917, 37.350167</t>
  </si>
  <si>
    <t>41012</t>
  </si>
  <si>
    <t>EFITEC 95 N - España, EFITEC 98 N - España, DIESEL E+ NEO - España, Diésel e+5, DIESEL NEXA 100% RENOVABLE - Esp, Butano 6 Kg (K6), BLUE+GRANEL - España, Autogás, Butano 12 Kg (NEL)</t>
  </si>
  <si>
    <t>05646</t>
  </si>
  <si>
    <t>0018023895</t>
  </si>
  <si>
    <t>CRED SAN AGUSTIN</t>
  </si>
  <si>
    <t>CL AVDA. SAN AGUSTIN, 78</t>
  </si>
  <si>
    <t>-5.658222, 40.978944</t>
  </si>
  <si>
    <t>37005</t>
  </si>
  <si>
    <t>96287</t>
  </si>
  <si>
    <t>0183102722</t>
  </si>
  <si>
    <t>CRED CA NÑORIACH</t>
  </si>
  <si>
    <t>CL AVENIDA MATADEPERA, 247</t>
  </si>
  <si>
    <t>2.080417, 41.572389</t>
  </si>
  <si>
    <t>08207</t>
  </si>
  <si>
    <t>EFITEC 95 N - España, EFITEC 98 N - España, DIESEL E+ NEO - España, DIESEL NEXA 100% RENOVABLE - Esp, Butano 6 Kg (K6), Autogás, Butano 12 Kg (NEL)</t>
  </si>
  <si>
    <t>Lavado cepillos, Parking turismos, Box presión, Aspiradores, Solred cheque lavado, Lavandería, Waylet pago en surtidor, Waylet pago en caja, Punto recarga eléctrico Repsol, Lavados Klin</t>
  </si>
  <si>
    <t>96210</t>
  </si>
  <si>
    <t>0183076645</t>
  </si>
  <si>
    <t>CRED ALCOY</t>
  </si>
  <si>
    <t>ALCOY</t>
  </si>
  <si>
    <t>PG COTES BAIXES,CALLE C,PARC.1, 0</t>
  </si>
  <si>
    <t>-0.462528, 38.714361</t>
  </si>
  <si>
    <t>03800</t>
  </si>
  <si>
    <t>EFITEC 95 N - España, Efitec 95 Premium, EFITEC 98 N - España, Butano 12,5 Kg, DIESEL E+ NEO - España, DIESEL E+10 NEO - España, Butano 6 Kg (K6), Propano 11 Kg, BLUE+GRANEL - España, Butano 12 Kg (NEL)</t>
  </si>
  <si>
    <t>Lavado cepillos, Parking turismos, Parking camiones, Box presión, Aspiradores, Solred cheque lavado, Waylet pago en surtidor, Waylet pago en caja, Lavados Klin</t>
  </si>
  <si>
    <t>33883</t>
  </si>
  <si>
    <t>0183000876</t>
  </si>
  <si>
    <t>CRED VALVERDE</t>
  </si>
  <si>
    <t>VALVERDE DEL CAMINO</t>
  </si>
  <si>
    <t>CR N-435, 191</t>
  </si>
  <si>
    <t>-6.751389, 37.567833</t>
  </si>
  <si>
    <t>21600</t>
  </si>
  <si>
    <t>05585</t>
  </si>
  <si>
    <t>0183005933</t>
  </si>
  <si>
    <t>E.S. GALURESA LA ROCHA</t>
  </si>
  <si>
    <t>ROCHA, LA</t>
  </si>
  <si>
    <t>SC-20 KM 9,7 D</t>
  </si>
  <si>
    <t>-8.571167, 42.85525</t>
  </si>
  <si>
    <t>15899</t>
  </si>
  <si>
    <t>Lavado cepillos, Parking turismos, Box presión, Aspiradores, Solred cheque lavado, Waylet pago en caja</t>
  </si>
  <si>
    <t>96800</t>
  </si>
  <si>
    <t>0183116086</t>
  </si>
  <si>
    <t>CRED LOS BALCONES</t>
  </si>
  <si>
    <t>CR  CV-95 P.K. 2 - URB.LOS BALCONES</t>
  </si>
  <si>
    <t>-0.715222, 37.963194</t>
  </si>
  <si>
    <t>03186</t>
  </si>
  <si>
    <t>Cafetería/Bar, Lavado cepillos, Parking turismos, Box presión, Aspiradores, Solred cheque lavado, Lavandería, Waylet pago en surtidor, Waylet pago en caja, Lavados Klin</t>
  </si>
  <si>
    <t>10824</t>
  </si>
  <si>
    <t>0183002872</t>
  </si>
  <si>
    <t>CRED POLIGONO AZUQUECA</t>
  </si>
  <si>
    <t>CL AVENIDA ALCALA, 84</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</si>
  <si>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</si>
  <si>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</si>
  <si>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</si>
  <si>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05019</t>
  </si>
  <si>
    <t>0183005925</t>
  </si>
  <si>
    <t>GALURESA S.CAYETANO</t>
  </si>
  <si>
    <t>SANTIAGO DE COMPOSTELA</t>
  </si>
  <si>
    <t>AVDA. DO CRUCEIRO DA CORUÑA Nº 2</t>
  </si>
  <si>
    <t>-8.532861, 42.892139</t>
  </si>
  <si>
    <t>15705</t>
  </si>
  <si>
    <t>EFITEC 95 N - España, EFITEC 98 N - España, Butano 12,5 Kg, DIESEL E+ NEO - España, DIESEL E+10 NEO - España, Propano 11 Kg, Autogás</t>
  </si>
  <si>
    <t>95847</t>
  </si>
  <si>
    <t>0183135656</t>
  </si>
  <si>
    <t>CRED. GRANJA DE MORERUELO MI</t>
  </si>
  <si>
    <t>A-66, PK. 241</t>
  </si>
  <si>
    <t>-5.755833, 41.798333</t>
  </si>
  <si>
    <t>04561</t>
  </si>
  <si>
    <t>0183009307</t>
  </si>
  <si>
    <t>CRED DR. ESQUERDO</t>
  </si>
  <si>
    <t>AV DOCTOR ESQUERDO, 153</t>
  </si>
  <si>
    <t>-3.669722, 40.409833</t>
  </si>
  <si>
    <t>28007</t>
  </si>
  <si>
    <t>34478</t>
  </si>
  <si>
    <t>0183014430</t>
  </si>
  <si>
    <t>CRED GLORIETA VALLE DE ORO</t>
  </si>
  <si>
    <t>CL GLORIETA VALLE DE ORO, 9</t>
  </si>
  <si>
    <t>-3.730083, 40.387417</t>
  </si>
  <si>
    <t>28019</t>
  </si>
  <si>
    <t>EFITEC 95 N - España, DIESEL E+ NEO - España, DIESEL NEXA 100% RENOVABLE - Esp</t>
  </si>
  <si>
    <t>33317</t>
  </si>
  <si>
    <t>0183060466</t>
  </si>
  <si>
    <t>CRED COBO CALLEJA</t>
  </si>
  <si>
    <t>CARRETERA M-506 KM. 21,900</t>
  </si>
  <si>
    <t>-3.742694, 40.265972</t>
  </si>
  <si>
    <t>28946</t>
  </si>
  <si>
    <t>L-V: 05:00-22:00; S-D: 06:00-22:00</t>
  </si>
  <si>
    <t>Cafetería/Bar, Lavado cepillos, Box presión, Aspiradores, Solred cheque lavado, Waylet pago en surtidor, Waylet pago en caja, Punto recarga eléctrico Repsol, Lavados Klin, Recarga eléctrica</t>
  </si>
  <si>
    <t>96904</t>
  </si>
  <si>
    <t>0183123728</t>
  </si>
  <si>
    <t>CRED HERNANI DCHO</t>
  </si>
  <si>
    <t>HERNANI</t>
  </si>
  <si>
    <t>AP-8 P.K. 22,000 MD</t>
  </si>
  <si>
    <t>-1.982444, 43.279778</t>
  </si>
  <si>
    <t>20120</t>
  </si>
  <si>
    <t>EFITEC 95 N - España, EFITEC 98 N - España, DIESEL E+ NEO - España, DIESEL NEXA 100% RENOVABLE - Esp, GO-B BONIF - España, Propano 11 Kg, BLUE+GRANEL - España, Autogás</t>
  </si>
  <si>
    <t>96730</t>
  </si>
  <si>
    <t>0183116177</t>
  </si>
  <si>
    <t>CRED AVDA DA UNIVERSIDADE</t>
  </si>
  <si>
    <t>CL RAMIRO PASCUAL , 18 (VIAL ACCESO</t>
  </si>
  <si>
    <t>-8.718806, 42.194333</t>
  </si>
  <si>
    <t>36312</t>
  </si>
  <si>
    <t>L-V: 06:00-23:00; S-D: 07:00-23:00</t>
  </si>
  <si>
    <t>33484</t>
  </si>
  <si>
    <t>0183057637</t>
  </si>
  <si>
    <t>CRED VILLAJOYOSA</t>
  </si>
  <si>
    <t>VILLAJOYOSA</t>
  </si>
  <si>
    <t>CL AVENIDA PAIS VALENCIA, S.N.</t>
  </si>
  <si>
    <t>-0.229222, 38.506972</t>
  </si>
  <si>
    <t>03570</t>
  </si>
  <si>
    <t>EFITEC 95 N - España, Efitec 95 Premium, EFITEC 98 N - España, Butano 12,5 Kg, DIESEL E+ NEO - España, Diésel e+5, DIESEL NEXA 100% RENOVABLE - Esp, Butano 6 Kg (K6), Propano 11 Kg</t>
  </si>
  <si>
    <t>05664</t>
  </si>
  <si>
    <t>0183000108</t>
  </si>
  <si>
    <t>CRED TARRAGONA</t>
  </si>
  <si>
    <t>CR N-340, 1160</t>
  </si>
  <si>
    <t>1.228278, 41.117389</t>
  </si>
  <si>
    <t>43006</t>
  </si>
  <si>
    <t>Cafetería/Bar, Parking turismos, Waylet pago en surtidor, Waylet pago en caja, Punto recarga eléctrico Repsol</t>
  </si>
  <si>
    <t>07235</t>
  </si>
  <si>
    <t>0183002187</t>
  </si>
  <si>
    <t>E.S. PEREZ SANTIAGO LU</t>
  </si>
  <si>
    <t>LUMBRALES</t>
  </si>
  <si>
    <t>CR SA-517, 95  D</t>
  </si>
  <si>
    <t>-6.710583, 40.937472</t>
  </si>
  <si>
    <t>37240</t>
  </si>
  <si>
    <t>L-V: 07:00-21:00; S-D: 08:00-21:00</t>
  </si>
  <si>
    <t>Box presión, Aspiradores, Waylet pago en caja, Punto recarga eléctrico Repsol</t>
  </si>
  <si>
    <t>96274</t>
  </si>
  <si>
    <t>0183100338</t>
  </si>
  <si>
    <t>CRED CIM II</t>
  </si>
  <si>
    <t>SANTA PERPETUA DE MOGUDA</t>
  </si>
  <si>
    <t>CL LAS PALMAS, S.N.</t>
  </si>
  <si>
    <t>2.193889, 41.531944</t>
  </si>
  <si>
    <t>08130</t>
  </si>
  <si>
    <t>33554</t>
  </si>
  <si>
    <t>0183108935</t>
  </si>
  <si>
    <t>CRED LOS CABALLOS</t>
  </si>
  <si>
    <t>LOPERA</t>
  </si>
  <si>
    <t>CR N-4, 346,6 M.I. (SENTIDO MADRID)</t>
  </si>
  <si>
    <t>-4.26125, 37.989972</t>
  </si>
  <si>
    <t>23780</t>
  </si>
  <si>
    <t>12933</t>
  </si>
  <si>
    <t>0183063726</t>
  </si>
  <si>
    <t>CRED AREA 280 ZARAGOZA</t>
  </si>
  <si>
    <t>CALATORAO</t>
  </si>
  <si>
    <t>CR A-2, 280,1</t>
  </si>
  <si>
    <t>-1.288111, 41.5165</t>
  </si>
  <si>
    <t>50280</t>
  </si>
  <si>
    <t>05649</t>
  </si>
  <si>
    <t>0183123470</t>
  </si>
  <si>
    <t>CRED OJAIZ</t>
  </si>
  <si>
    <t>C\ CAMARREAL 150 C (ANTIGUA N-61</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</si>
  <si>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</si>
  <si>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</si>
  <si>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</si>
  <si>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07401</t>
  </si>
  <si>
    <t>0183014174</t>
  </si>
  <si>
    <t>E.S. LAS PALMERAS, S.L.</t>
  </si>
  <si>
    <t>SANT VICENÇ DELS HORTS</t>
  </si>
  <si>
    <t>CR B-2002, 2,8</t>
  </si>
  <si>
    <t>2.017333, 41.382917</t>
  </si>
  <si>
    <t>08620</t>
  </si>
  <si>
    <t>Restaurante, Cafetería/Bar, Lavado cepillos, Lavado camiones, Parking turismos, Parking camiones, Box presión, Aspiradores, Waylet pago en caja, Adblue Envasado, Punto recarga eléctrico Repsol</t>
  </si>
  <si>
    <t>12145</t>
  </si>
  <si>
    <t>0183057793</t>
  </si>
  <si>
    <t>CRED LARACHE</t>
  </si>
  <si>
    <t>CR CR-514, 0,3</t>
  </si>
  <si>
    <t>-3.925472, 38.97075</t>
  </si>
  <si>
    <t>13005</t>
  </si>
  <si>
    <t>31519</t>
  </si>
  <si>
    <t>0183013523</t>
  </si>
  <si>
    <t>CRED EL POTIXOL</t>
  </si>
  <si>
    <t>CARRER DE LLUCMAJOR, 148</t>
  </si>
  <si>
    <t>2.682333, 39.557861</t>
  </si>
  <si>
    <t>EFITEC 95 N - España, Efitec 95 Premium, EFITEC 98 N - España, DIESEL E+ NEO - España, DIESEL NEXA 100% RENOVABLE - Esp, Butano 6 Kg (K6), BLUE+GRANEL - España, Butano 12 Kg (NEL)</t>
  </si>
  <si>
    <t>07642</t>
  </si>
  <si>
    <t>0183015288</t>
  </si>
  <si>
    <t>CRED AVDA ANDALUCIA DCHO</t>
  </si>
  <si>
    <t>CR A-4  P.K.  6,70 DCHO</t>
  </si>
  <si>
    <t>-3.694472, 40.3665</t>
  </si>
  <si>
    <t>28041</t>
  </si>
  <si>
    <t>EFITEC 95 N - España, Efitec 95 Premium, EFITEC 98 N - España, Butano 12,5 Kg, DIESEL E+ NEO - España, Diésel e+5, DIESEL NEXA 100% RENOVABLE - Esp, Propano 11 Kg, BLUE+GRANEL - España</t>
  </si>
  <si>
    <t>15360</t>
  </si>
  <si>
    <t>0183054501</t>
  </si>
  <si>
    <t>CRED VILASANTAR</t>
  </si>
  <si>
    <t>VILASANTAR</t>
  </si>
  <si>
    <t>CTRA. AC.840, Km.22,50</t>
  </si>
  <si>
    <t>-8.147917, 43.113972</t>
  </si>
  <si>
    <t>15807</t>
  </si>
  <si>
    <t>EFITEC 95 N - España, DIESEL E+ NEO - España, DIESEL E+10 NEO - España, GO-B BONIF - España, Butano 6 Kg (K6), Propano 11 Kg, BLUE+GRANEL - España, Butano 12 Kg (NEL)</t>
  </si>
  <si>
    <t>92319</t>
  </si>
  <si>
    <t>0183116300</t>
  </si>
  <si>
    <t>CRED ALBORAYA PUEBLO</t>
  </si>
  <si>
    <t>ALBORAYA-POLG.INDUST</t>
  </si>
  <si>
    <t>CL POLIGONO 3 , CALLE 7</t>
  </si>
  <si>
    <t>-0.346, 39.500222</t>
  </si>
  <si>
    <t>46120</t>
  </si>
  <si>
    <t>EFITEC 95 N - España, EFITEC 98 N - España, Butano 12,5 Kg, DIESEL E+ NEO - España, DIESEL E+10 NEO - España, Autogás</t>
  </si>
  <si>
    <t>Cafetería/Bar, Box presión, Aspiradores, Waylet pago en surtidor, Waylet pago en caja, Adblue Envasado, Lavados Klin</t>
  </si>
  <si>
    <t>96098</t>
  </si>
  <si>
    <t>0183079581</t>
  </si>
  <si>
    <t>CRED BRUGUERA</t>
  </si>
  <si>
    <t>CR B-124, 5,4</t>
  </si>
  <si>
    <t>2.088417, 41.595083</t>
  </si>
  <si>
    <t>Lavado cepillos, Parking turismos, Box presión, Aspiradores, Solred cheque lavado, Waylet pago en surtidor, Waylet pago en caja, Adblue Envasado, Lavados Klin</t>
  </si>
  <si>
    <t>12389</t>
  </si>
  <si>
    <t>0183059682</t>
  </si>
  <si>
    <t>CRED MIRABUENO</t>
  </si>
  <si>
    <t>MIRABUENO</t>
  </si>
  <si>
    <t>CR A-2, 107</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</si>
  <si>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</si>
  <si>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</si>
  <si>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</si>
  <si>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</si>
  <si>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34110</t>
  </si>
  <si>
    <t>0000161828</t>
  </si>
  <si>
    <t>CRED LAS FRANQUESAS</t>
  </si>
  <si>
    <t>FRANQUESES DEL VALLE, LES</t>
  </si>
  <si>
    <t>CR N-152, 33</t>
  </si>
  <si>
    <t>2.297667, 41.649944</t>
  </si>
  <si>
    <t>08520</t>
  </si>
  <si>
    <t>Cafetería/Bar, Lavado cepillos, Aspiradores, Waylet pago en surtidor, Waylet pago en caja, Punto recarga eléctrico Repsol, Lavados Klin</t>
  </si>
  <si>
    <t>02741</t>
  </si>
  <si>
    <t>0183004134</t>
  </si>
  <si>
    <t>CRED RONDA ESTE</t>
  </si>
  <si>
    <t>CR N-601, 187</t>
  </si>
  <si>
    <t>-4.726361, 41.618806</t>
  </si>
  <si>
    <t>EFITEC 95 N - España, Efitec 95 Premium, EFITEC 98 N - España, Butano 12,5 Kg, DIESEL E+ NEO - España, DIESEL NEXA 100% RENOVABLE - Esp, Propano 11 Kg, BLUE+GRANEL - España, Butano 12 Kg (NEL)</t>
  </si>
  <si>
    <t>Lavado cepillos, Parking turismos, Aspiradores, Solred cheque lavado, Waylet pago en surtidor, Waylet pago en caja, Lavados Klin</t>
  </si>
  <si>
    <t>96137</t>
  </si>
  <si>
    <t>0183104686</t>
  </si>
  <si>
    <t>CRED POLIGONO GALAPAGAR</t>
  </si>
  <si>
    <t>GALAPAGAR</t>
  </si>
  <si>
    <t>CR M-510, 1,8</t>
  </si>
  <si>
    <t>-4.028694, 40.626806</t>
  </si>
  <si>
    <t>28260</t>
  </si>
  <si>
    <t>Restaurante, Cafetería/Bar, Lavado cepillos, Parking turismos, Box presión, Aspiradores, Solred cheque lavado, Waylet pago en surtidor, Waylet pago en caja, Punto recarga eléctrico Repsol, Lavados Klin</t>
  </si>
  <si>
    <t>96309</t>
  </si>
  <si>
    <t>0183054139</t>
  </si>
  <si>
    <t>CRED SAN MARCOS</t>
  </si>
  <si>
    <t>CL CRUZ ROJA DE LEON, SN</t>
  </si>
  <si>
    <t>-5.579194, 42.604667</t>
  </si>
  <si>
    <t>24001</t>
  </si>
  <si>
    <t>03866</t>
  </si>
  <si>
    <t>0183005941</t>
  </si>
  <si>
    <t>GALURESA PTE.PEDRIÑA</t>
  </si>
  <si>
    <t>CL ROMERO DONALLO, S.N.</t>
  </si>
  <si>
    <t>-8.548167, 42.87</t>
  </si>
  <si>
    <t>15703</t>
  </si>
  <si>
    <t>Lavado cepillos, Parking turismos, Aspiradores, Solred cheque lavado, Waylet pago en caja</t>
  </si>
  <si>
    <t>05031</t>
  </si>
  <si>
    <t>0183057389</t>
  </si>
  <si>
    <t>CRED ARRABAL DE PORTILLO</t>
  </si>
  <si>
    <t>ARRABAL DE PORTILLO</t>
  </si>
  <si>
    <t>CR CL-601, 22,7</t>
  </si>
  <si>
    <t>-4.598167, 41.475833</t>
  </si>
  <si>
    <t>47160</t>
  </si>
  <si>
    <t>Restaurante, Taller mecánico, Waylet pago en surtidor, Waylet pago en caja, Punto recarga eléctrico Repsol</t>
  </si>
  <si>
    <t>31131</t>
  </si>
  <si>
    <t>0183054428</t>
  </si>
  <si>
    <t>CRED LA ROCA</t>
  </si>
  <si>
    <t>ROCA DEL VALLES, LA</t>
  </si>
  <si>
    <t>CR C-1415, 17,4</t>
  </si>
  <si>
    <t>2.309139, 41.596694</t>
  </si>
  <si>
    <t>08430</t>
  </si>
  <si>
    <t>EFITEC 95 N - España, Efitec 95 Premium, EFITEC 98 N - España, Butano 12,5 Kg, DIESEL E+ NEO - España, Diésel e+5, DIESEL NEXA 100% RENOVABLE - Esp, BLUE+GRANEL - España, Autogás</t>
  </si>
  <si>
    <t>33265</t>
  </si>
  <si>
    <t>0063167795</t>
  </si>
  <si>
    <t>CRED MANZANARES I</t>
  </si>
  <si>
    <t>CL CRTA. LA SOLANA, 56</t>
  </si>
  <si>
    <t>-3.363361, 38.997972</t>
  </si>
  <si>
    <t>EFITEC 95 N - España, EFITEC 98 N - España, DIESEL E+ NEO - España, DIESEL NEXA 100% RENOVABLE - Esp, GO-B BONIF - España</t>
  </si>
  <si>
    <t>Lavado cepillos, Aspiradores, Solred cheque lavado, Waylet pago en surtidor, Waylet pago en caja, Lavados Klin</t>
  </si>
  <si>
    <t>96074</t>
  </si>
  <si>
    <t>0183077841</t>
  </si>
  <si>
    <t>CRED MERCAMADRID</t>
  </si>
  <si>
    <t>CL MERCAMADRID PARCELA D-3, SN</t>
  </si>
  <si>
    <t>-3.659861, 40.358194</t>
  </si>
  <si>
    <t>L-S: 00:00-14:00</t>
  </si>
  <si>
    <t>Cafetería/Bar, Lavado cepillos, Lavado camiones, Box presión, Aspiradores, Solred cheque lavado, Waylet pago en surtidor, Waylet pago en caja, Punto recarga eléctrico Repsol</t>
  </si>
  <si>
    <t>97062</t>
  </si>
  <si>
    <t>0183130863</t>
  </si>
  <si>
    <t>CRED LLORET</t>
  </si>
  <si>
    <t>LLORET DE MAR</t>
  </si>
  <si>
    <t>AVDA. VIDRERES</t>
  </si>
  <si>
    <t>2.834833, 41.709583</t>
  </si>
  <si>
    <t>17310</t>
  </si>
  <si>
    <t>96049</t>
  </si>
  <si>
    <t>0183079037</t>
  </si>
  <si>
    <t>CRED SAN VICENTE</t>
  </si>
  <si>
    <t>SAN VICENT DEL RASPEIG</t>
  </si>
  <si>
    <t>CL CARRETERA DE AGOST, 68</t>
  </si>
  <si>
    <t>-0.534111, 38.401417</t>
  </si>
  <si>
    <t>03690</t>
  </si>
  <si>
    <t>EFITEC 95 N - España, EFITEC 98 N - España, DIESEL E+ NEO - España, Diésel e+5, DIESEL E+10 NEO - España, Butano 6 Kg (K6), Propano 11 Kg, Butano 12 Kg (NEL)</t>
  </si>
  <si>
    <t>13096</t>
  </si>
  <si>
    <t>0183061936</t>
  </si>
  <si>
    <t>CRED CARMONA - AUTOVIA</t>
  </si>
  <si>
    <t>CARMONA</t>
  </si>
  <si>
    <t>CR N-4, 519,5</t>
  </si>
  <si>
    <t>-5.769167, 37.451111</t>
  </si>
  <si>
    <t>41410</t>
  </si>
  <si>
    <t>EFITEC 95 N - España, EFITEC 98 N - España, DIESEL E+ NEO - España, Diésel e+5, DIESEL E+10 NEO - España, GO-B BONIF - España, BLUE+GRANEL - España, Butano 12 Kg (NEL)</t>
  </si>
  <si>
    <t>Restaurante, Cafetería/Bar, Parking turismos, Parking camiones, Waylet pago en surtidor, Waylet pago en caja</t>
  </si>
  <si>
    <t>96894</t>
  </si>
  <si>
    <t>0183120989</t>
  </si>
  <si>
    <t>E.S. EL QUEJIGAL S.L.</t>
  </si>
  <si>
    <t>MAJADAS</t>
  </si>
  <si>
    <t>CTRA. EX-A1 P.K. 16 M.D.</t>
  </si>
  <si>
    <t>-5.761944, 39.917278</t>
  </si>
  <si>
    <t>10529</t>
  </si>
  <si>
    <t>EFITEC 95 N - España, Butano 12,5 Kg, DIESEL E+ NEO - España, DIESEL E+10 NEO - España, Butano 12 Kg (NEL)</t>
  </si>
  <si>
    <t>Restaurante, Cafetería/Bar, Parking turismos, Parking camiones, Zona de descanso, Duchas, Waylet pago en caja</t>
  </si>
  <si>
    <t>05013</t>
  </si>
  <si>
    <t>0183016765</t>
  </si>
  <si>
    <t>CRED CORIA</t>
  </si>
  <si>
    <t>CORIA DEL RIO</t>
  </si>
  <si>
    <t>AVENIDA BLAS INFANTE, 41</t>
  </si>
  <si>
    <t>-6.059472, 37.292389</t>
  </si>
  <si>
    <t>41100</t>
  </si>
  <si>
    <t>94721</t>
  </si>
  <si>
    <t>0183135599</t>
  </si>
  <si>
    <t>CRED LA SAGRA M.I</t>
  </si>
  <si>
    <t>NUMANCIA DE LA SAGRA</t>
  </si>
  <si>
    <t>CR AP-41</t>
  </si>
  <si>
    <t>-3.864444, 40.056056</t>
  </si>
  <si>
    <t>45230</t>
  </si>
  <si>
    <t>Parking turismos, Parking camiones, Waylet pago en surtidor, Waylet pago en caja, Punto recarga eléctrico Repsol, Recarga eléctrica</t>
  </si>
  <si>
    <t>96290</t>
  </si>
  <si>
    <t>0183080365</t>
  </si>
  <si>
    <t>E.S. HIDROCARBUROS EL MAMI.</t>
  </si>
  <si>
    <t>CAÑADA S. URBANO-EL</t>
  </si>
  <si>
    <t>CR AL-201, PK. 1,6</t>
  </si>
  <si>
    <t>-2.420722, 36.853639</t>
  </si>
  <si>
    <t>04120</t>
  </si>
  <si>
    <t>EFITEC 95 N - España, EFITEC 98 N - España, DIESEL E+ NEO - España, DIESEL E+10 NEO - España, GO-B BONIF - España, Butano 6 Kg (K6), Propano 11 Kg, Butano 12 Kg (NEL)</t>
  </si>
  <si>
    <t>33154</t>
  </si>
  <si>
    <t>0183015668</t>
  </si>
  <si>
    <t>CRED BOGATELL</t>
  </si>
  <si>
    <t>CL AVENIDA BOGATELL 49</t>
  </si>
  <si>
    <t>2.192944, 41.392583</t>
  </si>
  <si>
    <t>L-V: 07:00-21:00; S: 08:00-14:00</t>
  </si>
  <si>
    <t>15581</t>
  </si>
  <si>
    <t>0183063155</t>
  </si>
  <si>
    <t>ES HERENCIA YACENTE JOSE MORENO MOR</t>
  </si>
  <si>
    <t>VISO, EL</t>
  </si>
  <si>
    <t>CR N-502, 354,2</t>
  </si>
  <si>
    <t>-4.953917, 38.480028</t>
  </si>
  <si>
    <t>14470</t>
  </si>
  <si>
    <t>L-V: 06:00-22:00; S: 07:00-21:00</t>
  </si>
  <si>
    <t>EFITEC 95 N - España, Efitec 95 Premium, Butano 12,5 Kg, DIESEL E+ NEO - España, DIESEL NEXA 100% RENOVABLE - Esp, GO-B BONIF - España, Propano 11 Kg, Butano 12 Kg (NEL)</t>
  </si>
  <si>
    <t>34111</t>
  </si>
  <si>
    <t>0018025262</t>
  </si>
  <si>
    <t>CRED PUENTE COLGANTE</t>
  </si>
  <si>
    <t>CL PUENTE COLGANTE, 12</t>
  </si>
  <si>
    <t>-4.734222, 41.641111</t>
  </si>
  <si>
    <t>47007</t>
  </si>
  <si>
    <t>EFITEC 95 N - España, Efitec 95 Premium, EFITEC 98 N - España, DIESEL E+ NEO - España, Diésel e+5, DIESEL NEXA 100% RENOVABLE - Esp, GO-B BONIF - España, Butano 12 Kg (NEL)</t>
  </si>
  <si>
    <t>13080</t>
  </si>
  <si>
    <t>0183061845</t>
  </si>
  <si>
    <t>CRED ALGECIRAS</t>
  </si>
  <si>
    <t>ALGECIRAS</t>
  </si>
  <si>
    <t>CL PASEO VICTORIA EUGENIA, S.N.</t>
  </si>
  <si>
    <t>-5.444611, 36.117056</t>
  </si>
  <si>
    <t>11207</t>
  </si>
  <si>
    <t>96689</t>
  </si>
  <si>
    <t>0183112960</t>
  </si>
  <si>
    <t>CRED RANTE II</t>
  </si>
  <si>
    <t>INFESTA</t>
  </si>
  <si>
    <t>CR  A-52 ENLACE P.K. 217</t>
  </si>
  <si>
    <t>-7.864722, 42.251056</t>
  </si>
  <si>
    <t>32910</t>
  </si>
  <si>
    <t>Restaurante, Cafetería/Bar, Lavado cepillos, Parking turismos, Parking camiones, Waylet pago en surtidor, Waylet pago en caja</t>
  </si>
  <si>
    <t>07407</t>
  </si>
  <si>
    <t>0183135284</t>
  </si>
  <si>
    <t>CRED SAN ISIDRO</t>
  </si>
  <si>
    <t>ALCALA DE HENARES</t>
  </si>
  <si>
    <t>CL VIA COMPLUTENSE, 41</t>
  </si>
  <si>
    <t>-3.36225, 40.486278</t>
  </si>
  <si>
    <t>28805</t>
  </si>
  <si>
    <t>Restaurante, Cafetería/Bar, Waylet pago en surtidor, Waylet pago en caja</t>
  </si>
  <si>
    <t>34398</t>
  </si>
  <si>
    <t>0183003284</t>
  </si>
  <si>
    <t>CRED LA GRAJERA</t>
  </si>
  <si>
    <t>LOGROÑO</t>
  </si>
  <si>
    <t>CR LO-20 ,P.K. 10</t>
  </si>
  <si>
    <t>-2.503944, 42.454222</t>
  </si>
  <si>
    <t>26006</t>
  </si>
  <si>
    <t>Restaurante, Cafetería/Bar, Taller mecánico, Taller neumáticos, Parking turismos, Parking camiones, Zona de descanso, Waylet pago en surtidor, Waylet pago en caja, Adblue Envasado, Punto recarga eléctrico Repsol</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</si>
  <si>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</si>
  <si>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</si>
  <si>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</si>
  <si>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</si>
  <si>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</si>
  <si>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</si>
  <si>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96294</t>
  </si>
  <si>
    <t>0183100064</t>
  </si>
  <si>
    <t>E.S. SANTISO, S.L.</t>
  </si>
  <si>
    <t>SANTISO-CASTROFEITO</t>
  </si>
  <si>
    <t>CR N-634, 707,1</t>
  </si>
  <si>
    <t>-8.391861, 42.925972</t>
  </si>
  <si>
    <t>15821</t>
  </si>
  <si>
    <t>Cafetería/Bar, Lavado cepillos, Lavado camiones, Parking turismos, Parking camiones, Box presión, Duchas, Aspiradores, Solred cheque lavado, Waylet pago en caja</t>
  </si>
  <si>
    <t>11028</t>
  </si>
  <si>
    <t>0183056266</t>
  </si>
  <si>
    <t>CRED LA RATLLA</t>
  </si>
  <si>
    <t>CR N-340, 981,8</t>
  </si>
  <si>
    <t>0.01325, 40.031889</t>
  </si>
  <si>
    <t>12004</t>
  </si>
  <si>
    <t>Cafetería/Bar, Lavado cepillos, Parking turismos, Parking camiones, Zona de descanso, Box presión, Aspiradores, Waylet pago en surtidor, Waylet pago en caja, Lavados Klin</t>
  </si>
  <si>
    <t>96060</t>
  </si>
  <si>
    <t>0183079714</t>
  </si>
  <si>
    <t>CRED GALAPAGAR</t>
  </si>
  <si>
    <t>CR M-505, 17,4</t>
  </si>
  <si>
    <t>-4.015361, 40.576056</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</si>
  <si>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</si>
  <si>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</si>
  <si>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15804</t>
  </si>
  <si>
    <t>0183050871</t>
  </si>
  <si>
    <t>CRED SINEU</t>
  </si>
  <si>
    <t>SINEU</t>
  </si>
  <si>
    <t>CR PM-324, 11,5</t>
  </si>
  <si>
    <t>3.006083, 39.646083</t>
  </si>
  <si>
    <t>07510</t>
  </si>
  <si>
    <t>EFITEC 95 N - España, DIESEL E+ NEO - España, DIESEL NEXA 100% RENOVABLE - Esp, GO-B BONIF - España, BLUE+GRANEL - España, Butano 12 Kg (NEL)</t>
  </si>
  <si>
    <t>93667</t>
  </si>
  <si>
    <t>0183135730</t>
  </si>
  <si>
    <t>CRED. E.S. FUENSALDAÑA</t>
  </si>
  <si>
    <t>CARRETERA FUENSALDAÑA, KM 2,7</t>
  </si>
  <si>
    <t>-4.742167, 41.680694</t>
  </si>
  <si>
    <t>01362</t>
  </si>
  <si>
    <t>0183009562</t>
  </si>
  <si>
    <t>CRED BEJAR I</t>
  </si>
  <si>
    <t>BEJAR</t>
  </si>
  <si>
    <t>CL CRTA DE SALAMANCA, 3</t>
  </si>
  <si>
    <t>-5.762306, 40.384167</t>
  </si>
  <si>
    <t>37700</t>
  </si>
  <si>
    <t>96018</t>
  </si>
  <si>
    <t>0183076942</t>
  </si>
  <si>
    <t>CRED SIERO</t>
  </si>
  <si>
    <t>VIELLA</t>
  </si>
  <si>
    <t>AU A-64, NUDO ENLACE C.L.A.S. PK 30</t>
  </si>
  <si>
    <t>-5.779944, 43.393944</t>
  </si>
  <si>
    <t>33429</t>
  </si>
  <si>
    <t>Waylet pago en surtidor, Waylet pago en caja, Punto recarga eléctrico Repsol, Lavados Klin</t>
  </si>
  <si>
    <t>12645</t>
  </si>
  <si>
    <t>0183062710</t>
  </si>
  <si>
    <t>CRED REBOLLAR</t>
  </si>
  <si>
    <t>REQUENA</t>
  </si>
  <si>
    <t>AT A-3, 297</t>
  </si>
  <si>
    <t>-1.010944, 39.471694</t>
  </si>
  <si>
    <t>46340</t>
  </si>
  <si>
    <t>EFITEC 95 N - España, EFITEC 98 N - España, Butano 12,5 Kg, DIESEL E+ NEO - España, Diésel e+5, DIESEL E+10 NEO - España, Butano 6 Kg (K6)</t>
  </si>
  <si>
    <t>Parking turismos, Parking camiones, Zona de descanso, Box presión, Aspiradores, Waylet pago en surtidor, Waylet pago en caja, Adblue Envasado</t>
  </si>
  <si>
    <t>31624</t>
  </si>
  <si>
    <t>0183004373</t>
  </si>
  <si>
    <t>CRED EL DESCANS</t>
  </si>
  <si>
    <t>SANT JAUME DELS DOMENYS</t>
  </si>
  <si>
    <t>AU AP-7   OESTE, 208</t>
  </si>
  <si>
    <t>1.589944, 41.289444</t>
  </si>
  <si>
    <t>43713</t>
  </si>
  <si>
    <t>Rest. Autoservicio, Restaurante, Cafetería/Bar, Parking turismos, Parking camiones, Zona de descanso, Duchas, Waylet pago en surtidor, Waylet pago en caja</t>
  </si>
  <si>
    <t>34356</t>
  </si>
  <si>
    <t>0042146548</t>
  </si>
  <si>
    <t>CRED ARANDA DE DUERO</t>
  </si>
  <si>
    <t>ARANDA DE DUERO</t>
  </si>
  <si>
    <t>CL AVENIDA CASTILLA, 64</t>
  </si>
  <si>
    <t>-3.691861, 41.662583</t>
  </si>
  <si>
    <t>09400</t>
  </si>
  <si>
    <t>EFITEC 95 N - España, EFITEC 98 N - España, DIESEL E+ NEO - España, Diésel e+5, DIESEL NEXA 100% RENOVABLE - Esp, Propano 11 Kg, BLUE+GRANEL - España, Autogás, Butano 12 Kg (NEL)</t>
  </si>
  <si>
    <t>04588</t>
  </si>
  <si>
    <t>0183018902</t>
  </si>
  <si>
    <t>CRED DAROCA</t>
  </si>
  <si>
    <t>DAROCA</t>
  </si>
  <si>
    <t>CR N-234, 220,2</t>
  </si>
  <si>
    <t>-1.406028, 41.117167</t>
  </si>
  <si>
    <t>50360</t>
  </si>
  <si>
    <t>11775</t>
  </si>
  <si>
    <t>0183121342</t>
  </si>
  <si>
    <t>E.S. GESTUSERSA</t>
  </si>
  <si>
    <t>CR EX-100 CACERES-BADAJOZ KM. 85,60</t>
  </si>
  <si>
    <t>-6.965194, 38.906333</t>
  </si>
  <si>
    <t>06006</t>
  </si>
  <si>
    <t>Box presión, Waylet pago en caja</t>
  </si>
  <si>
    <t>96905</t>
  </si>
  <si>
    <t>0183123736</t>
  </si>
  <si>
    <t>CRED HERNANI IZDO</t>
  </si>
  <si>
    <t>AP-8 P.K. 22,000 MI</t>
  </si>
  <si>
    <t>-1.98425, 43.278472</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</si>
  <si>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</si>
  <si>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</si>
  <si>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34234</t>
  </si>
  <si>
    <t>0183009224</t>
  </si>
  <si>
    <t>CRED PARQUE</t>
  </si>
  <si>
    <t>OLOT</t>
  </si>
  <si>
    <t>CL CRTA. STA. COLOMA, S.N.</t>
  </si>
  <si>
    <t>2.478556, 42.171889</t>
  </si>
  <si>
    <t>17800</t>
  </si>
  <si>
    <t>EFITEC 95 N - España, EFITEC 98 N - España, DIESEL E+ NEO - España, DIESEL E+10 NEO - España, Butano 6 Kg (K6), Propano 11 Kg, Autogás, Butano 12 Kg (NEL)</t>
  </si>
  <si>
    <t>97113</t>
  </si>
  <si>
    <t>0183133149</t>
  </si>
  <si>
    <t>CRED TOTANA</t>
  </si>
  <si>
    <t>CR A-7 PK 606 M.I.</t>
  </si>
  <si>
    <t>-1.427694, 37.794667</t>
  </si>
  <si>
    <t>Rest. Autoservicio, Cafetería/Bar, Parking turismos, Parking camiones, Zona de descanso, Sin personal/desatendida, Waylet pago en surtidor, Waylet pago en caja, Adblue Envasado</t>
  </si>
  <si>
    <t>34427</t>
  </si>
  <si>
    <t>0183014943</t>
  </si>
  <si>
    <t>CRED SALLENT</t>
  </si>
  <si>
    <t>SALLENT</t>
  </si>
  <si>
    <t>CR C-16, 60,40</t>
  </si>
  <si>
    <t>1.898056, 41.800639</t>
  </si>
  <si>
    <t>08650</t>
  </si>
  <si>
    <t>Restaurante, Cafetería/Bar, Parking turismos, Parking camiones, Waylet pago en surtidor, Waylet pago en caja, Adblue Envasado</t>
  </si>
  <si>
    <t>05453</t>
  </si>
  <si>
    <t>0183055615</t>
  </si>
  <si>
    <t>CRED AMOREBIETA</t>
  </si>
  <si>
    <t>AMOREBIETA-C.RED</t>
  </si>
  <si>
    <t>CR N-634, 93</t>
  </si>
  <si>
    <t>-2.752944, 43.228917</t>
  </si>
  <si>
    <t>L-V: 06:00-22:00; S-D: 08:00-22:00</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</si>
  <si>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</si>
  <si>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</si>
  <si>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96750</t>
  </si>
  <si>
    <t>0183112929</t>
  </si>
  <si>
    <t>CRED LOS VERGELES</t>
  </si>
  <si>
    <t>CL DE LA SULTANA , 9</t>
  </si>
  <si>
    <t>-3.592194, 37.151333</t>
  </si>
  <si>
    <t>18006</t>
  </si>
  <si>
    <t>94280</t>
  </si>
  <si>
    <t>0183133024</t>
  </si>
  <si>
    <t>ES EL CARMEN NAVAHERMOSA, SL</t>
  </si>
  <si>
    <t>NAVAHERMOSA</t>
  </si>
  <si>
    <t>CR TOLEDO KM 49,6</t>
  </si>
  <si>
    <t>-4.464361, 39.637833</t>
  </si>
  <si>
    <t>45150</t>
  </si>
  <si>
    <t>L-S: 06:30-21:30; D: 07:00-21:30</t>
  </si>
  <si>
    <t>Restaurante, Cafetería/Bar, Lavado cepillos, Lavado camiones, Parking turismos, Parking camiones, Zona de descanso, Box presión, Aspiradores, Waylet pago en caja</t>
  </si>
  <si>
    <t>33098</t>
  </si>
  <si>
    <t>0183006725</t>
  </si>
  <si>
    <t>CRED CARDEÑAJIMENO</t>
  </si>
  <si>
    <t>CARDEÑAJIMENO</t>
  </si>
  <si>
    <t>CR N-120, 106</t>
  </si>
  <si>
    <t>-3.612222, 42.34125</t>
  </si>
  <si>
    <t>09193</t>
  </si>
  <si>
    <t>31627</t>
  </si>
  <si>
    <t>0008022212</t>
  </si>
  <si>
    <t>CRED LA TRAMUNTANA</t>
  </si>
  <si>
    <t>GARRIGAS</t>
  </si>
  <si>
    <t>AU AP-7, 35</t>
  </si>
  <si>
    <t>2.930083, 42.173417</t>
  </si>
  <si>
    <t>17476</t>
  </si>
  <si>
    <t>96722</t>
  </si>
  <si>
    <t>0183122613</t>
  </si>
  <si>
    <t>CRED COIROS I</t>
  </si>
  <si>
    <t>COIROS</t>
  </si>
  <si>
    <t>A-6 P.K. 558 M.D.</t>
  </si>
  <si>
    <t>-8.135, 43.240556</t>
  </si>
  <si>
    <t>15316</t>
  </si>
  <si>
    <t>Parking turismos, Parking camiones, Box presión, Aspiradores, Waylet pago en surtidor, Waylet pago en caja</t>
  </si>
  <si>
    <t>11757</t>
  </si>
  <si>
    <t>0183078393</t>
  </si>
  <si>
    <t>CRED CALLDETENES</t>
  </si>
  <si>
    <t>CALLDETENES</t>
  </si>
  <si>
    <t>CR N-141D, 3,3</t>
  </si>
  <si>
    <t>2.298444, 41.928861</t>
  </si>
  <si>
    <t>08519</t>
  </si>
  <si>
    <t>EFITEC 95 N - España, Efitec 95 Premium, EFITEC 98 N - España, Butano 12,5 Kg, DIESEL E+ NEO - España, Diésel e+5, DIESEL NEXA 100% RENOVABLE - Esp, GO-B BONIF - España, BLUE+GRANEL - España</t>
  </si>
  <si>
    <t>34377</t>
  </si>
  <si>
    <t>0183015270</t>
  </si>
  <si>
    <t>CRED PINTO AUTOVIA</t>
  </si>
  <si>
    <t>PINTO</t>
  </si>
  <si>
    <t>CR A-4  P.K. 20,20 D</t>
  </si>
  <si>
    <t>-3.690111, 40.246583</t>
  </si>
  <si>
    <t>28320</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</si>
  <si>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</si>
  <si>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</si>
  <si>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12475</t>
  </si>
  <si>
    <t>0183062355</t>
  </si>
  <si>
    <t>CRED SILS</t>
  </si>
  <si>
    <t>SILS</t>
  </si>
  <si>
    <t>CR C-63, PK. 17</t>
  </si>
  <si>
    <t>2.738083, 41.813444</t>
  </si>
  <si>
    <t>17410</t>
  </si>
  <si>
    <t>Lavado cepillos, Parking turismos, Aspiradores, Waylet pago en surtidor, Waylet pago en caja, Lavados Klin</t>
  </si>
  <si>
    <t>96907</t>
  </si>
  <si>
    <t>0183124296</t>
  </si>
  <si>
    <t>CRED ESKORIATZA</t>
  </si>
  <si>
    <t>ESKORIATZA</t>
  </si>
  <si>
    <t>AP-1 P.K. 121,500 MI</t>
  </si>
  <si>
    <t>-2.535278, 43.016944</t>
  </si>
  <si>
    <t>20540</t>
  </si>
  <si>
    <t>Parking turismos, Parking camiones, Waylet pago en surtidor, Waylet pago en caja, Adblue Envasado, Punto recarga eléctrico Repsol</t>
  </si>
  <si>
    <t>96283</t>
  </si>
  <si>
    <t>0183102011</t>
  </si>
  <si>
    <t>CRED C-60</t>
  </si>
  <si>
    <t>CR C-60 KM 8,7</t>
  </si>
  <si>
    <t>2.34175, 41.592139</t>
  </si>
  <si>
    <t>EFITEC 95 N - España, EFITEC 98 N - España, Butano 12,5 Kg, DIESEL E+ NEO - España, Diésel e+5, DIESEL NEXA 100% RENOVABLE - Esp</t>
  </si>
  <si>
    <t>92887</t>
  </si>
  <si>
    <t>0183123082</t>
  </si>
  <si>
    <t>ES LA RUEDA CUADRADA</t>
  </si>
  <si>
    <t>CR A-4 KM 326 M.I.</t>
  </si>
  <si>
    <t>-4.079778, 38.029472</t>
  </si>
  <si>
    <t>EFITEC 95 N - España, Efitec 95 Premium, EFITEC 98 N - España, Butano 12,5 Kg, DIESEL E+ NEO - España, DIESEL E+10 NEO - España, GO-B BONIF - España, Propano 11 Kg, BLUE+GRANEL - España, Autogás</t>
  </si>
  <si>
    <t>07569</t>
  </si>
  <si>
    <t>0063199160</t>
  </si>
  <si>
    <t>CRED PORTAL DE CASTILLA</t>
  </si>
  <si>
    <t>VITORIA-GASTEIZ</t>
  </si>
  <si>
    <t>CL CASTILLA, 30</t>
  </si>
  <si>
    <t>-2.682278, 42.842833</t>
  </si>
  <si>
    <t>01008</t>
  </si>
  <si>
    <t>EFITEC 95 N - España, EFITEC 98 N - España, DIESEL E+ NEO - España, Diésel e+5, DIESEL NEXA 100% RENOVABLE - Esp, BLUE+GRANEL - España</t>
  </si>
  <si>
    <t>96075</t>
  </si>
  <si>
    <t>0183078336</t>
  </si>
  <si>
    <t>CRED PLATJA DÑARO</t>
  </si>
  <si>
    <t>CASTELL-PLATJA D¿ARO</t>
  </si>
  <si>
    <t>AV DE CASTELL D,ARO, 12,2</t>
  </si>
  <si>
    <t>3.050861, 41.816222</t>
  </si>
  <si>
    <t>17250</t>
  </si>
  <si>
    <t>EFITEC 95 N - España, EFITEC 98 N - España, Butano 12,5 Kg, DIESEL E+ NEO - España, DIESEL E+10 NEO - España, Butano 6 Kg (K6), Propano 11 Kg, BLUE+GRANEL - España, Autogás, Butano 12 Kg (NEL)</t>
  </si>
  <si>
    <t>00853</t>
  </si>
  <si>
    <t>0183001254</t>
  </si>
  <si>
    <t>CRED ALBARES</t>
  </si>
  <si>
    <t>CR N-301  A, 355</t>
  </si>
  <si>
    <t>-1.395111, 38.236389</t>
  </si>
  <si>
    <t>EFITEC 95 N - España, EFITEC 98 N - España, DIESEL E+ NEO - España, DIESEL NEXA 100% RENOVABLE - Esp, GO-B BONIF - España, Butano 6 Kg (K6), Propano 11 Kg, Butano 12 Kg (NEL)</t>
  </si>
  <si>
    <t>34633</t>
  </si>
  <si>
    <t>0183053966</t>
  </si>
  <si>
    <t>CRED VALDEZORRAS</t>
  </si>
  <si>
    <t>CR SE-30  (CRTRA. VALDEZORRAS, 0,1</t>
  </si>
  <si>
    <t>-5.955278, 37.416611</t>
  </si>
  <si>
    <t>41008</t>
  </si>
  <si>
    <t>EFITEC 95 N - España, Efitec 95 Premium, EFITEC 98 N - España, Butano 12,5 Kg, DIESEL E+ NEO - España, DIESEL NEXA 100% RENOVABLE - Esp, Butano 6 Kg (K6), BLUE+GRANEL - España, Autogás</t>
  </si>
  <si>
    <t>Lavandería, Waylet pago en surtidor, Waylet pago en caja, Adblue Envasado, Punto recarga eléctrico Repsol</t>
  </si>
  <si>
    <t>31598</t>
  </si>
  <si>
    <t>0183005917</t>
  </si>
  <si>
    <t>E.S. GALURESA POCOMACO</t>
  </si>
  <si>
    <t>POLIGONO POCOMACO</t>
  </si>
  <si>
    <t>PG POCOMACO-MESOIRO, S.N.</t>
  </si>
  <si>
    <t>-8.423444, 43.335806</t>
  </si>
  <si>
    <t>15190</t>
  </si>
  <si>
    <t>Restaurante, Cafetería/Bar, Taller neumáticos, Lavado cepillos, Parking turismos, Box presión, Aspiradores, Solred cheque lavado, Waylet pago en caja</t>
  </si>
  <si>
    <t>96649</t>
  </si>
  <si>
    <t>0183110972</t>
  </si>
  <si>
    <t>ES J&amp;A PETROL STATION, SL</t>
  </si>
  <si>
    <t>AVILA</t>
  </si>
  <si>
    <t>AV JUAN CARLOS I ,S.N.</t>
  </si>
  <si>
    <t>-4.660111, 40.667694</t>
  </si>
  <si>
    <t>05004</t>
  </si>
  <si>
    <t>L: 07:00-23:00</t>
  </si>
  <si>
    <t>EFITEC 95 N - España, EFITEC 98 N - España, Butano 12,5 Kg, DIESEL E+ NEO - España, DIESEL NEXA 100% RENOVABLE - Esp, Propano 11 Kg, Butano 12 Kg (NEL)</t>
  </si>
  <si>
    <t>Taller mecánico, Taller neumáticos, Box presión, Aspiradores, Solred cheque lavado, Waylet pago en caja</t>
  </si>
  <si>
    <t>12989</t>
  </si>
  <si>
    <t>0183061720</t>
  </si>
  <si>
    <t>CRED MUNDAKA</t>
  </si>
  <si>
    <t>MUNDAKA</t>
  </si>
  <si>
    <t>CR BI-635, 48,5</t>
  </si>
  <si>
    <t>-2.702944, 43.412306</t>
  </si>
  <si>
    <t>48360</t>
  </si>
  <si>
    <t>EFITEC 95 N - España, EFITEC 98 N - España, Butano 12,5 Kg, DIESEL E+ NEO - España, Diésel e+5, DIESEL NEXA 100% RENOVABLE - Esp, Propano 11 Kg, Butano 12 Kg (NEL)</t>
  </si>
  <si>
    <t>34184</t>
  </si>
  <si>
    <t>0068108208</t>
  </si>
  <si>
    <t>CRED CABRERA III</t>
  </si>
  <si>
    <t>CR B-502, 1</t>
  </si>
  <si>
    <t>2.394694, 41.514222</t>
  </si>
  <si>
    <t>33970</t>
  </si>
  <si>
    <t>0063167985</t>
  </si>
  <si>
    <t>CRED JEREZ</t>
  </si>
  <si>
    <t>CL MARTIN FERRADOR, S.N.</t>
  </si>
  <si>
    <t>-6.127417, 36.690056</t>
  </si>
  <si>
    <t>11405</t>
  </si>
  <si>
    <t>EFITEC 95 N - España, Efitec 95 Premium, EFITEC 98 N - España, DIESEL E+ NEO - España, Diésel e+5, DIESEL NEXA 100% RENOVABLE - Esp, Butano 6 Kg (K6), Propano 11 Kg, Autogás, Butano 12 Kg (NEL)</t>
  </si>
  <si>
    <t>07475</t>
  </si>
  <si>
    <t>0183004191</t>
  </si>
  <si>
    <t>E.S. FTE. EL SAZ</t>
  </si>
  <si>
    <t>FUENTE EL SAZ DE JARAMA</t>
  </si>
  <si>
    <t>CL TORRELAGUNA, 78</t>
  </si>
  <si>
    <t>-3.509694, 40.641667</t>
  </si>
  <si>
    <t>28140</t>
  </si>
  <si>
    <t>EFITEC 95 N - España, EFITEC 98 N - España, DIESEL E+ NEO - España, DIESEL NEXA 100% RENOVABLE - Esp, GO-B BONIF - España, Butano 6 Kg (K6), BLUE+GRANEL - España</t>
  </si>
  <si>
    <t>07463</t>
  </si>
  <si>
    <t>0183112580</t>
  </si>
  <si>
    <t>E.S. AREA DE SERVICIO RUTA 5 SLU</t>
  </si>
  <si>
    <t>SAN PEDRO DE MERIDA</t>
  </si>
  <si>
    <t>CR  A-5 ,P.K. 325 D</t>
  </si>
  <si>
    <t>-6.187528, 38.947556</t>
  </si>
  <si>
    <t>06893</t>
  </si>
  <si>
    <t>Restaurante, Cafetería/Bar, Parking turismos, Parking camiones, Duchas, Waylet pago en caja</t>
  </si>
  <si>
    <t>04087</t>
  </si>
  <si>
    <t>0183000660</t>
  </si>
  <si>
    <t>CRED CORTADURA</t>
  </si>
  <si>
    <t>CADIZ</t>
  </si>
  <si>
    <t>CL AVDA.JOSE LEON DE CARRANZA, 1</t>
  </si>
  <si>
    <t>-6.27275, 36.498722</t>
  </si>
  <si>
    <t>11011</t>
  </si>
  <si>
    <t>Cafetería/Bar, Lavado cepillos, Solred cheque lavado, Lavandería, Waylet pago en surtidor, Waylet pago en caja, Lavados Klin</t>
  </si>
  <si>
    <t>96375</t>
  </si>
  <si>
    <t>0183119460</t>
  </si>
  <si>
    <t>CRED LA RODA AUTOVIA</t>
  </si>
  <si>
    <t>RODA, LA</t>
  </si>
  <si>
    <t>A-31 P.K. 40 MD</t>
  </si>
  <si>
    <t>-2.144639, 39.200944</t>
  </si>
  <si>
    <t>02630</t>
  </si>
  <si>
    <t>33419</t>
  </si>
  <si>
    <t>0183050699</t>
  </si>
  <si>
    <t>CRED S.ASENSIO M.D.</t>
  </si>
  <si>
    <t>SAN ASENSIO-E.S.</t>
  </si>
  <si>
    <t>AU AP-68, 100</t>
  </si>
  <si>
    <t>-2.754389, 42.511667</t>
  </si>
  <si>
    <t>26340</t>
  </si>
  <si>
    <t>EFITEC 95 N - España, Efitec 95 Premium, EFITEC 98 N - España, DIESEL E+ NEO - España, Diésel e+5, DIESEL E+10 NEO - España</t>
  </si>
  <si>
    <t>Parking turismos, Parking camiones, Zona de descanso, Waylet pago en surtidor, Waylet pago en caja, Adblue Envasado</t>
  </si>
  <si>
    <t>12250</t>
  </si>
  <si>
    <t>0183059880</t>
  </si>
  <si>
    <t>CRED ASUA</t>
  </si>
  <si>
    <t>ERANDIO</t>
  </si>
  <si>
    <t>CR BI-3704 ASUA-LOIU, 57</t>
  </si>
  <si>
    <t>-2.944833, 43.307528</t>
  </si>
  <si>
    <t>48950</t>
  </si>
  <si>
    <t>L-V: 07:00-22:00; S-D: 08:00-22:00</t>
  </si>
  <si>
    <t>96776</t>
  </si>
  <si>
    <t>0183115302</t>
  </si>
  <si>
    <t>CRED PALOL DE REVARDIT</t>
  </si>
  <si>
    <t>PALOL DE REVARDIT</t>
  </si>
  <si>
    <t>CR  C-66 P.K. 36</t>
  </si>
  <si>
    <t>2.819472, 42.048111</t>
  </si>
  <si>
    <t>17843</t>
  </si>
  <si>
    <t>07568</t>
  </si>
  <si>
    <t>0183057751</t>
  </si>
  <si>
    <t>CRED LA RABAZA</t>
  </si>
  <si>
    <t>ORENSE</t>
  </si>
  <si>
    <t>CR OR-536, 2  D</t>
  </si>
  <si>
    <t>-7.842861, 42.341611</t>
  </si>
  <si>
    <t>32004</t>
  </si>
  <si>
    <t>31264</t>
  </si>
  <si>
    <t>0183110667</t>
  </si>
  <si>
    <t>CRED AMOREBIETA A-8 M.I.</t>
  </si>
  <si>
    <t>CR A-8 BILBAO-BEHOBIA ,P.K. 100</t>
  </si>
  <si>
    <t>-2.754028, 43.230083</t>
  </si>
  <si>
    <t>Restaurante, Cafetería/Bar, Lavado cepillos, Parking turismos, Parking camiones, Zona de descanso, Box presión, Aspiradores, Solred cheque lavado, Waylet pago en caja, Adblue Envasado, Punto recarga eléctrico Repsol</t>
  </si>
  <si>
    <t>96388</t>
  </si>
  <si>
    <t>0183106079</t>
  </si>
  <si>
    <t>CRED UGALDEBIETA M.D.</t>
  </si>
  <si>
    <t>-3.068806, 43.3285</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</si>
  <si>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</si>
  <si>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</si>
  <si>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96050</t>
  </si>
  <si>
    <t>0183078328</t>
  </si>
  <si>
    <t>ES CARBURANTES Y SERVICIOS GARCERAN</t>
  </si>
  <si>
    <t>CL AVDA. CICLISTA MARIANO ROJAS, SN</t>
  </si>
  <si>
    <t>-1.144694, 38.000306</t>
  </si>
  <si>
    <t>30009</t>
  </si>
  <si>
    <t>Cafetería/Bar, Taller mecánico, Lavado cepillos, Aspiradores, Solred cheque lavado, Waylet pago en caja</t>
  </si>
  <si>
    <t>34240</t>
  </si>
  <si>
    <t>0183008051</t>
  </si>
  <si>
    <t>CRED OFELIA NIETO</t>
  </si>
  <si>
    <t>CL OFELIA NIETO, 64</t>
  </si>
  <si>
    <t>-3.7085, 40.461583</t>
  </si>
  <si>
    <t>28039</t>
  </si>
  <si>
    <t>Lavado cepillos, Parking turismos, Aspiradores, Solred cheque lavado, Waylet pago en surtidor, Waylet pago en caja, Punto recarga eléctrico Repsol, Lavados Klin</t>
  </si>
  <si>
    <t>04020</t>
  </si>
  <si>
    <t>0183059195</t>
  </si>
  <si>
    <t>GONZALEZ FERRO,S.L.</t>
  </si>
  <si>
    <t>MORAÑA</t>
  </si>
  <si>
    <t>CL UNA (STA. LUCIA), Nº 41</t>
  </si>
  <si>
    <t>-8.588611, 42.59075</t>
  </si>
  <si>
    <t>36660</t>
  </si>
  <si>
    <t>L-V: 07:30-22:30; S-D: 08:30-22:30</t>
  </si>
  <si>
    <t>01514</t>
  </si>
  <si>
    <t>0183018068</t>
  </si>
  <si>
    <t>CRED U.S. CISTIERNA</t>
  </si>
  <si>
    <t>CISTIERNA</t>
  </si>
  <si>
    <t>CR N-625, 56,2</t>
  </si>
  <si>
    <t>-5.130639, 42.809972</t>
  </si>
  <si>
    <t>24800</t>
  </si>
  <si>
    <t>15167</t>
  </si>
  <si>
    <t>0183078575</t>
  </si>
  <si>
    <t>CRED PICANYA</t>
  </si>
  <si>
    <t>PICANYA</t>
  </si>
  <si>
    <t>CR CV-36  VALENCIA -TORRENTE ,P.K.</t>
  </si>
  <si>
    <t>-0.42725, 39.440806</t>
  </si>
  <si>
    <t>46210</t>
  </si>
  <si>
    <t>05973</t>
  </si>
  <si>
    <t>0183017714</t>
  </si>
  <si>
    <t>CRED DOCTOR PI I MOLIST</t>
  </si>
  <si>
    <t>PO DOCTOR PI Y MOLIST, 110</t>
  </si>
  <si>
    <t>2.172444, 41.434667</t>
  </si>
  <si>
    <t>08016</t>
  </si>
  <si>
    <t>02424</t>
  </si>
  <si>
    <t>0183054451</t>
  </si>
  <si>
    <t>CRED ASTORGA</t>
  </si>
  <si>
    <t>ASTORGA</t>
  </si>
  <si>
    <t>CR N-6, 325</t>
  </si>
  <si>
    <t>-6.064389, 42.459917</t>
  </si>
  <si>
    <t>24700</t>
  </si>
  <si>
    <t>EFITEC 95 N - España, Efitec 95 Premium, EFITEC 98 N - España, Butano 12,5 Kg, DIESEL E+ NEO - España, DIESEL NEXA 100% RENOVABLE - Esp, GO-B BONIF - España, Propano 11 Kg</t>
  </si>
  <si>
    <t>Cafetería/Bar, Box presión, Aspiradores, Waylet pago en surtidor, Waylet pago en caja, Lavados Klin</t>
  </si>
  <si>
    <t>97146</t>
  </si>
  <si>
    <t>0183134014</t>
  </si>
  <si>
    <t>CRED JEREZ LAS VIÑAS</t>
  </si>
  <si>
    <t>AVDA ANDALUCIA Nº 34</t>
  </si>
  <si>
    <t>-6.117222, 36.705</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</si>
  <si>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</si>
  <si>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</si>
  <si>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11297</t>
  </si>
  <si>
    <t>0183052257</t>
  </si>
  <si>
    <t>E.S. MAFE, S.L.</t>
  </si>
  <si>
    <t>VILLALBA DEL ALCOR</t>
  </si>
  <si>
    <t>CR N-431, 595,5</t>
  </si>
  <si>
    <t>-6.485611, 37.396444</t>
  </si>
  <si>
    <t>21860</t>
  </si>
  <si>
    <t>L-D: 05:00-00:00</t>
  </si>
  <si>
    <t>EFITEC 95 N - España, DIESEL E+ NEO - España, GO-B BONIF - España, Propano 11 Kg</t>
  </si>
  <si>
    <t>96728</t>
  </si>
  <si>
    <t>0183112291</t>
  </si>
  <si>
    <t>CRED MASSALAVES</t>
  </si>
  <si>
    <t>CR. A-7 PK 379,5 M.D.</t>
  </si>
  <si>
    <t>-0.527806, 39.153972</t>
  </si>
  <si>
    <t>96041</t>
  </si>
  <si>
    <t>0183134576</t>
  </si>
  <si>
    <t>CRED ALFAZ DEL PI</t>
  </si>
  <si>
    <t>ALFAZ DEL PI</t>
  </si>
  <si>
    <t>CL AVDA. DEL PAIS VALENCIANO, S.N.</t>
  </si>
  <si>
    <t>-0.105389, 38.581361</t>
  </si>
  <si>
    <t>03580</t>
  </si>
  <si>
    <t>Cafetería/Bar, Lavado cepillos, Aspiradores, Waylet pago en surtidor, Waylet pago en caja, Lavados Klin</t>
  </si>
  <si>
    <t>96243</t>
  </si>
  <si>
    <t>0183078369</t>
  </si>
  <si>
    <t>CRED PUERTA DE MADRID</t>
  </si>
  <si>
    <t>CR M-300 (PG.MATILLAS-PARC.A1), P.K</t>
  </si>
  <si>
    <t>-3.393278, 40.476028</t>
  </si>
  <si>
    <t>EFITEC 95 N - España, EFITEC 98 N - España, Butano 12,5 Kg, DIESEL E+ NEO - España, DIESEL NEXA 100% RENOVABLE - Esp, Butano 6 Kg (K6), Propano 11 Kg, Autogás</t>
  </si>
  <si>
    <t>34409</t>
  </si>
  <si>
    <t>0183006402</t>
  </si>
  <si>
    <t>CRED LA BISBAL</t>
  </si>
  <si>
    <t>BISBAL DEL PENEDES, LA</t>
  </si>
  <si>
    <t>CR T-240, 3,5</t>
  </si>
  <si>
    <t>1.496139, 41.279028</t>
  </si>
  <si>
    <t>43717</t>
  </si>
  <si>
    <t>97142</t>
  </si>
  <si>
    <t>0183135045</t>
  </si>
  <si>
    <t>CRED IBERUM</t>
  </si>
  <si>
    <t>ILLESCAS</t>
  </si>
  <si>
    <t>AVDA DE HONTALVA S/N P.I. VEREDILLA</t>
  </si>
  <si>
    <t>-3.834722, 40.101</t>
  </si>
  <si>
    <t>45200</t>
  </si>
  <si>
    <t>L-V: 24H</t>
  </si>
  <si>
    <t>Cafetería/Bar, Lavado camiones, Parking turismos, Parking camiones, Box presión, Duchas, Aspiradores, Waylet pago en surtidor, Waylet pago en caja, Adblue Envasado, Punto recarga eléctrico Repsol, Lavados Klin</t>
  </si>
  <si>
    <t>96365</t>
  </si>
  <si>
    <t>0183105493</t>
  </si>
  <si>
    <t>CRED SALLAVINERA IZQ.</t>
  </si>
  <si>
    <t>SANT PERA SALLAVINERA</t>
  </si>
  <si>
    <t>CR C-25, 111,52</t>
  </si>
  <si>
    <t>1.580083, 41.745833</t>
  </si>
  <si>
    <t>08281</t>
  </si>
  <si>
    <t>EFITEC 95 N - España, EFITEC 98 N - España, DIESEL E+ NEO - España, BLUE+GRANEL - España</t>
  </si>
  <si>
    <t>15381</t>
  </si>
  <si>
    <t>0183050525</t>
  </si>
  <si>
    <t>CRED MIRAMAR</t>
  </si>
  <si>
    <t>CL CAMINO LA VILETA, S.N.</t>
  </si>
  <si>
    <t>2.63075, 39.583</t>
  </si>
  <si>
    <t>07011</t>
  </si>
  <si>
    <t>L-S: 06:00-23:59; D: 06:00-22:00</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</si>
  <si>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</si>
  <si>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</si>
  <si>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96539</t>
  </si>
  <si>
    <t>0183107200</t>
  </si>
  <si>
    <t>CRED BARAJAS INDUSTRIAL</t>
  </si>
  <si>
    <t>AV HISPANIDAD, S.N.</t>
  </si>
  <si>
    <t>-3.575306, 40.464222</t>
  </si>
  <si>
    <t>03499</t>
  </si>
  <si>
    <t>0183012285</t>
  </si>
  <si>
    <t>CRED LOJA PUEBLO</t>
  </si>
  <si>
    <t>LOJA</t>
  </si>
  <si>
    <t>CR N-342, 483</t>
  </si>
  <si>
    <t>-4.137056, 37.164556</t>
  </si>
  <si>
    <t>18300</t>
  </si>
  <si>
    <t>93716</t>
  </si>
  <si>
    <t>0183135482</t>
  </si>
  <si>
    <t>CRED MOMPIA</t>
  </si>
  <si>
    <t>SANTA CRUZ DE BEZANA</t>
  </si>
  <si>
    <t>AVDA. DE LOS CONDES, 6</t>
  </si>
  <si>
    <t>-3.917694, 43.433222</t>
  </si>
  <si>
    <t>39100</t>
  </si>
  <si>
    <t>L: 06:00-23:00</t>
  </si>
  <si>
    <t>EFITEC 95 N - España, EFITEC 98 N - España, DIESEL E+ NEO - España, DIESEL NEXA 100% RENOVABLE - Esp, Propano 11 Kg, BLUE+GRANEL - España, Butano 12 Kg (NEL)</t>
  </si>
  <si>
    <t>96402</t>
  </si>
  <si>
    <t>0183107077</t>
  </si>
  <si>
    <t>CRED PARQUE ASTUR</t>
  </si>
  <si>
    <t>TRASONA-PARQUE ASTUR</t>
  </si>
  <si>
    <t>CL CENTRO COMERCIAL PARQUE ASTUR, S</t>
  </si>
  <si>
    <t>-5.871278, 43.547556</t>
  </si>
  <si>
    <t>33468</t>
  </si>
  <si>
    <t>L-S: 06:30-22:30; D: 08:00-22:30</t>
  </si>
  <si>
    <t>96119</t>
  </si>
  <si>
    <t>0183079409</t>
  </si>
  <si>
    <t>CRED POBRA II</t>
  </si>
  <si>
    <t>PUEBLA DE CARAMIÑAL</t>
  </si>
  <si>
    <t>CL VRG. 1.1  PADRON-RIVEIRA, 34</t>
  </si>
  <si>
    <t>-8.963778, 42.607778</t>
  </si>
  <si>
    <t>15940</t>
  </si>
  <si>
    <t>15210</t>
  </si>
  <si>
    <t>0183059070</t>
  </si>
  <si>
    <t>CRED ALAMILLO</t>
  </si>
  <si>
    <t>ALAMILLO -ISLA PLANA</t>
  </si>
  <si>
    <t>CR N-332, 30,2</t>
  </si>
  <si>
    <t>-1.238083, 37.580278</t>
  </si>
  <si>
    <t>30868</t>
  </si>
  <si>
    <t>Lavado cepillos, Parking turismos, Parking camiones, Box presión, Aspiradores, Waylet pago en surtidor, Waylet pago en caja, Lavados Klin</t>
  </si>
  <si>
    <t>96606</t>
  </si>
  <si>
    <t>0183107960</t>
  </si>
  <si>
    <t>CRED MAIRENA II</t>
  </si>
  <si>
    <t>-5.758444, 37.371361</t>
  </si>
  <si>
    <t>L-V: 07:00-15:00</t>
  </si>
  <si>
    <t>Box presión, Waylet pago en surtidor, Waylet pago en caja, Adblue Envasado, Punto recarga eléctrico Repsol, Recarga eléctrica</t>
  </si>
  <si>
    <t>97085</t>
  </si>
  <si>
    <t>0183131986</t>
  </si>
  <si>
    <t>CRED MERCAJEREZ</t>
  </si>
  <si>
    <t>AV ALCALDE CANTOS ROPERO 9A</t>
  </si>
  <si>
    <t>-6.130444, 36.659917</t>
  </si>
  <si>
    <t>11408</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</si>
  <si>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</si>
  <si>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</si>
  <si>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</si>
  <si>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96787</t>
  </si>
  <si>
    <t>0183117340</t>
  </si>
  <si>
    <t>CRED MERIDA AUTOVIA IZQDO.</t>
  </si>
  <si>
    <t>-6.362222, 38.937861</t>
  </si>
  <si>
    <t>EFITEC 95 N - España, EFITEC 98 N - España, Butano 12,5 Kg, DIESEL E+ NEO - España, DIESEL NEXA 100% RENOVABLE - Esp, Propano 11 Kg, BLUE+GRANEL - España, Autogás, Butano 12 Kg (NEL)</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</si>
  <si>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</si>
  <si>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31031</t>
  </si>
  <si>
    <t>0183006188</t>
  </si>
  <si>
    <t>CRED E.S. GALINDO M. DCHO</t>
  </si>
  <si>
    <t>SESTAO</t>
  </si>
  <si>
    <t>CR BI-3745, 9,2 M DCHO</t>
  </si>
  <si>
    <t>-3.00275, 43.298889</t>
  </si>
  <si>
    <t>48910</t>
  </si>
  <si>
    <t>Lavado cepillos, Box presión, Aspiradores, Lavandería, Waylet pago en surtidor, Waylet pago en caja</t>
  </si>
  <si>
    <t>96335</t>
  </si>
  <si>
    <t>0183101815</t>
  </si>
  <si>
    <t>E.S. GALURESA-PAXONAL</t>
  </si>
  <si>
    <t>RUA RESTOLLAL,52</t>
  </si>
  <si>
    <t>-8.541889, 42.861889</t>
  </si>
  <si>
    <t>15702</t>
  </si>
  <si>
    <t>Lavado cepillos, Aspiradores, Solred cheque lavado, Waylet pago en caja</t>
  </si>
  <si>
    <t>92366</t>
  </si>
  <si>
    <t>0183122753</t>
  </si>
  <si>
    <t>CRED CASTELLON</t>
  </si>
  <si>
    <t>CASTELLON DE LA PLAN</t>
  </si>
  <si>
    <t>AVD. DE VALENCIA S/N, ESQUINA RONDA</t>
  </si>
  <si>
    <t>-0.05375, 39.971528</t>
  </si>
  <si>
    <t>12006</t>
  </si>
  <si>
    <t>L-S: 00:00-02:00 y 06:00-23:59; D: 06:00-22:00</t>
  </si>
  <si>
    <t>34464</t>
  </si>
  <si>
    <t>0063028443</t>
  </si>
  <si>
    <t>CRED MAGRANERS</t>
  </si>
  <si>
    <t>CR N-240, 89</t>
  </si>
  <si>
    <t>0.662972, 41.61075</t>
  </si>
  <si>
    <t>25001</t>
  </si>
  <si>
    <t>EFITEC 95 N - España, DIESEL E+ NEO - España, DIESEL E+10 NEO - España, Butano 12 Kg (NEL)</t>
  </si>
  <si>
    <t>Cafetería/Bar, Waylet pago en surtidor, Waylet pago en caja, Adblue Envasado, Punto recarga eléctrico Repsol, Recarga eléctrica</t>
  </si>
  <si>
    <t>93504</t>
  </si>
  <si>
    <t>0183117282</t>
  </si>
  <si>
    <t>E.S. CAFESTORE -QUINTANILLA</t>
  </si>
  <si>
    <t>QUINTANILLA DE URZ</t>
  </si>
  <si>
    <t>CR  A-52 BENAVENTE -ORENSE , P.K. 1</t>
  </si>
  <si>
    <t>-5.849111, 42.018889</t>
  </si>
  <si>
    <t>49622</t>
  </si>
  <si>
    <t>L: 24H; M-V: 07:00-00:00; S: 00:00-23:00; D: 07:00-23:59</t>
  </si>
  <si>
    <t>96998</t>
  </si>
  <si>
    <t>0183124452</t>
  </si>
  <si>
    <t>E.S. MEGINO POLVORANCA</t>
  </si>
  <si>
    <t>ALCORCON</t>
  </si>
  <si>
    <t>C/POLVORANCA 162 ESQUINA C/ LAGUNA</t>
  </si>
  <si>
    <t>-3.811139, 40.335528</t>
  </si>
  <si>
    <t>28923</t>
  </si>
  <si>
    <t>EFITEC 95 N - España, Efitec 95 Premium, EFITEC 98 N - España, Butano 12,5 Kg, DIESEL E+ NEO - España, DIESEL NEXA 100% RENOVABLE - Esp, GO-B BONIF - España, Butano 6 Kg (K6), Propano 11 Kg</t>
  </si>
  <si>
    <t>96650</t>
  </si>
  <si>
    <t>0183110899</t>
  </si>
  <si>
    <t>CRED VALDALIGA DCHA</t>
  </si>
  <si>
    <t>VALDÁLIGA-E.S.</t>
  </si>
  <si>
    <t>AU  A-8 ,P.K. 256</t>
  </si>
  <si>
    <t>-4.329278, 43.333972</t>
  </si>
  <si>
    <t>39593</t>
  </si>
  <si>
    <t>Restaurante, Cafetería/Bar, Lavado cepillos, Parking turismos, Parking camiones, Zona de descanso, Box presión, Aspiradores, Waylet pago en surtidor, Waylet pago en caja</t>
  </si>
  <si>
    <t>13043</t>
  </si>
  <si>
    <t>0183061225</t>
  </si>
  <si>
    <t>CRED LLUCHMAYOR</t>
  </si>
  <si>
    <t>LLUCMAJOR</t>
  </si>
  <si>
    <t>CR PM-602, 8,2</t>
  </si>
  <si>
    <t>2.789389, 39.493778</t>
  </si>
  <si>
    <t>07620</t>
  </si>
  <si>
    <t>EFITEC 95 N - España, Efitec 95 Premium, EFITEC 98 N - España, DIESEL E+ NEO - España, Diésel e+5, DIESEL NEXA 100% RENOVABLE - Esp, Butano 6 Kg (K6), Autogás</t>
  </si>
  <si>
    <t>97053</t>
  </si>
  <si>
    <t>0183132794</t>
  </si>
  <si>
    <t>CRED ARTEIXO</t>
  </si>
  <si>
    <t>ARTEIXO</t>
  </si>
  <si>
    <t>AVENIDA FISTERRA, 5</t>
  </si>
  <si>
    <t>-8.493083, 43.314778</t>
  </si>
  <si>
    <t>15142</t>
  </si>
  <si>
    <t>96917</t>
  </si>
  <si>
    <t>0183131911</t>
  </si>
  <si>
    <t>CRED MUEL 255</t>
  </si>
  <si>
    <t>MUEL</t>
  </si>
  <si>
    <t>PG PITARCO PAC. 138 A-23 KM 255 MII</t>
  </si>
  <si>
    <t>-1.099722, 41.471111</t>
  </si>
  <si>
    <t>50450</t>
  </si>
  <si>
    <t>Restaurante, Cafetería/Bar, Box presión, Aspiradores, Waylet pago en surtidor, Waylet pago en caja, Adblue Envasado, Lavados Klin</t>
  </si>
  <si>
    <t>34459</t>
  </si>
  <si>
    <t>0183003524</t>
  </si>
  <si>
    <t>E.S. HNOS. IGLESIAS QUINTANA. SLU</t>
  </si>
  <si>
    <t>TORRELAGUNA</t>
  </si>
  <si>
    <t>CR C-100, 45,7</t>
  </si>
  <si>
    <t>-3.537556, 40.822111</t>
  </si>
  <si>
    <t>28180</t>
  </si>
  <si>
    <t>EFITEC 95 N - España, Butano 12,5 Kg, DIESEL E+ NEO - España, DIESEL NEXA 100% RENOVABLE - Esp, Propano 11 Kg, BLUE+GRANEL - España</t>
  </si>
  <si>
    <t>05772</t>
  </si>
  <si>
    <t>0183060078</t>
  </si>
  <si>
    <t>CRED CALLE CASTILLA</t>
  </si>
  <si>
    <t>CL CASTILLA, 91</t>
  </si>
  <si>
    <t>-3.824139, 43.453556</t>
  </si>
  <si>
    <t>39009</t>
  </si>
  <si>
    <t>Lavado cepillos, Solred cheque lavado, Waylet pago en surtidor, Waylet pago en caja, Adblue Envasado, Punto recarga eléctrico Repsol, Lavados Klin</t>
  </si>
  <si>
    <t>11361</t>
  </si>
  <si>
    <t>0183016716</t>
  </si>
  <si>
    <t>CRED GROS</t>
  </si>
  <si>
    <t>SAN SEBASTIAN</t>
  </si>
  <si>
    <t>CL AVENIDA DE LA ZURRIOLA, 32</t>
  </si>
  <si>
    <t>-1.975111, 43.325194</t>
  </si>
  <si>
    <t>20002</t>
  </si>
  <si>
    <t>13007</t>
  </si>
  <si>
    <t>0183075282</t>
  </si>
  <si>
    <t>CRED BLANCA PALOMA</t>
  </si>
  <si>
    <t>MIJAS-COSTA</t>
  </si>
  <si>
    <t>CR MA-426, 1,0</t>
  </si>
  <si>
    <t>-4.645639, 36.538278</t>
  </si>
  <si>
    <t>29649</t>
  </si>
  <si>
    <t>11907</t>
  </si>
  <si>
    <t>0183055466</t>
  </si>
  <si>
    <t>E.S. GALURESA BRINS</t>
  </si>
  <si>
    <t>BRINS</t>
  </si>
  <si>
    <t>CR CR C-545, 6,7</t>
  </si>
  <si>
    <t>-8.575333, 42.924333</t>
  </si>
  <si>
    <t>15897</t>
  </si>
  <si>
    <t>Cafetería/Bar, Lavado cepillos, Parking turismos, Box presión, Aspiradores, Solred cheque lavado, Waylet pago en caja</t>
  </si>
  <si>
    <t>31751</t>
  </si>
  <si>
    <t>0183079136</t>
  </si>
  <si>
    <t>CRED TUNEL DEL CADÍ</t>
  </si>
  <si>
    <t>1.833806, 42.346167</t>
  </si>
  <si>
    <t>Restaurante, Cafetería/Bar, Parking turismos, Parking camiones, Zona de descanso, Waylet pago en caja, Punto recarga eléctrico Repsol</t>
  </si>
  <si>
    <t>97067</t>
  </si>
  <si>
    <t>0183128545</t>
  </si>
  <si>
    <t>CRED MOJO GALLARDO</t>
  </si>
  <si>
    <t>A-381, pk 10, MD</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</si>
  <si>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</si>
  <si>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</si>
  <si>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</si>
  <si>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</si>
  <si>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96362</t>
  </si>
  <si>
    <t>0183103720</t>
  </si>
  <si>
    <t>CRED SANT ESTEVE</t>
  </si>
  <si>
    <t>SANT ESTEVE SESROVIRES</t>
  </si>
  <si>
    <t>CR B-224, 23,5</t>
  </si>
  <si>
    <t>1.883722, 41.478917</t>
  </si>
  <si>
    <t>08635</t>
  </si>
  <si>
    <t>EFITEC 95 N - España, EFITEC 98 N - España, DIESEL E+ NEO - España, DIESEL NEXA 100% RENOVABLE - Esp, BLUE+GRANEL - España, Butano 12 Kg (NEL)</t>
  </si>
  <si>
    <t>Cafetería/Bar, Lavado cepillos, Lavado camiones, Parking turismos, Parking camiones, Zona de descanso, Box presión, Aspiradores, Waylet pago en surtidor, Waylet pago en caja, Adblue Envasado, Lavados Klin</t>
  </si>
  <si>
    <t>13024</t>
  </si>
  <si>
    <t>0183063775</t>
  </si>
  <si>
    <t>CRED FIGUERAS</t>
  </si>
  <si>
    <t>FIGUERAS</t>
  </si>
  <si>
    <t>CR C-260, 27,5</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</si>
  <si>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</si>
  <si>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</si>
  <si>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</si>
  <si>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</si>
  <si>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10209</t>
  </si>
  <si>
    <t>0183009448</t>
  </si>
  <si>
    <t>CRED PEDREGUER</t>
  </si>
  <si>
    <t>PEDREGUER</t>
  </si>
  <si>
    <t>CL AVENIDA JAON CARLES I, 27</t>
  </si>
  <si>
    <t>0.038889, 38.800111</t>
  </si>
  <si>
    <t>03750</t>
  </si>
  <si>
    <t>11639</t>
  </si>
  <si>
    <t>0183056142</t>
  </si>
  <si>
    <t>E.S. GALURESA BERDEOGAS</t>
  </si>
  <si>
    <t>BERDEOGAS</t>
  </si>
  <si>
    <t>CR C-552, 81,1</t>
  </si>
  <si>
    <t>-9.112972, 43.032611</t>
  </si>
  <si>
    <t>15151</t>
  </si>
  <si>
    <t>31715</t>
  </si>
  <si>
    <t>0183130079</t>
  </si>
  <si>
    <t>CRED VALLES SUR</t>
  </si>
  <si>
    <t>SANTA PERPETUA DE MO</t>
  </si>
  <si>
    <t>AU AP-7  P.K. 144,00 M IZQ</t>
  </si>
  <si>
    <t>2.166611, 41.526417</t>
  </si>
  <si>
    <t>Parking camiones, Zona de descanso, Waylet pago en surtidor, Waylet pago en caja</t>
  </si>
  <si>
    <t>31607</t>
  </si>
  <si>
    <t>0183007186</t>
  </si>
  <si>
    <t>ES SUMINISTROS GASOLEOS TALAVERA SL</t>
  </si>
  <si>
    <t>TALAVERA DE LA REINA</t>
  </si>
  <si>
    <t>CR N-502, 118,6</t>
  </si>
  <si>
    <t>-4.831167, 39.947583</t>
  </si>
  <si>
    <t>45600</t>
  </si>
  <si>
    <t>Lavado cepillos, Parking turismos, Zona de descanso, Box presión, Aspiradores, Solred cheque lavado, Waylet pago en caja</t>
  </si>
  <si>
    <t>13195</t>
  </si>
  <si>
    <t>0183101120</t>
  </si>
  <si>
    <t>CRED MONASTRELL</t>
  </si>
  <si>
    <t>YECLA</t>
  </si>
  <si>
    <t>CR MU-404, 0,7</t>
  </si>
  <si>
    <t>-1.130944, 38.620194</t>
  </si>
  <si>
    <t>30510</t>
  </si>
  <si>
    <t>Cafetería/Bar, Parking turismos, Box presión, Aspiradores, Solred cheque lavado, Waylet pago en surtidor, Waylet pago en caja, Punto recarga eléctrico Repsol, Lavados Klin</t>
  </si>
  <si>
    <t>94027</t>
  </si>
  <si>
    <t>0183123868</t>
  </si>
  <si>
    <t>E.S. J.V. TORRES SANCHIS E HIJOS S.</t>
  </si>
  <si>
    <t>ALBERIC</t>
  </si>
  <si>
    <t>C-3324 (CV-550) PK 1,4 SALIDA 38</t>
  </si>
  <si>
    <t>-0.508139, 39.129667</t>
  </si>
  <si>
    <t>46260</t>
  </si>
  <si>
    <t>Cafetería/Bar, Taller mecánico, Taller eléctrico, Lavado cepillos, Parking turismos, Parking camiones, Zona de descanso, Box presión, Duchas, Aspiradores, Solred cheque lavado, Waylet pago en caja</t>
  </si>
  <si>
    <t>97091</t>
  </si>
  <si>
    <t>0183130780</t>
  </si>
  <si>
    <t>E.S. AREA DE SERVICIO LES CORTS SL</t>
  </si>
  <si>
    <t>AVDA DE LES CORTS VALENCIANES 57</t>
  </si>
  <si>
    <t>-0.403278, 39.494611</t>
  </si>
  <si>
    <t>Cafetería/Bar, Parking turismos, Box presión, Aspiradores, Waylet pago en caja, Punto recarga eléctrico Repsol</t>
  </si>
  <si>
    <t>12964</t>
  </si>
  <si>
    <t>0183059500</t>
  </si>
  <si>
    <t>CRED CIUDADELLA (MENORCA)</t>
  </si>
  <si>
    <t>CIUTADELLA</t>
  </si>
  <si>
    <t>CL PINTOR TORRENT, 10</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</si>
  <si>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</si>
  <si>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</si>
  <si>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</si>
  <si>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</si>
  <si>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31492</t>
  </si>
  <si>
    <t>0183015973</t>
  </si>
  <si>
    <t>E.S. ORTIVAZ, SL</t>
  </si>
  <si>
    <t>CR N-502, P.K. 120,2</t>
  </si>
  <si>
    <t>-4.84325, 39.930972</t>
  </si>
  <si>
    <t>EFITEC 95 N - España, EFITEC 98 N - España, Butano 12,5 Kg, DIESEL E+ NEO - España, DIESEL NEXA 100% RENOVABLE - Esp, Butano 12 Kg (NEL)</t>
  </si>
  <si>
    <t>Parking turismos, Parking camiones, Zona de descanso, Waylet pago en caja</t>
  </si>
  <si>
    <t>92786</t>
  </si>
  <si>
    <t>0183132331</t>
  </si>
  <si>
    <t>E.S. AREA 365 URTINSA</t>
  </si>
  <si>
    <t>CL EBANISTAS C/V AVDA. LEGANES, 2</t>
  </si>
  <si>
    <t>-3.805333, 40.342167</t>
  </si>
  <si>
    <t>EFITEC 95 N - España, EFITEC 98 N - España, DIESEL E+ NEO - España, DIESEL NEXA 100% RENOVABLE - Esp, Propano 11 Kg, Autogás</t>
  </si>
  <si>
    <t>96192</t>
  </si>
  <si>
    <t>0183080217</t>
  </si>
  <si>
    <t>CRED CIM VALLÉS</t>
  </si>
  <si>
    <t>PG CIM VALLES, PARCELA 13, S.N.</t>
  </si>
  <si>
    <t>2.187111, 41.539583</t>
  </si>
  <si>
    <t>Cafetería/Bar, Lavado camiones, Parking turismos, Parking camiones, Waylet pago en surtidor, Waylet pago en caja, Punto recarga eléctrico Repsol</t>
  </si>
  <si>
    <t>31544</t>
  </si>
  <si>
    <t>0183008036</t>
  </si>
  <si>
    <t>E.S. CONCORDY,SA</t>
  </si>
  <si>
    <t>ARAVACA-EL PLANTIO</t>
  </si>
  <si>
    <t>CR A-6, 12</t>
  </si>
  <si>
    <t>-3.804556, 40.4655</t>
  </si>
  <si>
    <t>28023</t>
  </si>
  <si>
    <t>Restaurante, Cafetería/Bar, Taller mecánico, Taller neumáticos, Taller eléctrico, Lavado cepillos, Parking turismos, Box presión, Aspiradores, Waylet pago en surtidor, Waylet pago en caja, Adblue Envasado, Punto recarga eléctrico Repsol</t>
  </si>
  <si>
    <t>12994</t>
  </si>
  <si>
    <t>0183060680</t>
  </si>
  <si>
    <t>CRED MERCAVALENCIA</t>
  </si>
  <si>
    <t>CTRA. FUENTE EN CORTS, 231 (MERC</t>
  </si>
  <si>
    <t>-0.350611, 39.435944</t>
  </si>
  <si>
    <t>46013</t>
  </si>
  <si>
    <t>L-V: 03:00-17:00</t>
  </si>
  <si>
    <t>EFITEC 95 N - España, EFITEC 98 N - España, DIESEL E+ NEO - España</t>
  </si>
  <si>
    <t>31036</t>
  </si>
  <si>
    <t>0183056811</t>
  </si>
  <si>
    <t>CRED LOBÓN</t>
  </si>
  <si>
    <t>LOBON</t>
  </si>
  <si>
    <t>CR A-5, 369,8</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</si>
  <si>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</si>
  <si>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</si>
  <si>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</si>
  <si>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</si>
  <si>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05637</t>
  </si>
  <si>
    <t>0183012905</t>
  </si>
  <si>
    <t>CRED COLUNGA</t>
  </si>
  <si>
    <t>LA RASA (COLUNGA)</t>
  </si>
  <si>
    <t>AV ASTURIAS, 52</t>
  </si>
  <si>
    <t>-5.260944, 43.484417</t>
  </si>
  <si>
    <t>33328</t>
  </si>
  <si>
    <t>96736</t>
  </si>
  <si>
    <t>0183113752</t>
  </si>
  <si>
    <t>CRED VALDEMINGOMEZ M.D.</t>
  </si>
  <si>
    <t>CR  M-50 ,P.K. 34 M.D.</t>
  </si>
  <si>
    <t>-3.589389, 40.345806</t>
  </si>
  <si>
    <t>28051</t>
  </si>
  <si>
    <t>Cafetería/Bar, Parking turismos, Parking camiones, Zona de descanso, Box presión, Aspiradores, Waylet pago en surtidor, Waylet pago en caja, Punto recarga eléctrico Repsol, Recarga eléctrica</t>
  </si>
  <si>
    <t>96637</t>
  </si>
  <si>
    <t>0183110592</t>
  </si>
  <si>
    <t>CRED CATRAL</t>
  </si>
  <si>
    <t>AP-7, P.K. 728</t>
  </si>
  <si>
    <t>-0.812333, 38.196472</t>
  </si>
  <si>
    <t>33423</t>
  </si>
  <si>
    <t>0183050764</t>
  </si>
  <si>
    <t>CRED SOBRADIEL M.D.</t>
  </si>
  <si>
    <t>SOBRADIEL</t>
  </si>
  <si>
    <t>AU A-68, 283</t>
  </si>
  <si>
    <t>-1.029833, 41.731639</t>
  </si>
  <si>
    <t>50629</t>
  </si>
  <si>
    <t>Rest. Autoservicio, Parking turismos, Parking camiones, Zona de descanso, Waylet pago en surtidor, Waylet pago en caja, Punto recarga eléctrico Repsol</t>
  </si>
  <si>
    <t>96821</t>
  </si>
  <si>
    <t>0183116508</t>
  </si>
  <si>
    <t>CRED JARRIO</t>
  </si>
  <si>
    <t>JARRIO</t>
  </si>
  <si>
    <t>PG RIO PINTO DE JARRIO , PARC.102</t>
  </si>
  <si>
    <t>-6.764556, 43.541778</t>
  </si>
  <si>
    <t>33719</t>
  </si>
  <si>
    <t>EFITEC 95 N - España, EFITEC 98 N - España, DIESEL E+ NEO - España, DIESEL E+10 NEO - España, Butano 6 Kg (K6), Propano 11 Kg, BLUE+GRANEL - España, Autogás, Butano 12 Kg (NEL)</t>
  </si>
  <si>
    <t>96252</t>
  </si>
  <si>
    <t>0183100429</t>
  </si>
  <si>
    <t>CRED TORREMOLINOS</t>
  </si>
  <si>
    <t>TORREMOLINOS</t>
  </si>
  <si>
    <t>AV BENALMADENA, 1</t>
  </si>
  <si>
    <t>-4.514389, 36.608639</t>
  </si>
  <si>
    <t>29620</t>
  </si>
  <si>
    <t>11789</t>
  </si>
  <si>
    <t>0183130053</t>
  </si>
  <si>
    <t>ES SANCHEZ ORTIZ</t>
  </si>
  <si>
    <t>MOLARES LOS</t>
  </si>
  <si>
    <t>CR A-376 PK 33,200</t>
  </si>
  <si>
    <t>-5.738889, 37.149806</t>
  </si>
  <si>
    <t>41750</t>
  </si>
  <si>
    <t>Parking turismos, Parking camiones, Waylet pago en caja</t>
  </si>
  <si>
    <t>96811</t>
  </si>
  <si>
    <t>0183123686</t>
  </si>
  <si>
    <t>CRED LA CHANA</t>
  </si>
  <si>
    <t>AVENIDA DE LAS ALPUJARRAS S/N</t>
  </si>
  <si>
    <t>-3.624389, 37.183528</t>
  </si>
  <si>
    <t>18012</t>
  </si>
  <si>
    <t>EFITEC 95 N - España, EFITEC 98 N - España, DIESEL E+ NEO - España, Diésel e+5, DIESEL E+10 NEO - España, BLUE+GRANEL - España, Autogás, Butano 12 Kg (NEL)</t>
  </si>
  <si>
    <t>0183000330</t>
  </si>
  <si>
    <t>CRED LOS OCHOS</t>
  </si>
  <si>
    <t>SIERRAPANDO</t>
  </si>
  <si>
    <t>CR N-634, 232,5</t>
  </si>
  <si>
    <t>-4.029417, 43.341</t>
  </si>
  <si>
    <t>39317</t>
  </si>
  <si>
    <t>97087</t>
  </si>
  <si>
    <t>0183130046</t>
  </si>
  <si>
    <t>CRED AVDA ANDALUCIA IZQ</t>
  </si>
  <si>
    <t>CR A-4  P.K.  6,70 IZQU</t>
  </si>
  <si>
    <t>-3.693833, 40.367</t>
  </si>
  <si>
    <t>EFITEC 95 N - España, Efitec 95 Premium, DIESEL E+ NEO - España, Diésel e+5, DIESEL NEXA 100% RENOVABLE - Esp, BLUE+GRANEL - España</t>
  </si>
  <si>
    <t>13034</t>
  </si>
  <si>
    <t>0183122266</t>
  </si>
  <si>
    <t>E.S. IBERVILNA</t>
  </si>
  <si>
    <t>ARGANDA</t>
  </si>
  <si>
    <t>CRTA M-832 KM 3</t>
  </si>
  <si>
    <t>-3.508111, 40.290944</t>
  </si>
  <si>
    <t>28500</t>
  </si>
  <si>
    <t>Parking turismos, Waylet pago en caja</t>
  </si>
  <si>
    <t>31742</t>
  </si>
  <si>
    <t>0183078450</t>
  </si>
  <si>
    <t>CRED RÍOSECO II</t>
  </si>
  <si>
    <t>RIOSECO DE TAPIA</t>
  </si>
  <si>
    <t>AT AP-66, 126 M.D.</t>
  </si>
  <si>
    <t>-5.770944, 42.691639</t>
  </si>
  <si>
    <t>24275</t>
  </si>
  <si>
    <t>Parking turismos, Parking camiones, Waylet pago en surtidor, Waylet pago en caja, Punto recarga eléctrico Repsol</t>
  </si>
  <si>
    <t>33630</t>
  </si>
  <si>
    <t>0183009984</t>
  </si>
  <si>
    <t>CRED TERUEL II (PL.)</t>
  </si>
  <si>
    <t>CL AVDA. DE SAGUNTO-FUENFRESCA, S.N</t>
  </si>
  <si>
    <t>-1.087472, 40.332611</t>
  </si>
  <si>
    <t>44002</t>
  </si>
  <si>
    <t>34162</t>
  </si>
  <si>
    <t>0183003433</t>
  </si>
  <si>
    <t>CRED BARAJAS II</t>
  </si>
  <si>
    <t>CR N-2, 12,6</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</si>
  <si>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</si>
  <si>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</si>
  <si>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</si>
  <si>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33249</t>
  </si>
  <si>
    <t>0183052224</t>
  </si>
  <si>
    <t>CRED VILADECAVALLS</t>
  </si>
  <si>
    <t>VILADECAVALLS</t>
  </si>
  <si>
    <t>CR BP-1213, 1,8</t>
  </si>
  <si>
    <t>1.967583, 41.562278</t>
  </si>
  <si>
    <t>08232</t>
  </si>
  <si>
    <t>Parking turismos, Parking camiones, Zona de descanso, Aspiradores, Waylet pago en surtidor, Waylet pago en caja</t>
  </si>
  <si>
    <t>96760</t>
  </si>
  <si>
    <t>0183116698</t>
  </si>
  <si>
    <t>CRED LA BICICLETA</t>
  </si>
  <si>
    <t>AVDA. FRANCIA, S.N.</t>
  </si>
  <si>
    <t>-3.142833, 40.643333</t>
  </si>
  <si>
    <t>19005</t>
  </si>
  <si>
    <t>96158</t>
  </si>
  <si>
    <t>0183101757</t>
  </si>
  <si>
    <t>CRED RUBÍ</t>
  </si>
  <si>
    <t>RUBI</t>
  </si>
  <si>
    <t>CR E-9, 14,9</t>
  </si>
  <si>
    <t>2.049278, 41.498222</t>
  </si>
  <si>
    <t>08191</t>
  </si>
  <si>
    <t>Rest. Autoservicio, Restaurante, Cafetería/Bar, Parking turismos, Parking camiones, Zona de descanso, Waylet pago en surtidor, Waylet pago en caja</t>
  </si>
  <si>
    <t>33718</t>
  </si>
  <si>
    <t>0183019025</t>
  </si>
  <si>
    <t>CRED PUCHAR</t>
  </si>
  <si>
    <t>COLINDRES</t>
  </si>
  <si>
    <t>CR N-634, 173,3</t>
  </si>
  <si>
    <t>-3.458722, 43.394806</t>
  </si>
  <si>
    <t>39750</t>
  </si>
  <si>
    <t>Parking turismos, Zona de descanso, Box presión, Waylet pago en surtidor, Waylet pago en caja, Punto recarga eléctrico Repsol</t>
  </si>
  <si>
    <t>12599</t>
  </si>
  <si>
    <t>0183061084</t>
  </si>
  <si>
    <t>E.S. ENERGETICA VALLE DEL TIETAR SL</t>
  </si>
  <si>
    <t>PEDRO BERNARDO</t>
  </si>
  <si>
    <t>CR C-501, 106,3</t>
  </si>
  <si>
    <t>-4.886667, 40.227139</t>
  </si>
  <si>
    <t>05470</t>
  </si>
  <si>
    <t>Cafetería/Bar, Taller mecánico, Lavado camiones, Parking turismos, Box presión, Aspiradores, Waylet pago en caja</t>
  </si>
  <si>
    <t>97088</t>
  </si>
  <si>
    <t>0183130087</t>
  </si>
  <si>
    <t>CRED EL PINAR DE LOS FRANCESES</t>
  </si>
  <si>
    <t>CHICLANA DE LA FRONTERA</t>
  </si>
  <si>
    <t>AVDA DEL MUEBLE, 1</t>
  </si>
  <si>
    <t>-6.143694, 36.441972</t>
  </si>
  <si>
    <t>11130</t>
  </si>
  <si>
    <t>03217</t>
  </si>
  <si>
    <t>0183006352</t>
  </si>
  <si>
    <t>CRED ALMAZÁN</t>
  </si>
  <si>
    <t>SORIA</t>
  </si>
  <si>
    <t>ALMAZAN</t>
  </si>
  <si>
    <t>CR N-111, 190</t>
  </si>
  <si>
    <t>-2.528833, 41.480917</t>
  </si>
  <si>
    <t>42200</t>
  </si>
  <si>
    <t>Restaurante, Cafetería/Bar, Lavado cepillos, Parking turismos, Parking camiones, Aspiradores, Waylet pago en surtidor, Waylet pago en caja, Punto recarga eléctrico Repsol, Lavados Klin</t>
  </si>
  <si>
    <t>96113</t>
  </si>
  <si>
    <t>0183079250</t>
  </si>
  <si>
    <t>CRED LA GELTRU</t>
  </si>
  <si>
    <t>VILANOVA I LA GELTRU</t>
  </si>
  <si>
    <t>CL RONDA EUROPA, 37</t>
  </si>
  <si>
    <t>1.738556, 41.220889</t>
  </si>
  <si>
    <t>08800</t>
  </si>
  <si>
    <t>12679</t>
  </si>
  <si>
    <t>0183062512</t>
  </si>
  <si>
    <t>CRED BUÑOL PUEBLO</t>
  </si>
  <si>
    <t>BUÑOL</t>
  </si>
  <si>
    <t>CR VP-3031, 1</t>
  </si>
  <si>
    <t>-0.777972, 39.430472</t>
  </si>
  <si>
    <t>46360</t>
  </si>
  <si>
    <t>Parking turismos, Aspiradores, Waylet pago en surtidor, Waylet pago en caja, Adblue Envasado</t>
  </si>
  <si>
    <t>97094</t>
  </si>
  <si>
    <t>0183130871</t>
  </si>
  <si>
    <t>E.S. COMBUSTIBLES PLATA</t>
  </si>
  <si>
    <t>GUILLENA</t>
  </si>
  <si>
    <t>AUTOVIA A-66 (VIA DE LA PLATA) M</t>
  </si>
  <si>
    <t>-6.107944, 37.571778</t>
  </si>
  <si>
    <t>41210</t>
  </si>
  <si>
    <t>Restaurante, Cafetería/Bar, Lavado cepillos, Parking turismos, Parking camiones, Zona de descanso, Box presión, Duchas, Aspiradores, Lavandería, Waylet pago en caja, Punto recarga eléctrico Repsol</t>
  </si>
  <si>
    <t>96015</t>
  </si>
  <si>
    <t>0183075498</t>
  </si>
  <si>
    <t>TALLERS PERE RUIZ</t>
  </si>
  <si>
    <t>JUNEDA</t>
  </si>
  <si>
    <t>CL PRAT DE LA RIBA, 83</t>
  </si>
  <si>
    <t>0.823722, 41.548806</t>
  </si>
  <si>
    <t>25430</t>
  </si>
  <si>
    <t>L-S: 00:07-21:00; D: 00:08-14:00</t>
  </si>
  <si>
    <t>92801</t>
  </si>
  <si>
    <t>0183115260</t>
  </si>
  <si>
    <t>ES REPSOL- CEAO 1</t>
  </si>
  <si>
    <t>LUGO-POL.CEAO</t>
  </si>
  <si>
    <t>CL AVDA BENIGNO RIVERA,50 -POL.IND.</t>
  </si>
  <si>
    <t>-7.573278, 43.039389</t>
  </si>
  <si>
    <t>27003</t>
  </si>
  <si>
    <t>Lavado cepillos, Parking turismos, Box presión, Aspiradores, Solred cheque lavado, Waylet pago en caja, Punto recarga eléctrico Repsol</t>
  </si>
  <si>
    <t>96751</t>
  </si>
  <si>
    <t>0183118041</t>
  </si>
  <si>
    <t>CRED CABECICOS BLANCOS</t>
  </si>
  <si>
    <t>LIBRILLA</t>
  </si>
  <si>
    <t>CR  A-7 P.K. 588</t>
  </si>
  <si>
    <t>-1.313417, 37.912167</t>
  </si>
  <si>
    <t>30892</t>
  </si>
  <si>
    <t>Parking turismos, Parking camiones, Zona de descanso, Box presión, Aspiradores, Waylet pago en surtidor, Waylet pago en caja, Adblue Envasado, Lavados Klin</t>
  </si>
  <si>
    <t>96733</t>
  </si>
  <si>
    <t>0183121789</t>
  </si>
  <si>
    <t>CRED MONTECANAL</t>
  </si>
  <si>
    <t>AVDA DE LA ILUSTRACION, 1</t>
  </si>
  <si>
    <t>-0.922778, 41.626667</t>
  </si>
  <si>
    <t>50012</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</si>
  <si>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</si>
  <si>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</si>
  <si>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92554</t>
  </si>
  <si>
    <t>0183130624</t>
  </si>
  <si>
    <t>CRED PARLA NORTE</t>
  </si>
  <si>
    <t>CR M-408 0,15</t>
  </si>
  <si>
    <t>-3.765111, 40.247083</t>
  </si>
  <si>
    <t>33201</t>
  </si>
  <si>
    <t>0017119561</t>
  </si>
  <si>
    <t>CRED GUARROMÁN</t>
  </si>
  <si>
    <t>GUARROMAN</t>
  </si>
  <si>
    <t>CR N-4, 280,5</t>
  </si>
  <si>
    <t>-3.671972, 38.193306</t>
  </si>
  <si>
    <t>23210</t>
  </si>
  <si>
    <t>EFITEC 95 N - España, EFITEC 98 N - España, Butano 12,5 Kg, DIESEL E+ NEO - España, DIESEL NEXA 100% RENOVABLE - Esp, GO-B BONIF - España, BLUE+GRANEL - España, GNL, GNC</t>
  </si>
  <si>
    <t>96641</t>
  </si>
  <si>
    <t>0183109933</t>
  </si>
  <si>
    <t>CRED RANTE</t>
  </si>
  <si>
    <t>CL CR COMARCAL INFESTA-RANTE ENLACE</t>
  </si>
  <si>
    <t>-7.864556, 42.250722</t>
  </si>
  <si>
    <t>Restaurante, Cafetería/Bar, Lavado cepillos, Parking turismos, Parking camiones, Zona de descanso, Box presión, Duchas, Aspiradores, Waylet pago en surtidor, Waylet pago en caja</t>
  </si>
  <si>
    <t>96633</t>
  </si>
  <si>
    <t>0183110188</t>
  </si>
  <si>
    <t>CRED CTRA FORTUNA</t>
  </si>
  <si>
    <t>CL ALAVA -PARCELA 11.4.1.I-10, S.N.</t>
  </si>
  <si>
    <t>-3.773917, 40.35725</t>
  </si>
  <si>
    <t>Lavado cepillos, Lavado camiones, Parking turismos, Box presión, Aspiradores, Solred cheque lavado, Waylet pago en surtidor, Waylet pago en caja, Adblue Envasado, Punto recarga eléctrico Repsol, Lavados Klin</t>
  </si>
  <si>
    <t>04273</t>
  </si>
  <si>
    <t>0183013945</t>
  </si>
  <si>
    <t>CRED ALGAIDA</t>
  </si>
  <si>
    <t>ALGAIDA</t>
  </si>
  <si>
    <t>CR C-715, 21</t>
  </si>
  <si>
    <t>2.895833, 39.567306</t>
  </si>
  <si>
    <t>07210</t>
  </si>
  <si>
    <t>EFITEC 95 N - España, EFITEC 98 N - España, DIESEL E+ NEO - España, Diésel e+5, DIESEL NEXA 100% RENOVABLE - Esp, GO-B BONIF - España, Butano 6 Kg (K6), Butano 12 Kg (NEL)</t>
  </si>
  <si>
    <t>33136</t>
  </si>
  <si>
    <t>0183119650</t>
  </si>
  <si>
    <t>ES RIO MIÑO</t>
  </si>
  <si>
    <t>TOLDA, LA</t>
  </si>
  <si>
    <t>CR N-6, 498</t>
  </si>
  <si>
    <t>-7.535639, 42.988389</t>
  </si>
  <si>
    <t>27169</t>
  </si>
  <si>
    <t>Parking turismos, Parking camiones, Box presión, Aspiradores, Waylet pago en caja, Punto recarga eléctrico Repsol</t>
  </si>
  <si>
    <t>33920</t>
  </si>
  <si>
    <t>0183016070</t>
  </si>
  <si>
    <t>CRED LLAGOSTERA PUEBLO</t>
  </si>
  <si>
    <t>LLAGOSTERA</t>
  </si>
  <si>
    <t>CR C-250, 19</t>
  </si>
  <si>
    <t>2.896528, 41.828833</t>
  </si>
  <si>
    <t>17240</t>
  </si>
  <si>
    <t>96647</t>
  </si>
  <si>
    <t>0183110816</t>
  </si>
  <si>
    <t>CRED EIRIS</t>
  </si>
  <si>
    <t>AV AVENIDA DE MONELOS,S.N.</t>
  </si>
  <si>
    <t>-8.397806, 43.343</t>
  </si>
  <si>
    <t>15009</t>
  </si>
  <si>
    <t>10221</t>
  </si>
  <si>
    <t>0183005701</t>
  </si>
  <si>
    <t>E.S. MENASALBAS</t>
  </si>
  <si>
    <t>MENASALBAS</t>
  </si>
  <si>
    <t>CR TO-7811  P.K., 5,5 M.I.</t>
  </si>
  <si>
    <t>-4.276528, 39.652694</t>
  </si>
  <si>
    <t>45128</t>
  </si>
  <si>
    <t>Taller mecánico, Taller neumáticos, Box presión, Waylet pago en caja</t>
  </si>
  <si>
    <t>33327</t>
  </si>
  <si>
    <t>0183050236</t>
  </si>
  <si>
    <t>CRED VIELHA</t>
  </si>
  <si>
    <t>CR N-230, 163,7</t>
  </si>
  <si>
    <t>0.793222, 42.701917</t>
  </si>
  <si>
    <t>34564</t>
  </si>
  <si>
    <t>0183015700</t>
  </si>
  <si>
    <t>CRED BADALONA II</t>
  </si>
  <si>
    <t>CL AVENIDA PRESIDENT COMPANYS, 280</t>
  </si>
  <si>
    <t>2.249361, 41.459833</t>
  </si>
  <si>
    <t>08915</t>
  </si>
  <si>
    <t>Cafetería/Bar, Lavado cepillos, Aspiradores, Solred cheque lavado, Lavandería, Waylet pago en surtidor, Waylet pago en caja, Adblue Envasado, Punto recarga eléctrico Repsol, Lavados Klin</t>
  </si>
  <si>
    <t>12988</t>
  </si>
  <si>
    <t>0183061787</t>
  </si>
  <si>
    <t>CRED BERMEO</t>
  </si>
  <si>
    <t>BERMEO</t>
  </si>
  <si>
    <t>CR BI-631, 32</t>
  </si>
  <si>
    <t>-2.736361, 43.419889</t>
  </si>
  <si>
    <t>48370</t>
  </si>
  <si>
    <t>96105</t>
  </si>
  <si>
    <t>0183080001</t>
  </si>
  <si>
    <t>CRED PEDROSA</t>
  </si>
  <si>
    <t>HOSPITALET DE LLOBRE</t>
  </si>
  <si>
    <t>CALLE SALVADOR ESPRIU 59 ESQUINA AV</t>
  </si>
  <si>
    <t>2.126556, 41.355722</t>
  </si>
  <si>
    <t>08908</t>
  </si>
  <si>
    <t>33424</t>
  </si>
  <si>
    <t>0183050772</t>
  </si>
  <si>
    <t>CRED SOBRADIEL M.I.</t>
  </si>
  <si>
    <t>-1.031417, 41.730583</t>
  </si>
  <si>
    <t>96692</t>
  </si>
  <si>
    <t>0183112705</t>
  </si>
  <si>
    <t>CRED LA NEGRILLA</t>
  </si>
  <si>
    <t>ALCALA DE GUADAIRA</t>
  </si>
  <si>
    <t>CR  SE-021 , P.K. 0,8 M.D.</t>
  </si>
  <si>
    <t>-5.93475, 37.368639</t>
  </si>
  <si>
    <t>41500</t>
  </si>
  <si>
    <t>Cafetería/Bar, Lavado cepillos, Parking turismos, Parking camiones, Box presión, Aspiradores, Solred cheque lavado, Waylet pago en surtidor, Waylet pago en caja, Punto recarga eléctrico Repsol, Lavados Klin</t>
  </si>
  <si>
    <t>12710</t>
  </si>
  <si>
    <t>0183075217</t>
  </si>
  <si>
    <t>CRED ESPARRAGUERA</t>
  </si>
  <si>
    <t>ESPARRAGUERA</t>
  </si>
  <si>
    <t>CR A-2, 581,5</t>
  </si>
  <si>
    <t>1.881222, 41.528278</t>
  </si>
  <si>
    <t>08292</t>
  </si>
  <si>
    <t>Lavado cepillos, Parking turismos, Parking camiones, Zona de descanso, Aspiradores, Solred cheque lavado, Waylet pago en surtidor, Waylet pago en caja, Punto recarga eléctrico Repsol</t>
  </si>
  <si>
    <t>96286</t>
  </si>
  <si>
    <t>0183106665</t>
  </si>
  <si>
    <t>CRED RUBI II</t>
  </si>
  <si>
    <t>AU E-9, 14,7</t>
  </si>
  <si>
    <t>2.048389, 41.497083</t>
  </si>
  <si>
    <t>Rest. Autoservicio, Cafetería/Bar, Parking turismos, Parking camiones, Zona de descanso, Waylet pago en surtidor, Waylet pago en caja</t>
  </si>
  <si>
    <t>96088</t>
  </si>
  <si>
    <t>0183076058</t>
  </si>
  <si>
    <t>HOTEL OVERA S.L.</t>
  </si>
  <si>
    <t>OVERA</t>
  </si>
  <si>
    <t>CR N-340, 547</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</si>
  <si>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</si>
  <si>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</si>
  <si>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</si>
  <si>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</si>
  <si>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96546</t>
  </si>
  <si>
    <t>0183107275</t>
  </si>
  <si>
    <t>CRED SANTA CRUZ DE MUDELA II</t>
  </si>
  <si>
    <t>-3.471583, 38.635528</t>
  </si>
  <si>
    <t>EFITEC 95 N - España, DIESEL E+ NEO - España, DIESEL NEXA 100% RENOVABLE - Esp, BLUE+GRANEL - España</t>
  </si>
  <si>
    <t>Parking turismos, Zona de descanso, Waylet pago en surtidor, Waylet pago en caja, Punto recarga eléctrico Repsol</t>
  </si>
  <si>
    <t>96873</t>
  </si>
  <si>
    <t>0183118504</t>
  </si>
  <si>
    <t>E.S. VILLARCE LA VARGA</t>
  </si>
  <si>
    <t>VILLAGONZALO PEDERNA</t>
  </si>
  <si>
    <t>CR A-1, 232,7 MARGEN IZQ.</t>
  </si>
  <si>
    <t>-3.704944, 42.290333</t>
  </si>
  <si>
    <t>Restaurante, Cafetería/Bar, Parking turismos, Box presión, Aspiradores, Waylet pago en surtidor, Waylet pago en caja</t>
  </si>
  <si>
    <t>96555</t>
  </si>
  <si>
    <t>0183108539</t>
  </si>
  <si>
    <t>CRED PERALEDA DE LA MATA</t>
  </si>
  <si>
    <t>PERALEDA DE LA MATA</t>
  </si>
  <si>
    <t>CL AUTOVIA EXTREMADURA, 174</t>
  </si>
  <si>
    <t>-5.467111, 39.888333</t>
  </si>
  <si>
    <t>10335</t>
  </si>
  <si>
    <t>EFITEC 95 N - España, Butano 12,5 Kg, DIESEL E+ NEO - España, DIESEL E+10 NEO - España, Propano 11 Kg, BLUE+GRANEL - España</t>
  </si>
  <si>
    <t>96635</t>
  </si>
  <si>
    <t>0183109503</t>
  </si>
  <si>
    <t>CRED MIÑO II</t>
  </si>
  <si>
    <t>MIÑO</t>
  </si>
  <si>
    <t>AUTOPISTA AP-9 km 15,5</t>
  </si>
  <si>
    <t>-8.187972, 43.373222</t>
  </si>
  <si>
    <t>15630</t>
  </si>
  <si>
    <t>Parking turismos, Parking camiones, Duchas, Waylet pago en surtidor, Waylet pago en caja</t>
  </si>
  <si>
    <t>33228</t>
  </si>
  <si>
    <t>0183054279</t>
  </si>
  <si>
    <t>ES NEWTON ENERGIES SL</t>
  </si>
  <si>
    <t>BELL-LLOC</t>
  </si>
  <si>
    <t>CR A-2, 475,2</t>
  </si>
  <si>
    <t>0.77475, 41.628667</t>
  </si>
  <si>
    <t>25220</t>
  </si>
  <si>
    <t>Restaurante, Cafetería/Bar, Taller mecánico, Parking turismos, Parking camiones, Zona de descanso, Waylet pago en caja</t>
  </si>
  <si>
    <t>05530</t>
  </si>
  <si>
    <t>0183017987</t>
  </si>
  <si>
    <t>CRED ARTXANDA</t>
  </si>
  <si>
    <t>BILBAO</t>
  </si>
  <si>
    <t>CL AVENIDA ALTO DE ENEKURI, 5</t>
  </si>
  <si>
    <t>-2.958444, 43.286667</t>
  </si>
  <si>
    <t>48015</t>
  </si>
  <si>
    <t>34487</t>
  </si>
  <si>
    <t>0183000868</t>
  </si>
  <si>
    <t>CRED RÍOTINTO</t>
  </si>
  <si>
    <t>MINAS DE RIOTINTO</t>
  </si>
  <si>
    <t>CR HU-421, 4,4</t>
  </si>
  <si>
    <t>-6.604222, 37.694444</t>
  </si>
  <si>
    <t>21660</t>
  </si>
  <si>
    <t>33019</t>
  </si>
  <si>
    <t>0063167993</t>
  </si>
  <si>
    <t>CRED HUELVA</t>
  </si>
  <si>
    <t>CL AVENIDA FEDERICO MAYO, S.N.</t>
  </si>
  <si>
    <t>-6.941694, 37.256333</t>
  </si>
  <si>
    <t>21004</t>
  </si>
  <si>
    <t>05636</t>
  </si>
  <si>
    <t>0183000165</t>
  </si>
  <si>
    <t>CRED A VEIGA</t>
  </si>
  <si>
    <t>VEGADEO</t>
  </si>
  <si>
    <t>CL AVENIDA DE ASTURIAS, 67</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</si>
  <si>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</si>
  <si>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</si>
  <si>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</si>
  <si>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</si>
  <si>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94915</t>
  </si>
  <si>
    <t>0183133016</t>
  </si>
  <si>
    <t>E.S  HITIGARCA SL</t>
  </si>
  <si>
    <t>CTRA. CM 4000 PK 2,650 MD</t>
  </si>
  <si>
    <t>-4.072639, 39.863417</t>
  </si>
  <si>
    <t>45005</t>
  </si>
  <si>
    <t>EFITEC 95 N - España, EFITEC 98 N - España, Butano 12,5 Kg, DIESEL E+ NEO - España, DIESEL NEXA 100% RENOVABLE - Esp, GO-B BONIF - España, Butano 6 Kg (K6), Propano 11 Kg</t>
  </si>
  <si>
    <t>97023</t>
  </si>
  <si>
    <t>0183133404</t>
  </si>
  <si>
    <t>CRED PORTO DO MOLLE</t>
  </si>
  <si>
    <t>NIGRAN</t>
  </si>
  <si>
    <t>P.I. Porto de Molle</t>
  </si>
  <si>
    <t>-8.796333, 42.134056</t>
  </si>
  <si>
    <t>36379</t>
  </si>
  <si>
    <t>11488</t>
  </si>
  <si>
    <t>0183056860</t>
  </si>
  <si>
    <t>CRED FERROL</t>
  </si>
  <si>
    <t>CATABOIS-E.S.</t>
  </si>
  <si>
    <t>CR C-646, 2</t>
  </si>
  <si>
    <t>-8.221861, 43.502861</t>
  </si>
  <si>
    <t>15405</t>
  </si>
  <si>
    <t>EFITEC 95 N - España, Efitec 95 Premium, EFITEC 98 N - España, DIESEL E+ NEO - España, DIESEL E+10 NEO - España, Butano 6 Kg (K6), Propano 11 Kg, BLUE+GRANEL - España, Autogás, Butano 12 Kg (NEL)</t>
  </si>
  <si>
    <t>33418</t>
  </si>
  <si>
    <t>0183050707</t>
  </si>
  <si>
    <t>CRED S.ASENSIO M.I.</t>
  </si>
  <si>
    <t>-2.752889, 42.513222</t>
  </si>
  <si>
    <t>EFITEC 95 N - España, Efitec 95 Premium, EFITEC 98 N - España, DIESEL E+ NEO - España, DIESEL E+10 NEO - España</t>
  </si>
  <si>
    <t>96128</t>
  </si>
  <si>
    <t>0183102094</t>
  </si>
  <si>
    <t>CRED SANT QUIRZE</t>
  </si>
  <si>
    <t>SANT QUIRZE VALLES</t>
  </si>
  <si>
    <t>CL RONDA ARRAONA, S.N.</t>
  </si>
  <si>
    <t>2.085111, 41.535694</t>
  </si>
  <si>
    <t>08192</t>
  </si>
  <si>
    <t>96095</t>
  </si>
  <si>
    <t>0183079151</t>
  </si>
  <si>
    <t>CRED JOAQUIM BLUME</t>
  </si>
  <si>
    <t>CL JOAQUIN BLUME, 1</t>
  </si>
  <si>
    <t>2.105417, 41.532611</t>
  </si>
  <si>
    <t>08205</t>
  </si>
  <si>
    <t>96177</t>
  </si>
  <si>
    <t>0183079110</t>
  </si>
  <si>
    <t>CRED FUENLABRADA H DIR TOLEDO</t>
  </si>
  <si>
    <t>-3.761472, 40.259278</t>
  </si>
  <si>
    <t>33041</t>
  </si>
  <si>
    <t>0183012897</t>
  </si>
  <si>
    <t>CRED AVDA. SARRIÁ</t>
  </si>
  <si>
    <t>CL AVENIDA SARRIA, 126</t>
  </si>
  <si>
    <t>2.1325, 41.392444</t>
  </si>
  <si>
    <t>08017</t>
  </si>
  <si>
    <t>96959</t>
  </si>
  <si>
    <t>0183123371</t>
  </si>
  <si>
    <t>CRED FERRERUELA 202</t>
  </si>
  <si>
    <t>FERRERUELA DE HUERVA</t>
  </si>
  <si>
    <t>A-23, pk 202 ,MD</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</si>
  <si>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</si>
  <si>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</si>
  <si>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</si>
  <si>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</si>
  <si>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96201</t>
  </si>
  <si>
    <t>0183080274</t>
  </si>
  <si>
    <t>CRED ARROYOMOLINOS</t>
  </si>
  <si>
    <t>ARROYO MOLINO</t>
  </si>
  <si>
    <t>CR A-5, 23.5</t>
  </si>
  <si>
    <t>-3.92125, 40.303306</t>
  </si>
  <si>
    <t>28939</t>
  </si>
  <si>
    <t>EFITEC 95 N - España, EFITEC 98 N - España, Butano 12,5 Kg, DIESEL E+ NEO - España, DIESEL NEXA 100% RENOVABLE - Esp, Butano 6 Kg (K6), Autogás</t>
  </si>
  <si>
    <t>Cafetería/Bar, Lavado cepillos, Parking turismos, Box presión, Aspiradores, Waylet pago en surtidor, Waylet pago en caja, Punto recarga eléctrico Repsol, Lavados Klin</t>
  </si>
  <si>
    <t>13502</t>
  </si>
  <si>
    <t>0183075423</t>
  </si>
  <si>
    <t>CRED PANTANO DE SAN JUAN</t>
  </si>
  <si>
    <t>DE PELAYO PRESA</t>
  </si>
  <si>
    <t>CR M-501, 48,2</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</si>
  <si>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</si>
  <si>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</si>
  <si>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</si>
  <si>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</si>
  <si>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15734</t>
  </si>
  <si>
    <t>0183134683</t>
  </si>
  <si>
    <t>CRED AREA DE MONTCADA SUR</t>
  </si>
  <si>
    <t>MONTCADA I REIXAC</t>
  </si>
  <si>
    <t>AUTOPISTA C33 KM 5,2</t>
  </si>
  <si>
    <t>2.190639, 41.496611</t>
  </si>
  <si>
    <t>08110</t>
  </si>
  <si>
    <t>Cafetería/Bar, Parking camiones, Zona de descanso, Waylet pago en surtidor, Waylet pago en caja, Adblue Envasado</t>
  </si>
  <si>
    <t>96697</t>
  </si>
  <si>
    <t>0183112945</t>
  </si>
  <si>
    <t>CRED TORRE VALLE  I</t>
  </si>
  <si>
    <t>TORRE DEL VALLE (LA)</t>
  </si>
  <si>
    <t>CR  A-6 P.K. 273 M.D.</t>
  </si>
  <si>
    <t>-5.713278, 42.087806</t>
  </si>
  <si>
    <t>49781</t>
  </si>
  <si>
    <t>EFITEC 95 N - España, EFITEC 98 N - España, Butano 12,5 Kg, DIESEL E+ NEO - España, DIESEL E+10 NEO - España</t>
  </si>
  <si>
    <t>11506</t>
  </si>
  <si>
    <t>0183051929</t>
  </si>
  <si>
    <t>E.S. VIRGEN VEREDAS</t>
  </si>
  <si>
    <t>TORRECAMPO</t>
  </si>
  <si>
    <t>CR CO-313, 1</t>
  </si>
  <si>
    <t>-4.671833, 38.480778</t>
  </si>
  <si>
    <t>14410</t>
  </si>
  <si>
    <t>EFITEC 95 N - España, DIESEL E+ NEO - España, GO-B BONIF - España</t>
  </si>
  <si>
    <t>Cafetería/Bar, Parking turismos, Parking camiones, Zona de descanso, Waylet pago en caja</t>
  </si>
  <si>
    <t>13282</t>
  </si>
  <si>
    <t>0183062967</t>
  </si>
  <si>
    <t>E.S.SANT FELIU,S.L.</t>
  </si>
  <si>
    <t>SANT FELIU DE LLOBREGAT</t>
  </si>
  <si>
    <t>CL LAUREA MIRO, 403</t>
  </si>
  <si>
    <t>2.0365, 41.392667</t>
  </si>
  <si>
    <t>08980</t>
  </si>
  <si>
    <t>Lavado cepillos, Lavado camiones, Parking turismos, Box presión, Aspiradores, Waylet pago en caja, Punto recarga eléctrico Repsol</t>
  </si>
  <si>
    <t>96796</t>
  </si>
  <si>
    <t>0183118363</t>
  </si>
  <si>
    <t>CRED LOS CAMPONES</t>
  </si>
  <si>
    <t>TREMAÑES-CARRETERA</t>
  </si>
  <si>
    <t>PG  P.IND. LOS CAMPONES INTERS. AS-</t>
  </si>
  <si>
    <t>-5.7075, 43.529889</t>
  </si>
  <si>
    <t>EFITEC 95 N - España, EFITEC 98 N - España, DIESEL E+ NEO - España, DIESEL E+10 NEO - España, Butano 6 Kg (K6), BLUE+GRANEL - España, Autogás</t>
  </si>
  <si>
    <t>96761</t>
  </si>
  <si>
    <t>0183118595</t>
  </si>
  <si>
    <t>CRED ECO ZARAGOZA</t>
  </si>
  <si>
    <t>CL AVDA CASABLANCA ,11</t>
  </si>
  <si>
    <t>-0.939389, 41.622972</t>
  </si>
  <si>
    <t>33043</t>
  </si>
  <si>
    <t>0183007913</t>
  </si>
  <si>
    <t>CRED AFRICA</t>
  </si>
  <si>
    <t>AV SEGUNDA AGUADA 2   C</t>
  </si>
  <si>
    <t>-6.276278, 36.512611</t>
  </si>
  <si>
    <t>11012</t>
  </si>
  <si>
    <t>Cafetería/Bar, Box presión, Aspiradores, Waylet pago en surtidor, Waylet pago en caja, Punto recarga eléctrico Repsol, Lavados Klin</t>
  </si>
  <si>
    <t>15953</t>
  </si>
  <si>
    <t>0043062280</t>
  </si>
  <si>
    <t>CRED LAS GAUNAS</t>
  </si>
  <si>
    <t>CL AVENIDA DE MADRID, 25</t>
  </si>
  <si>
    <t>-2.448, 42.453361</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</si>
  <si>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</si>
  <si>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</si>
  <si>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</si>
  <si>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</si>
  <si>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</si>
  <si>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</si>
  <si>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</si>
  <si>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</si>
  <si>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33004</t>
  </si>
  <si>
    <t>0183000058</t>
  </si>
  <si>
    <t>CRED ALBERTO AGUILERA</t>
  </si>
  <si>
    <t>CL ALBERTO AGUILERA, 9</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</si>
  <si>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</si>
  <si>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</si>
  <si>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</si>
  <si>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</si>
  <si>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05644</t>
  </si>
  <si>
    <t>0183014273</t>
  </si>
  <si>
    <t>CRED AVDA.R.BORGOÑA</t>
  </si>
  <si>
    <t>CL AVENIDA RAIMUNDO BORGOÑA, 48  I</t>
  </si>
  <si>
    <t>-5.663167, 40.978389</t>
  </si>
  <si>
    <t>EFITEC 95 N - España, Efitec 95 Premium, EFITEC 98 N - España, DIESEL E+ NEO - España, DIESEL E+10 NEO - España, Autogás, Butano 12 Kg (NEL)</t>
  </si>
  <si>
    <t>Cafetería/Bar, Lavado cepillos, Box presión, Aspiradores, Solred cheque lavado, Waylet pago en surtidor, Waylet pago en caja, Adblue Envasado, Lavados Klin</t>
  </si>
  <si>
    <t>05747</t>
  </si>
  <si>
    <t>0183059179</t>
  </si>
  <si>
    <t>CRED MARTOS</t>
  </si>
  <si>
    <t>MARTOS</t>
  </si>
  <si>
    <t>AV EUROPA, 106</t>
  </si>
  <si>
    <t>-3.974889, 37.727167</t>
  </si>
  <si>
    <t>23600</t>
  </si>
  <si>
    <t>15667</t>
  </si>
  <si>
    <t>0063197081</t>
  </si>
  <si>
    <t>CRED MÉRIDA III</t>
  </si>
  <si>
    <t>AV VIA DE LA PLATA, 33</t>
  </si>
  <si>
    <t>-6.344278, 38.938639</t>
  </si>
  <si>
    <t>Lavado cepillos, Parking turismos, Box presión, Aspiradores, Solred cheque lavado, Waylet pago en surtidor, Waylet pago en caja, Adblue Envasado, Punto recarga eléctrico Repsol</t>
  </si>
  <si>
    <t>96356</t>
  </si>
  <si>
    <t>0183104421</t>
  </si>
  <si>
    <t>CRED CENTROLID</t>
  </si>
  <si>
    <t>AVDA DEL EURO</t>
  </si>
  <si>
    <t>-4.718611, 41.674278</t>
  </si>
  <si>
    <t>Lavado cepillos, Lavado camiones, Parking turismos, Zona de descanso, Box presión, Aspiradores, Solred cheque lavado, Waylet pago en surtidor, Waylet pago en caja, Adblue Envasado, Punto recarga eléctrico Repsol, Lavados Klin</t>
  </si>
  <si>
    <t>31903</t>
  </si>
  <si>
    <t>0183012632</t>
  </si>
  <si>
    <t>CRED CÁDIZ-VALENCIA</t>
  </si>
  <si>
    <t>CL CADIZ (ESQ. PERIS Y VALERO), 98</t>
  </si>
  <si>
    <t>-0.371722, 39.458917</t>
  </si>
  <si>
    <t>46006</t>
  </si>
  <si>
    <t>07524</t>
  </si>
  <si>
    <t>0183054246</t>
  </si>
  <si>
    <t>ELECOPE S.L.</t>
  </si>
  <si>
    <t>LUISIANA, LA</t>
  </si>
  <si>
    <t>AVENIDA DE ANDALUCIA, Nº 125</t>
  </si>
  <si>
    <t>-5.252056, 37.524694</t>
  </si>
  <si>
    <t>41430</t>
  </si>
  <si>
    <t>Box presión, Sin personal/desatendida, Lavandería</t>
  </si>
  <si>
    <t>33543</t>
  </si>
  <si>
    <t>0063212344</t>
  </si>
  <si>
    <t>CRED ALCOBENDAS</t>
  </si>
  <si>
    <t>CL AVENIDA DE ESPAÑA, S.N.</t>
  </si>
  <si>
    <t>-3.634639, 40.546167</t>
  </si>
  <si>
    <t>34203</t>
  </si>
  <si>
    <t>0183060219</t>
  </si>
  <si>
    <t>CRED SAN ESTEBAN</t>
  </si>
  <si>
    <t>SAN ESTEBAN DE GORMAZ</t>
  </si>
  <si>
    <t>CR N-122, 222</t>
  </si>
  <si>
    <t>-3.192556, 41.569</t>
  </si>
  <si>
    <t>42330</t>
  </si>
  <si>
    <t>Lavado cepillos, Parking turismos, Parking camiones, Box presión, Aspiradores, Solred cheque lavado, Waylet pago en surtidor, Waylet pago en caja, Adblue Envasado, Lavados Klin</t>
  </si>
  <si>
    <t>96610</t>
  </si>
  <si>
    <t>0183108125</t>
  </si>
  <si>
    <t>CRED RIBADAVIA IZQ</t>
  </si>
  <si>
    <t>RIBADAVIA</t>
  </si>
  <si>
    <t>CR N-120, 595,9</t>
  </si>
  <si>
    <t>-8.130722, 42.304083</t>
  </si>
  <si>
    <t>32400</t>
  </si>
  <si>
    <t>Lavado cepillos, Box presión, Solred cheque lavado, Waylet pago en surtidor, Waylet pago en caja, Lavados Klin</t>
  </si>
  <si>
    <t>04145</t>
  </si>
  <si>
    <t>0183052083</t>
  </si>
  <si>
    <t>CRED GANDESA</t>
  </si>
  <si>
    <t>GANDESA</t>
  </si>
  <si>
    <t>CL AVENIDA DE ARAGON, 7</t>
  </si>
  <si>
    <t>0.43625, 41.053694</t>
  </si>
  <si>
    <t>43780</t>
  </si>
  <si>
    <t>EFITEC 95 N - España, EFITEC 98 N - España, Butano 12,5 Kg, DIESEL E+ NEO - España, Diésel e+5, DIESEL NEXA 100% RENOVABLE - Esp, GO-B BONIF - España, Propano 11 Kg, Butano 12 Kg (NEL)</t>
  </si>
  <si>
    <t>03462</t>
  </si>
  <si>
    <t>0183014810</t>
  </si>
  <si>
    <t>CRED LA TENDERINA</t>
  </si>
  <si>
    <t>OVIEDO-LA TENDERINA</t>
  </si>
  <si>
    <t>CL LA TENDERINA BAJA, S.N.</t>
  </si>
  <si>
    <t>-5.832528, 43.365361</t>
  </si>
  <si>
    <t>33010</t>
  </si>
  <si>
    <t>EFITEC 95 N - España, EFITEC 98 N - España, DIESEL E+ NEO - España, Diésel e+5, DIESEL NEXA 100% RENOVABLE - Esp, Propano 11 Kg, BLUE+GRANEL - España, Butano 12 Kg (NEL)</t>
  </si>
  <si>
    <t>34133</t>
  </si>
  <si>
    <t>0063212526</t>
  </si>
  <si>
    <t>CRED CALA-RATJADA</t>
  </si>
  <si>
    <t>CAPDEPERA</t>
  </si>
  <si>
    <t>CL URB. RATJADA-AV.JUAN CARLO.I, S.</t>
  </si>
  <si>
    <t>3.451667, 39.705278</t>
  </si>
  <si>
    <t>07580</t>
  </si>
  <si>
    <t>EFITEC 95 N - España, Efitec 95 Premium, EFITEC 98 N - España, DIESEL E+ NEO - España, Diésel e+5, DIESEL E+10 NEO - España, DIESEL NEXA 100% RENOVABLE - Esp, Butano 6 Kg (K6), Butano 12 Kg (NEL)</t>
  </si>
  <si>
    <t>Lavado cepillos, Aspiradores, Waylet pago en surtidor, Waylet pago en caja, Adblue Envasado, Lavados Klin</t>
  </si>
  <si>
    <t>96379</t>
  </si>
  <si>
    <t>0183108398</t>
  </si>
  <si>
    <t>CRED CASTILLETE</t>
  </si>
  <si>
    <t>CR N-420, 160</t>
  </si>
  <si>
    <t>-4.106, 38.697778</t>
  </si>
  <si>
    <t>96747</t>
  </si>
  <si>
    <t>0183116615</t>
  </si>
  <si>
    <t>CRED AREA Sº PONFERRADA M.I.</t>
  </si>
  <si>
    <t>CR  A-6 ,P.K. 390,3 M.I.</t>
  </si>
  <si>
    <t>-6.628056, 42.583917</t>
  </si>
  <si>
    <t>Rest. Autoservicio, Cafetería/Bar, Parking turismos, Parking camiones, Box presión, Duchas, Waylet pago en surtidor, Waylet pago en caja</t>
  </si>
  <si>
    <t>31180</t>
  </si>
  <si>
    <t>0183059849</t>
  </si>
  <si>
    <t>CRED PASEO VALLDAURA</t>
  </si>
  <si>
    <t>CL PASEO VALLDAURA, 106</t>
  </si>
  <si>
    <t>2.161444, 41.439306</t>
  </si>
  <si>
    <t>08031</t>
  </si>
  <si>
    <t>EFITEC 95 N - España, EFITEC 98 N - España, Butano 12,5 Kg, DIESEL E+ NEO - España, DIESEL NEXA 100% RENOVABLE - Esp, Butano 6 Kg (K6), BLUE+GRANEL - España</t>
  </si>
  <si>
    <t>34142</t>
  </si>
  <si>
    <t>0063199822</t>
  </si>
  <si>
    <t>CRED RANDE</t>
  </si>
  <si>
    <t>SAN VICENTE DE TRASMAÑO</t>
  </si>
  <si>
    <t>CL CABANAS, 5</t>
  </si>
  <si>
    <t>-8.657778, 42.283139</t>
  </si>
  <si>
    <t>36811</t>
  </si>
  <si>
    <t>13397</t>
  </si>
  <si>
    <t>0183062660</t>
  </si>
  <si>
    <t>CRED NERJA</t>
  </si>
  <si>
    <t>NERJA</t>
  </si>
  <si>
    <t>CR N-340, 290,5</t>
  </si>
  <si>
    <t>-3.891111, 36.747056</t>
  </si>
  <si>
    <t>29780</t>
  </si>
  <si>
    <t>Lavado cepillos, Box presión, Aspiradores, Solred cheque lavado, Lavandería, Waylet pago en surtidor, Waylet pago en caja, Adblue Envasado, Lavados Klin</t>
  </si>
  <si>
    <t>05395</t>
  </si>
  <si>
    <t>0183007210</t>
  </si>
  <si>
    <t>CRED TORRENT DE VALLENSANA</t>
  </si>
  <si>
    <t>CR BV-5001, 7</t>
  </si>
  <si>
    <t>2.192528, 41.480417</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</si>
  <si>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</si>
  <si>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</si>
  <si>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13063</t>
  </si>
  <si>
    <t>0183076033</t>
  </si>
  <si>
    <t>CRED HORUS</t>
  </si>
  <si>
    <t>VILA-SANA</t>
  </si>
  <si>
    <t>CR A-2, 486,4</t>
  </si>
  <si>
    <t>0.894917, 41.6425</t>
  </si>
  <si>
    <t>25245</t>
  </si>
  <si>
    <t>EFITEC 95 N - España, DIESEL E+ NEO - España, DIESEL E+10 NEO - España, BLUE+GRANEL - España</t>
  </si>
  <si>
    <t>05788</t>
  </si>
  <si>
    <t>0183062777</t>
  </si>
  <si>
    <t>CRED PLASENCIA II</t>
  </si>
  <si>
    <t>PLASENCIA</t>
  </si>
  <si>
    <t>AV MARTIN PALOMINO, S.N.</t>
  </si>
  <si>
    <t>-6.103139, 40.016306</t>
  </si>
  <si>
    <t>10600</t>
  </si>
  <si>
    <t>EFITEC 95 N - España, EFITEC 98 N - España, Butano 12,5 Kg, DIESEL E+ NEO - España, DIESEL E+10 NEO - España, Butano 6 Kg (K6), Autogás</t>
  </si>
  <si>
    <t>Restaurante, Cafetería/Bar, Taller neumáticos, Waylet pago en surtidor, Waylet pago en caja, Adblue Envasado</t>
  </si>
  <si>
    <t>05371</t>
  </si>
  <si>
    <t>0183056043</t>
  </si>
  <si>
    <t>E.S. LOS BREZOS S.A.</t>
  </si>
  <si>
    <t>VILLALBILLA DE BURGOS</t>
  </si>
  <si>
    <t>CR N-120, 119</t>
  </si>
  <si>
    <t>-3.767, 42.340889</t>
  </si>
  <si>
    <t>09197</t>
  </si>
  <si>
    <t>Lavado cepillos, Parking turismos, Box presión, Solred cheque lavado, Waylet pago en caja, Punto recarga eléctrico Repsol, Lavados Klin</t>
  </si>
  <si>
    <t>33840</t>
  </si>
  <si>
    <t>0183008572</t>
  </si>
  <si>
    <t>CRED VALLS CASTELLS</t>
  </si>
  <si>
    <t>CR C-246, 91</t>
  </si>
  <si>
    <t>1.261111, 41.283111</t>
  </si>
  <si>
    <t>07400</t>
  </si>
  <si>
    <t>0183061092</t>
  </si>
  <si>
    <t>ES RODCANO, SL</t>
  </si>
  <si>
    <t>MOMBELTRAN</t>
  </si>
  <si>
    <t>CR N-502, PK.63  MI</t>
  </si>
  <si>
    <t>-5.014611, 40.263972</t>
  </si>
  <si>
    <t>05410</t>
  </si>
  <si>
    <t>Cafetería/Bar, Waylet pago en caja</t>
  </si>
  <si>
    <t>31416</t>
  </si>
  <si>
    <t>0183059922</t>
  </si>
  <si>
    <t>CRED LA ORDEN</t>
  </si>
  <si>
    <t>CL BARRIO LA ORDEN, S.N.</t>
  </si>
  <si>
    <t>-6.9475, 37.28225</t>
  </si>
  <si>
    <t>21002</t>
  </si>
  <si>
    <t>Cafetería/Bar, Lavado cepillos, Solred cheque lavado, Waylet pago en surtidor, Waylet pago en caja</t>
  </si>
  <si>
    <t>96271</t>
  </si>
  <si>
    <t>0183100866</t>
  </si>
  <si>
    <t>CRED ALCORCON</t>
  </si>
  <si>
    <t>CL AVDA DEL PINAR, S.N.</t>
  </si>
  <si>
    <t>-3.805417, 40.346389</t>
  </si>
  <si>
    <t>28925</t>
  </si>
  <si>
    <t>EFITEC 95 N - España, EFITEC 98 N - España, DIESEL E+ NEO - España, Diésel e+5, DIESEL NEXA 100% RENOVABLE - Esp, Butano 6 Kg (K6), Autogás, Butano 12 Kg (NEL)</t>
  </si>
  <si>
    <t>33622</t>
  </si>
  <si>
    <t>0183010875</t>
  </si>
  <si>
    <t>CRED SAN ROQUE</t>
  </si>
  <si>
    <t>SAN ROQUE</t>
  </si>
  <si>
    <t>CR N-351 P.K. 3</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</si>
  <si>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</si>
  <si>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</si>
  <si>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</si>
  <si>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</si>
  <si>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34095</t>
  </si>
  <si>
    <t>0183053479</t>
  </si>
  <si>
    <t>CRED MÓSTOLES M.I.</t>
  </si>
  <si>
    <t>CR A-5, 21</t>
  </si>
  <si>
    <t>-3.896861, 40.316444</t>
  </si>
  <si>
    <t>Lavado cepillos, Parking turismos, Parking camiones, Aspiradores, Solred cheque lavado, Waylet pago en surtidor, Waylet pago en caja, Adblue Envasado</t>
  </si>
  <si>
    <t>03626</t>
  </si>
  <si>
    <t>0183051325</t>
  </si>
  <si>
    <t>CRED SABIÑANIGO</t>
  </si>
  <si>
    <t>CL AVENIDA HUESCA, 22</t>
  </si>
  <si>
    <t>-0.361111, 42.515028</t>
  </si>
  <si>
    <t>EFITEC 95 N - España, EFITEC 98 N - España, Butano 12,5 Kg, DIESEL E+ NEO - España, DIESEL NEXA 100% RENOVABLE - Esp, GO-B BONIF - España, Propano 11 Kg, Autogás</t>
  </si>
  <si>
    <t>03886</t>
  </si>
  <si>
    <t>0183118645</t>
  </si>
  <si>
    <t>CRED GAVA MAR</t>
  </si>
  <si>
    <t>CR C-31 ,P.K. 182,6 M.D</t>
  </si>
  <si>
    <t>2.000528, 41.269694</t>
  </si>
  <si>
    <t>34140</t>
  </si>
  <si>
    <t>0183003680</t>
  </si>
  <si>
    <t>E.S. GALURESA NEGREIRA</t>
  </si>
  <si>
    <t>NEGREIRA</t>
  </si>
  <si>
    <t>AV DE SANTIAGO 70</t>
  </si>
  <si>
    <t>-8.730667, 42.91</t>
  </si>
  <si>
    <t>15830</t>
  </si>
  <si>
    <t>34900</t>
  </si>
  <si>
    <t>0183062561</t>
  </si>
  <si>
    <t>CRED ROMAREDA</t>
  </si>
  <si>
    <t>CL AVENIDA HISPANIDAD, 16</t>
  </si>
  <si>
    <t>-0.9085, 41.634222</t>
  </si>
  <si>
    <t>50009</t>
  </si>
  <si>
    <t>EFITEC 95 N - España, Efitec 95 Premium, EFITEC 98 N - España, Butano 12,5 Kg, DIESEL E+ NEO - España, Diésel e+5, DIESEL NEXA 100% RENOVABLE - Esp, Butano 6 Kg (K6), Propano 11 Kg, Autogás</t>
  </si>
  <si>
    <t>96795</t>
  </si>
  <si>
    <t>0183119429</t>
  </si>
  <si>
    <t>CRED PAU VALLECAS</t>
  </si>
  <si>
    <t>AVENIDA REAL DE ARGANDA Nº 74</t>
  </si>
  <si>
    <t>-3.604056, 40.37575</t>
  </si>
  <si>
    <t>33425</t>
  </si>
  <si>
    <t>0183050715</t>
  </si>
  <si>
    <t>CRED LOGROÑO</t>
  </si>
  <si>
    <t>LOGROÑO-AUTOPISTA</t>
  </si>
  <si>
    <t>AU AP-68, 136,2</t>
  </si>
  <si>
    <t>-2.370917, 42.450417</t>
  </si>
  <si>
    <t>Rest. Autoservicio, Restaurante, Cafetería/Bar, Parking turismos, Parking camiones, Zona de descanso, Duchas, Waylet pago en surtidor, Waylet pago en caja, Adblue Envasado, Punto recarga eléctrico Repsol</t>
  </si>
  <si>
    <t>96712</t>
  </si>
  <si>
    <t>0183116375</t>
  </si>
  <si>
    <t>CRED EL CONSUL</t>
  </si>
  <si>
    <t>CL DEMÓSTONES ESQ. AVDA JENOFONTES</t>
  </si>
  <si>
    <t>-4.484278, 36.7185</t>
  </si>
  <si>
    <t>29010</t>
  </si>
  <si>
    <t>Cafetería/Bar, Lavado cepillos, Box presión, Aspiradores, Solred cheque lavado, Lavandería, Waylet pago en surtidor, Waylet pago en caja, Adblue Envasado, Punto recarga eléctrico Repsol, Lavados Klin</t>
  </si>
  <si>
    <t>92817</t>
  </si>
  <si>
    <t>0183133412</t>
  </si>
  <si>
    <t>AV MEGINO SL</t>
  </si>
  <si>
    <t>GETAFE</t>
  </si>
  <si>
    <t>AV GUADALQUIVIR, 11</t>
  </si>
  <si>
    <t>-3.701417, 40.2715</t>
  </si>
  <si>
    <t>28906</t>
  </si>
  <si>
    <t>96182</t>
  </si>
  <si>
    <t>0183100304</t>
  </si>
  <si>
    <t>CRED GUARDAMAR</t>
  </si>
  <si>
    <t>GUARDAMAR</t>
  </si>
  <si>
    <t>CL MADRID, 20-24</t>
  </si>
  <si>
    <t>-0.659111, 38.095639</t>
  </si>
  <si>
    <t>03140</t>
  </si>
  <si>
    <t>EFITEC 95 N - España, EFITEC 98 N - España, DIESEL E+ NEO - España, DIESEL NEXA 100% RENOVABLE - Esp, Butano 6 Kg (K6), Propano 11 Kg, Autogás, Butano 12 Kg (NEL)</t>
  </si>
  <si>
    <t>Cafetería/Bar, Lavado cepillos, Box presión, Aspiradores, Solred cheque lavado, Lavandería, Waylet pago en surtidor, Waylet pago en caja, Adblue Envasado, Lavados Klin</t>
  </si>
  <si>
    <t>96159</t>
  </si>
  <si>
    <t>0183101203</t>
  </si>
  <si>
    <t>CRED SANT CUGAT</t>
  </si>
  <si>
    <t>CL AV AUGUSTA, S.N.</t>
  </si>
  <si>
    <t>2.050833, 41.482778</t>
  </si>
  <si>
    <t>96708</t>
  </si>
  <si>
    <t>0183115799</t>
  </si>
  <si>
    <t>CRED LEGASA DCHO</t>
  </si>
  <si>
    <t>LEGASA</t>
  </si>
  <si>
    <t>CR  N-121 A  P.K. 44,50 D</t>
  </si>
  <si>
    <t>-1.630722, 43.130444</t>
  </si>
  <si>
    <t>31792</t>
  </si>
  <si>
    <t>Parking camiones, Box presión, Duchas, Aspiradores, Waylet pago en surtidor, Waylet pago en caja</t>
  </si>
  <si>
    <t>33221</t>
  </si>
  <si>
    <t>0183132208</t>
  </si>
  <si>
    <t>CRED EL MASNOU</t>
  </si>
  <si>
    <t>EL MASNOU</t>
  </si>
  <si>
    <t>CTRA NII PK 635,5</t>
  </si>
  <si>
    <t>2.333639, 41.482556</t>
  </si>
  <si>
    <t>08320</t>
  </si>
  <si>
    <t>96651</t>
  </si>
  <si>
    <t>0183110907</t>
  </si>
  <si>
    <t>CRED VALDALIGA IZQ</t>
  </si>
  <si>
    <t>-4.330611, 43.334083</t>
  </si>
  <si>
    <t>Restaurante, Cafetería/Bar, Lavado cepillos, Parking turismos, Parking camiones, Zona de descanso, Box presión, Duchas, Waylet pago en surtidor, Waylet pago en caja, Adblue Envasado</t>
  </si>
  <si>
    <t>33531</t>
  </si>
  <si>
    <t>0183003748</t>
  </si>
  <si>
    <t>CRED NAVALMORAL</t>
  </si>
  <si>
    <t>CR N-5A, 180,8</t>
  </si>
  <si>
    <t>-5.544028, 39.896056</t>
  </si>
  <si>
    <t>15518</t>
  </si>
  <si>
    <t>0183132273</t>
  </si>
  <si>
    <t>ES BUENOS AIRES SA</t>
  </si>
  <si>
    <t>AVDA DE LOS ROSALES 147 M-301 KM 4,</t>
  </si>
  <si>
    <t>-3.668694, 40.339861</t>
  </si>
  <si>
    <t>28021</t>
  </si>
  <si>
    <t>33567</t>
  </si>
  <si>
    <t>0183002609</t>
  </si>
  <si>
    <t>CRED. CARRETERA DEL VALLE</t>
  </si>
  <si>
    <t>CR N-110, PK. 403,2</t>
  </si>
  <si>
    <t>-6.075472, 40.032083</t>
  </si>
  <si>
    <t>96308</t>
  </si>
  <si>
    <t>0183101740</t>
  </si>
  <si>
    <t>CRED BEASAÍN</t>
  </si>
  <si>
    <t>BEASAIN</t>
  </si>
  <si>
    <t>CR A-636, PK. 1,5</t>
  </si>
  <si>
    <t>-2.227278, 43.048222</t>
  </si>
  <si>
    <t>20200</t>
  </si>
  <si>
    <t>L-V: 06:00-22:00; S-D: 08:00-21:00</t>
  </si>
  <si>
    <t>Restaurante, Cafetería/Bar, Lavado cepillos, Parking turismos, Parking camiones, Zona de descanso, Box presión, Duchas, Aspiradores, Solred cheque lavado, Waylet pago en surtidor, Waylet pago en caja, Adblue Envasado, Lavados Klin</t>
  </si>
  <si>
    <t>96756</t>
  </si>
  <si>
    <t>0183116474</t>
  </si>
  <si>
    <t>CRED VIA DE LA PLATA</t>
  </si>
  <si>
    <t>MALPARTIDA DE PLASENCIA</t>
  </si>
  <si>
    <t>CR  A-66 , P.K. 494</t>
  </si>
  <si>
    <t>-6.276139, 39.882972</t>
  </si>
  <si>
    <t>10680</t>
  </si>
  <si>
    <t>Restaurante, Cafetería/Bar, Parking turismos, Parking camiones, Zona de descanso, Duchas, Waylet pago en surtidor, Waylet pago en caja, Adblue Envasado, Recarga eléctrica</t>
  </si>
  <si>
    <t>94925</t>
  </si>
  <si>
    <t>0183133370</t>
  </si>
  <si>
    <t>ES ROBLIZA</t>
  </si>
  <si>
    <t>ROBLIZA DE COJOS</t>
  </si>
  <si>
    <t>AUTOVIA A-62 KM 269</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</si>
  <si>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</si>
  <si>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</si>
  <si>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</si>
  <si>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</si>
  <si>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96861</t>
  </si>
  <si>
    <t>0183125780</t>
  </si>
  <si>
    <t>CRED NUEVA ENRAMADILLA</t>
  </si>
  <si>
    <t>AV. RAMON Y CAJAL, 10</t>
  </si>
  <si>
    <t>-5.974806, 37.376833</t>
  </si>
  <si>
    <t>41001</t>
  </si>
  <si>
    <t>Lavandería, Waylet pago en surtidor, Waylet pago en caja, Adblue Envasado</t>
  </si>
  <si>
    <t>31049</t>
  </si>
  <si>
    <t>0183009141</t>
  </si>
  <si>
    <t>CRED VISTAHERMOSA</t>
  </si>
  <si>
    <t>PUERTO DE SANTA MARIA, EL</t>
  </si>
  <si>
    <t>CR P-603, 1 M.D.</t>
  </si>
  <si>
    <t>-6.240222, 36.599583</t>
  </si>
  <si>
    <t>11500</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</si>
  <si>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</si>
  <si>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</si>
  <si>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02378</t>
  </si>
  <si>
    <t>0183019066</t>
  </si>
  <si>
    <t>CRED U.S. VIESQUES-GIJON</t>
  </si>
  <si>
    <t>GIJON-VIESQUES</t>
  </si>
  <si>
    <t>CL CTRA. DE VIESQUES, S.N.</t>
  </si>
  <si>
    <t>-5.643306, 43.532028</t>
  </si>
  <si>
    <t>33204</t>
  </si>
  <si>
    <t>94719</t>
  </si>
  <si>
    <t>0183135581</t>
  </si>
  <si>
    <t>CRED LA SAGRA M.D.</t>
  </si>
  <si>
    <t>CR AP-41 KM 31,7 D</t>
  </si>
  <si>
    <t>-3.865444, 40.057667</t>
  </si>
  <si>
    <t>96930</t>
  </si>
  <si>
    <t>0183121318</t>
  </si>
  <si>
    <t>CRED SESEÑA M.IZDO</t>
  </si>
  <si>
    <t>CR A-4, 36,5 M.IZDO</t>
  </si>
  <si>
    <t>-3.646333, 40.105194</t>
  </si>
  <si>
    <t>Restaurante, Cafetería/Bar, Waylet pago en surtidor, Waylet pago en caja, Adblue Envasado, Punto recarga eléctrico Repsol</t>
  </si>
  <si>
    <t>96995</t>
  </si>
  <si>
    <t>0183125376</t>
  </si>
  <si>
    <t>CRED PUERTO VENECIA</t>
  </si>
  <si>
    <t>CL ISLA MURANO S.N</t>
  </si>
  <si>
    <t>-0.881944, 41.609722</t>
  </si>
  <si>
    <t>50021</t>
  </si>
  <si>
    <t>96707</t>
  </si>
  <si>
    <t>0183117134</t>
  </si>
  <si>
    <t>CRED ZAISA III</t>
  </si>
  <si>
    <t>CL ANTXOTXIPI , 15</t>
  </si>
  <si>
    <t>-1.764556, 43.339056</t>
  </si>
  <si>
    <t>97064</t>
  </si>
  <si>
    <t>0183130012</t>
  </si>
  <si>
    <t>CRED LA SERNA LEON</t>
  </si>
  <si>
    <t>AVDA JOSE MARIA SUAREZ, SN</t>
  </si>
  <si>
    <t>-5.558028, 42.603028</t>
  </si>
  <si>
    <t>24007</t>
  </si>
  <si>
    <t>EFITEC 95 N - España, EFITEC 98 N - España, Butano 12,5 Kg, DIESEL E+ NEO - España, DIESEL E+10 NEO - España, Propano 11 Kg, BLUE+GRANEL - España, Autogás, Butano 12 Kg (NEL)</t>
  </si>
  <si>
    <t>Lavado cepillos, Box presión, Aspiradores, Solred cheque lavado, Waylet pago en surtidor, Waylet pago en caja, Adblue Envasado, Punto recarga eléctrico Repsol, Lavados Klin, Recarga eléctrica</t>
  </si>
  <si>
    <t>07342</t>
  </si>
  <si>
    <t>0183062959</t>
  </si>
  <si>
    <t>CRED PALAU</t>
  </si>
  <si>
    <t>PALAU-SOLITA I PLEGAMANS</t>
  </si>
  <si>
    <t>CL ANSELMO CLAVE, S.N.</t>
  </si>
  <si>
    <t>2.179667, 41.587917</t>
  </si>
  <si>
    <t>08184</t>
  </si>
  <si>
    <t>12484</t>
  </si>
  <si>
    <t>0183113679</t>
  </si>
  <si>
    <t>CRED VARA DE QUART</t>
  </si>
  <si>
    <t>CL TRAGINERS, 2</t>
  </si>
  <si>
    <t>-0.406444, 39.462639</t>
  </si>
  <si>
    <t>46014</t>
  </si>
  <si>
    <t>Lavado cepillos, Lavado camiones, Box presión, Aspiradores, Solred cheque lavado, Waylet pago en surtidor, Waylet pago en caja, Lavados Klin</t>
  </si>
  <si>
    <t>34156</t>
  </si>
  <si>
    <t>0183008812</t>
  </si>
  <si>
    <t>CRED FENE</t>
  </si>
  <si>
    <t>FENE</t>
  </si>
  <si>
    <t>CR N-651, 30  I</t>
  </si>
  <si>
    <t>-8.161639, 43.472361</t>
  </si>
  <si>
    <t>15500</t>
  </si>
  <si>
    <t>EFITEC 95 N - España, Efitec 95 Premium, EFITEC 98 N - España, DIESEL E+ NEO - España, Diésel e+5, DIESEL E+10 NEO - España, Butano 6 Kg (K6), Propano 11 Kg, BLUE+GRANEL - España, Butano 12 Kg (NEL)</t>
  </si>
  <si>
    <t>Lavado cepillos, Parking turismos, Parking camiones, Box presión, Waylet pago en surtidor, Waylet pago en caja, Lavados Klin</t>
  </si>
  <si>
    <t>96777</t>
  </si>
  <si>
    <t>0183124262</t>
  </si>
  <si>
    <t>CRED VENTURADA</t>
  </si>
  <si>
    <t>VENTURADA</t>
  </si>
  <si>
    <t>CR A-I ,P.K. 49 M.D.</t>
  </si>
  <si>
    <t>-3.617222, 40.793611</t>
  </si>
  <si>
    <t>28729</t>
  </si>
  <si>
    <t>Cafetería/Bar, Parking turismos, Parking camiones, Box presión, Aspiradores, Waylet pago en surtidor, Waylet pago en caja, Punto recarga eléctrico Repsol, Lavados Klin</t>
  </si>
  <si>
    <t>34007</t>
  </si>
  <si>
    <t>0063212492</t>
  </si>
  <si>
    <t>CRED ZARAGOZA</t>
  </si>
  <si>
    <t>CL AVENIDA HISPANIDAD, 15</t>
  </si>
  <si>
    <t>-0.908694, 41.633389</t>
  </si>
  <si>
    <t>93923</t>
  </si>
  <si>
    <t>0183135102</t>
  </si>
  <si>
    <t>CRED SAN JUAN BAJO</t>
  </si>
  <si>
    <t>SAN JUAN DE AZNALFARACHE</t>
  </si>
  <si>
    <t>CARRETERA SAN JUAN DE AZNALFARACHE-</t>
  </si>
  <si>
    <t>-6.027944, 37.371056</t>
  </si>
  <si>
    <t>41920</t>
  </si>
  <si>
    <t>33642</t>
  </si>
  <si>
    <t>0183004787</t>
  </si>
  <si>
    <t>CRED CAN CARRERES</t>
  </si>
  <si>
    <t>MARTORELL</t>
  </si>
  <si>
    <t>CL PAU CLARIS, 13</t>
  </si>
  <si>
    <t>1.927778, 41.475167</t>
  </si>
  <si>
    <t>08760</t>
  </si>
  <si>
    <t>96364</t>
  </si>
  <si>
    <t>0183105477</t>
  </si>
  <si>
    <t>CRED SALLAVINERA DCHO</t>
  </si>
  <si>
    <t>1.578861, 41.745028</t>
  </si>
  <si>
    <t>92039</t>
  </si>
  <si>
    <t>0183135292</t>
  </si>
  <si>
    <t>CRED ZURBANO</t>
  </si>
  <si>
    <t>ZURBANO</t>
  </si>
  <si>
    <t>CTRA A-1, PK 358,5</t>
  </si>
  <si>
    <t>-2.616361, 42.876861</t>
  </si>
  <si>
    <t>01520</t>
  </si>
  <si>
    <t>11889</t>
  </si>
  <si>
    <t>0183017953</t>
  </si>
  <si>
    <t>CRED ZUASTI</t>
  </si>
  <si>
    <t>ZUASTI</t>
  </si>
  <si>
    <t>AU A-15, 98,5</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</si>
  <si>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</si>
  <si>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</si>
  <si>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</si>
  <si>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33274</t>
  </si>
  <si>
    <t>0183008853</t>
  </si>
  <si>
    <t>CRED VILADECANS</t>
  </si>
  <si>
    <t>VILADECANS</t>
  </si>
  <si>
    <t>CR C-31, 186,58</t>
  </si>
  <si>
    <t>2.048222, 41.275028</t>
  </si>
  <si>
    <t>08840</t>
  </si>
  <si>
    <t>Cafetería/Bar, Parking turismos, Waylet pago en surtidor, Waylet pago en caja, Adblue Envasado, Punto recarga eléctrico Repsol</t>
  </si>
  <si>
    <t>97016</t>
  </si>
  <si>
    <t>0183124494</t>
  </si>
  <si>
    <t>CRED BOIRA</t>
  </si>
  <si>
    <t>CR N-152, 67,7 M. IZQ</t>
  </si>
  <si>
    <t>2.244667, 41.928167</t>
  </si>
  <si>
    <t>Waylet pago en surtidor, Waylet pago en caja, Lavados Klin</t>
  </si>
  <si>
    <t>12141</t>
  </si>
  <si>
    <t>0183058494</t>
  </si>
  <si>
    <t>CRED POLIGONO ANTEQUERA</t>
  </si>
  <si>
    <t>CL EL EFEBO Nº 1</t>
  </si>
  <si>
    <t>-4.534611, 37.029306</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</si>
  <si>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</si>
  <si>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</si>
  <si>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33874</t>
  </si>
  <si>
    <t>0183013705</t>
  </si>
  <si>
    <t>CRED LA FLECHA</t>
  </si>
  <si>
    <t>ARROYO DE LA ENCOMIE</t>
  </si>
  <si>
    <t>AV DE SALAMANCA, 36</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</si>
  <si>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</si>
  <si>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</si>
  <si>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</si>
  <si>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</si>
  <si>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11301</t>
  </si>
  <si>
    <t>0183019546</t>
  </si>
  <si>
    <t>CRED SAN ADRIAN</t>
  </si>
  <si>
    <t>SAN ADRIAN</t>
  </si>
  <si>
    <t>CR NA-134, 51,7</t>
  </si>
  <si>
    <t>-1.937639, 42.350639</t>
  </si>
  <si>
    <t>31570</t>
  </si>
  <si>
    <t>L-D: 06:00-21:30</t>
  </si>
  <si>
    <t>Lavado cepillos, Parking turismos, Parking camiones, Box presión, Aspiradores, Solred cheque lavado, Waylet pago en surtidor, Waylet pago en caja, Punto recarga eléctrico Repsol, Lavados Klin</t>
  </si>
  <si>
    <t>11433</t>
  </si>
  <si>
    <t>0183016294</t>
  </si>
  <si>
    <t>E.S. LOS LLANOS</t>
  </si>
  <si>
    <t>FUENTE DEL MAESTRE</t>
  </si>
  <si>
    <t>CR BA-902   FUENTE MAESTRE, 4,4</t>
  </si>
  <si>
    <t>-6.450444, 38.512917</t>
  </si>
  <si>
    <t>06360</t>
  </si>
  <si>
    <t>Lavado cepillos, Box presión, Aspiradores, Solred cheque lavado, Waylet pago en caja, Adblue Envasado</t>
  </si>
  <si>
    <t>34397</t>
  </si>
  <si>
    <t>0183004977</t>
  </si>
  <si>
    <t>CRED EL MOLINO</t>
  </si>
  <si>
    <t>SITGES</t>
  </si>
  <si>
    <t>CR C-31, PK.164,38</t>
  </si>
  <si>
    <t>1.827417, 41.238528</t>
  </si>
  <si>
    <t>08870</t>
  </si>
  <si>
    <t>EFITEC 95 N - España, Efitec 95 Premium, EFITEC 98 N - España, DIESEL E+ NEO - España, Diésel e+5, DIESEL NEXA 100% RENOVABLE - Esp, Butano 6 Kg (K6), Propano 11 Kg, BLUE+GRANEL - España, Autogás, Butano 12 Kg (NEL)</t>
  </si>
  <si>
    <t>Cafetería/Bar, Lavado cepillos, Parking turismos, Parking camiones, Box presión, Aspiradores, Solred cheque lavado, Waylet pago en surtidor, Waylet pago en caja, Adblue Envasado, Lavados Klin</t>
  </si>
  <si>
    <t>96688</t>
  </si>
  <si>
    <t>0183114024</t>
  </si>
  <si>
    <t>CRED EL PEÑASCO</t>
  </si>
  <si>
    <t>AVDA DE VALLE INCLAN,  12</t>
  </si>
  <si>
    <t>-4.434583, 36.736083</t>
  </si>
  <si>
    <t>29011</t>
  </si>
  <si>
    <t>31037</t>
  </si>
  <si>
    <t>0183012590</t>
  </si>
  <si>
    <t>CRED CREU ALTA</t>
  </si>
  <si>
    <t>CL PRATS LLUSANES-ESQ.C.URGEL, S.N.</t>
  </si>
  <si>
    <t>2.100972, 41.560972</t>
  </si>
  <si>
    <t>08208</t>
  </si>
  <si>
    <t>34036</t>
  </si>
  <si>
    <t>0063180301</t>
  </si>
  <si>
    <t>CRED SANT BERNAT II</t>
  </si>
  <si>
    <t>AV SANT BERNAT CALVO, 51</t>
  </si>
  <si>
    <t>1.103333, 41.144444</t>
  </si>
  <si>
    <t>05411</t>
  </si>
  <si>
    <t>0183000033</t>
  </si>
  <si>
    <t>CRED CABO ROCHE</t>
  </si>
  <si>
    <t>CONIL DE LA FRONTERA</t>
  </si>
  <si>
    <t>CR N-340, 16,7</t>
  </si>
  <si>
    <t>-6.093639, 36.339833</t>
  </si>
  <si>
    <t>11140</t>
  </si>
  <si>
    <t>EFITEC 95 N - España, Efitec 95 Premium, EFITEC 98 N - España, Butano 12,5 Kg, DIESEL E+ NEO - España, DIESEL E+10 NEO - España, Propano 11 Kg, BLUE+GRANEL - España</t>
  </si>
  <si>
    <t>07550</t>
  </si>
  <si>
    <t>0183013689</t>
  </si>
  <si>
    <t>E.S. LOS CEREZOS,S.L.</t>
  </si>
  <si>
    <t>CEREZO DE ABAJO</t>
  </si>
  <si>
    <t>CR N-1, 103</t>
  </si>
  <si>
    <t>-3.591083, 41.219083</t>
  </si>
  <si>
    <t>40591</t>
  </si>
  <si>
    <t>Parking turismos, Waylet pago en caja, Adblue Envasado</t>
  </si>
  <si>
    <t>31578</t>
  </si>
  <si>
    <t>0183016831</t>
  </si>
  <si>
    <t>CRED VALTIERRA M.D.</t>
  </si>
  <si>
    <t>VALTIERRA</t>
  </si>
  <si>
    <t>AU A-15, 14</t>
  </si>
  <si>
    <t>-1.674889, 42.200361</t>
  </si>
  <si>
    <t>31514</t>
  </si>
  <si>
    <t>Cafetería/Bar, Parking turismos, Parking camiones, Zona de descanso, Waylet pago en surtidor, Waylet pago en caja, Punto recarga eléctrico Repsol, Recarga eléctrica</t>
  </si>
  <si>
    <t>96172</t>
  </si>
  <si>
    <t>0183103241</t>
  </si>
  <si>
    <t>CRED MOSTOLES CENTRAL</t>
  </si>
  <si>
    <t>CL TORRES QUEVEDO, 2</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</si>
  <si>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</si>
  <si>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</si>
  <si>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</si>
  <si>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</si>
  <si>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07215</t>
  </si>
  <si>
    <t>0183019553</t>
  </si>
  <si>
    <t>ES SUMINISTROS DE COMBUSTIBLES</t>
  </si>
  <si>
    <t>VILLANUEVA DE LOS CASTILLEJOS</t>
  </si>
  <si>
    <t>CR H-131, 31</t>
  </si>
  <si>
    <t>-7.268444, 37.497139</t>
  </si>
  <si>
    <t>21540</t>
  </si>
  <si>
    <t>96045</t>
  </si>
  <si>
    <t>0183080324</t>
  </si>
  <si>
    <t>CRED OZONE TORREVIEJA</t>
  </si>
  <si>
    <t>CR CV-905  P.K. 10,1</t>
  </si>
  <si>
    <t>-0.687333, 37.988333</t>
  </si>
  <si>
    <t>12315</t>
  </si>
  <si>
    <t>0183058650</t>
  </si>
  <si>
    <t>CRED BELLVEI</t>
  </si>
  <si>
    <t>BELLVEI</t>
  </si>
  <si>
    <t>CR N-340, 1194,3</t>
  </si>
  <si>
    <t>1.56575, 41.235389</t>
  </si>
  <si>
    <t>43719</t>
  </si>
  <si>
    <t>EFITEC 95 N - España, EFITEC 98 N - España, Butano 12,5 Kg, DIESEL E+ NEO - España, DIESEL E+10 NEO - España, BLUE+GRANEL - España, Autogás</t>
  </si>
  <si>
    <t>34167</t>
  </si>
  <si>
    <t>0063181184</t>
  </si>
  <si>
    <t>FRAGA</t>
  </si>
  <si>
    <t>CL AVENIDA DE ARAGON, 79</t>
  </si>
  <si>
    <t>0.334333, 41.520139</t>
  </si>
  <si>
    <t>22520</t>
  </si>
  <si>
    <t>L-J: 05:00-23:00; V-D: 24H</t>
  </si>
  <si>
    <t>31565</t>
  </si>
  <si>
    <t>0183007327</t>
  </si>
  <si>
    <t>CRED FOZ</t>
  </si>
  <si>
    <t>FOZ</t>
  </si>
  <si>
    <t>CR N-642, 34,6</t>
  </si>
  <si>
    <t>-7.269056, 43.576306</t>
  </si>
  <si>
    <t>27780</t>
  </si>
  <si>
    <t>96700</t>
  </si>
  <si>
    <t>0183112424</t>
  </si>
  <si>
    <t>CRED VILLAVIDEL M.D.</t>
  </si>
  <si>
    <t>CAMPO DE VILLAVIDEL</t>
  </si>
  <si>
    <t>CR  A-231 P.K. 8</t>
  </si>
  <si>
    <t>-5.520889, 42.454889</t>
  </si>
  <si>
    <t>12976</t>
  </si>
  <si>
    <t>0183075985</t>
  </si>
  <si>
    <t>CRED CELRA</t>
  </si>
  <si>
    <t>CELRA</t>
  </si>
  <si>
    <t>CR C-66, 30,5</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</si>
  <si>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</si>
  <si>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</si>
  <si>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</si>
  <si>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</si>
  <si>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33557</t>
  </si>
  <si>
    <t>0183010131</t>
  </si>
  <si>
    <t>CRED LAS PALMERAS</t>
  </si>
  <si>
    <t>LORCA</t>
  </si>
  <si>
    <t>CR N-340  A, 599,5</t>
  </si>
  <si>
    <t>-1.662778, 37.689722</t>
  </si>
  <si>
    <t>30800</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</si>
  <si>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</si>
  <si>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</si>
  <si>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96028</t>
  </si>
  <si>
    <t>0183077007</t>
  </si>
  <si>
    <t>CRED RACC</t>
  </si>
  <si>
    <t>CL AVENIDA DIAGONAL, 687</t>
  </si>
  <si>
    <t>2.10675, 41.382667</t>
  </si>
  <si>
    <t>08028</t>
  </si>
  <si>
    <t>33414</t>
  </si>
  <si>
    <t>0183050723</t>
  </si>
  <si>
    <t>CRED CALAHORRA M.D.</t>
  </si>
  <si>
    <t>CALAHORRA-AUTOPISTA</t>
  </si>
  <si>
    <t>AU AP-68, 176,9  I</t>
  </si>
  <si>
    <t>-1.971111, 42.292028</t>
  </si>
  <si>
    <t>26500</t>
  </si>
  <si>
    <t>02852</t>
  </si>
  <si>
    <t>0183006980</t>
  </si>
  <si>
    <t>CRED MONTCADA I REIXAC</t>
  </si>
  <si>
    <t>CR C-17  P.K. 1,5</t>
  </si>
  <si>
    <t>2.177833, 41.466861</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</si>
  <si>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</si>
  <si>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</si>
  <si>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96519</t>
  </si>
  <si>
    <t>0183109347</t>
  </si>
  <si>
    <t>CRED MENORCA (MENORCA)</t>
  </si>
  <si>
    <t>MAHON</t>
  </si>
  <si>
    <t>CR ME-1 , 1,50</t>
  </si>
  <si>
    <t>4.242861, 39.889583</t>
  </si>
  <si>
    <t>07703</t>
  </si>
  <si>
    <t>L-D: 00:00-02:00 y 06:00-23:59</t>
  </si>
  <si>
    <t>EFITEC 95 N - España, DIESEL E+ NEO - España, Butano 6 Kg (K6), BLUE+GRANEL - España, Autogás, Butano 12 Kg (NEL)</t>
  </si>
  <si>
    <t>33416</t>
  </si>
  <si>
    <t>0183050681</t>
  </si>
  <si>
    <t>CRED ARRIGORRIAGA MI</t>
  </si>
  <si>
    <t>-2.894444, 43.18975</t>
  </si>
  <si>
    <t>00065</t>
  </si>
  <si>
    <t>0183053719</t>
  </si>
  <si>
    <t>CRED ARACENA</t>
  </si>
  <si>
    <t>ARACENA</t>
  </si>
  <si>
    <t>CR  N-433, 86,3- ARACENA</t>
  </si>
  <si>
    <t>-6.555917, 37.889528</t>
  </si>
  <si>
    <t>21200</t>
  </si>
  <si>
    <t>12471</t>
  </si>
  <si>
    <t>0183061555</t>
  </si>
  <si>
    <t>CRED AREA 280 MADRID</t>
  </si>
  <si>
    <t>CR A-2, 281,6</t>
  </si>
  <si>
    <t>-1.273361, 41.524333</t>
  </si>
  <si>
    <t>15736</t>
  </si>
  <si>
    <t>0183134691</t>
  </si>
  <si>
    <t>CRED AREA DE MONTCADA NORTE</t>
  </si>
  <si>
    <t>AUTOPISTA C33, KM 82,5</t>
  </si>
  <si>
    <t>2.191417, 41.495222</t>
  </si>
  <si>
    <t>07022</t>
  </si>
  <si>
    <t>0183051093</t>
  </si>
  <si>
    <t>CRED LOECHES</t>
  </si>
  <si>
    <t>LOECHES</t>
  </si>
  <si>
    <t>CR M-300, 13</t>
  </si>
  <si>
    <t>-3.407778, 40.385278</t>
  </si>
  <si>
    <t>28890</t>
  </si>
  <si>
    <t>Box presión, Aspiradores, Waylet pago en surtidor, Waylet pago en caja, Punto recarga eléctrico Repsol, Lavados Klin</t>
  </si>
  <si>
    <t>92567</t>
  </si>
  <si>
    <t>0183100940</t>
  </si>
  <si>
    <t>JACINTO NIETO E HIJOS,S.L.</t>
  </si>
  <si>
    <t>DELEITOSA</t>
  </si>
  <si>
    <t>CR A-5, 219</t>
  </si>
  <si>
    <t>-5.719917, 39.687861</t>
  </si>
  <si>
    <t>10370</t>
  </si>
  <si>
    <t>Restaurante, Cafetería/Bar, Lavado camiones, Parking turismos, Parking camiones, Zona de descanso, Box presión, Duchas, Aspiradores, Waylet pago en caja</t>
  </si>
  <si>
    <t>96622</t>
  </si>
  <si>
    <t>0183110196</t>
  </si>
  <si>
    <t>CRED PINTO IZQ</t>
  </si>
  <si>
    <t>CR A-4  P.K. 20,20 I</t>
  </si>
  <si>
    <t>-3.689667, 40.246472</t>
  </si>
  <si>
    <t>EFITEC 95 N - España, DIESEL E+ NEO - España, DIESEL NEXA 100% RENOVABLE - Esp, Propano 11 Kg, BLUE+GRANEL - España, Butano 12 Kg (NEL)</t>
  </si>
  <si>
    <t>Rest. Autoservicio, Cafetería/Bar, Waylet pago en surtidor, Waylet pago en caja, Adblue Envasado, Punto recarga eléctrico Repsol</t>
  </si>
  <si>
    <t>11710</t>
  </si>
  <si>
    <t>0183055888</t>
  </si>
  <si>
    <t>E.S.EL SALTAOR S.L.</t>
  </si>
  <si>
    <t>SALTAOR, EL</t>
  </si>
  <si>
    <t>CR N-332, 16,2</t>
  </si>
  <si>
    <t>-1.456361, 37.5445</t>
  </si>
  <si>
    <t>Lavado cepillos, Lavado camiones, Box presión, Aspiradores, Solred cheque lavado, Waylet pago en caja</t>
  </si>
  <si>
    <t>96378</t>
  </si>
  <si>
    <t>0183118140</t>
  </si>
  <si>
    <t>CRED ALBACETE</t>
  </si>
  <si>
    <t>CR A-31, P.K. 69</t>
  </si>
  <si>
    <t>-1.891361, 39.031528</t>
  </si>
  <si>
    <t>02006</t>
  </si>
  <si>
    <t>Restaurante, Cafetería/Bar, Parking turismos, Parking camiones, Waylet pago en surtidor, Waylet pago en caja, Punto recarga eléctrico Repsol, Recarga eléctrica</t>
  </si>
  <si>
    <t>03682</t>
  </si>
  <si>
    <t>0183057405</t>
  </si>
  <si>
    <t>CRED VALLIRANA</t>
  </si>
  <si>
    <t>VALLIRANA</t>
  </si>
  <si>
    <t>CL MAYOR, 610</t>
  </si>
  <si>
    <t>1.927528, 41.38275</t>
  </si>
  <si>
    <t>08759</t>
  </si>
  <si>
    <t>Cafetería/Bar, Lavado cepillos, Parking turismos, Aspiradores, Solred cheque lavado, Waylet pago en surtidor, Waylet pago en caja, Lavados Klin</t>
  </si>
  <si>
    <t>04411</t>
  </si>
  <si>
    <t>0183009240</t>
  </si>
  <si>
    <t>CRED AVDA ASTURIAS</t>
  </si>
  <si>
    <t>CR C-615, 2,3</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</si>
  <si>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</si>
  <si>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</si>
  <si>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</si>
  <si>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</si>
  <si>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33854</t>
  </si>
  <si>
    <t>0183008796</t>
  </si>
  <si>
    <t>CRED MIÑO</t>
  </si>
  <si>
    <t>CR N-651, 9,5</t>
  </si>
  <si>
    <t>-8.203694, 43.341389</t>
  </si>
  <si>
    <t>EFITEC 95 N - España, EFITEC 98 N - España, DIESEL E+ NEO - España, Diésel e+5, DIESEL NEXA 100% RENOVABLE - Esp, Butano 6 Kg (K6), BLUE+GRANEL - España, Butano 12 Kg (NEL)</t>
  </si>
  <si>
    <t>96850</t>
  </si>
  <si>
    <t>0183120161</t>
  </si>
  <si>
    <t>CRED PAU CARABANCHEL</t>
  </si>
  <si>
    <t>AVDA. DE LA PESETA, 6</t>
  </si>
  <si>
    <t>-3.765972, 40.368611</t>
  </si>
  <si>
    <t>28054</t>
  </si>
  <si>
    <t>07535</t>
  </si>
  <si>
    <t>0183054857</t>
  </si>
  <si>
    <t>CRED EL DESVÍO</t>
  </si>
  <si>
    <t>CR CV-8500 ,P.K. 3,6</t>
  </si>
  <si>
    <t>-0.698306, 38.251028</t>
  </si>
  <si>
    <t>03290</t>
  </si>
  <si>
    <t>L-J: 00:00-02:00 y 06:00-23:59; V-S: 00:00-23:59; D: 00:00-02:00 y 06:00-23:59</t>
  </si>
  <si>
    <t>02879</t>
  </si>
  <si>
    <t>0183060912</t>
  </si>
  <si>
    <t>CRED LAS ROZAS</t>
  </si>
  <si>
    <t>ROZAS, LAS</t>
  </si>
  <si>
    <t>CR A-6, 20,3</t>
  </si>
  <si>
    <t>-3.876889, 40.507556</t>
  </si>
  <si>
    <t>28230</t>
  </si>
  <si>
    <t>96709</t>
  </si>
  <si>
    <t>0183115807</t>
  </si>
  <si>
    <t>CRED LEGASA IZQ</t>
  </si>
  <si>
    <t>CR  N-121A , P.K. 44,5 M.I.</t>
  </si>
  <si>
    <t>-1.631611, 43.129972</t>
  </si>
  <si>
    <t>96380</t>
  </si>
  <si>
    <t>0183106186</t>
  </si>
  <si>
    <t>CRED GUADALAJARA</t>
  </si>
  <si>
    <t>CL JULIAN BESTEIRO ,25</t>
  </si>
  <si>
    <t>-3.184639, 40.633361</t>
  </si>
  <si>
    <t>19004</t>
  </si>
  <si>
    <t>Cafetería/Bar, Lavado cepillos, Parking turismos, Aspiradores, Solred cheque lavado, Lavandería, Waylet pago en surtidor, Waylet pago en caja, Adblue Envasado, Punto recarga eléctrico Repsol, Lavados Klin</t>
  </si>
  <si>
    <t>04968</t>
  </si>
  <si>
    <t>0183058908</t>
  </si>
  <si>
    <t>CRED PONTEAREAS</t>
  </si>
  <si>
    <t>CR N-120   (LUGAR LAMAZANES), 643,5</t>
  </si>
  <si>
    <t>-8.496028, 42.175472</t>
  </si>
  <si>
    <t>33427</t>
  </si>
  <si>
    <t>0183050657</t>
  </si>
  <si>
    <t>CRED IGAY M.D.</t>
  </si>
  <si>
    <t>AU AP-68, 63  D</t>
  </si>
  <si>
    <t>-2.913306, 42.743111</t>
  </si>
  <si>
    <t>10453</t>
  </si>
  <si>
    <t>0063193486</t>
  </si>
  <si>
    <t>CRED RIU EBRE</t>
  </si>
  <si>
    <t>AMPOSTA</t>
  </si>
  <si>
    <t>CR TV-3405, 0,5</t>
  </si>
  <si>
    <t>0.591778, 40.706139</t>
  </si>
  <si>
    <t>43870</t>
  </si>
  <si>
    <t>EFITEC 95 N - España, EFITEC 98 N - España, DIESEL E+ NEO - España, DIESEL NEXA 100% RENOVABLE - Esp, GO-B BONIF - España, BLUE+GRANEL - España, Autogás, Butano 12 Kg (NEL)</t>
  </si>
  <si>
    <t>12705</t>
  </si>
  <si>
    <t>0183059351</t>
  </si>
  <si>
    <t>CRED SAN MAMES DE MERUELO</t>
  </si>
  <si>
    <t>SAN MAMES DE MERUELO</t>
  </si>
  <si>
    <t>CR CA-147, 4,7</t>
  </si>
  <si>
    <t>-3.562611, 43.447306</t>
  </si>
  <si>
    <t>39192</t>
  </si>
  <si>
    <t>Lavado cepillos, Parking turismos, Box presión, Aspiradores, Waylet pago en surtidor, Waylet pago en caja, Punto recarga eléctrico Repsol, Lavados Klin, Recarga eléctrica</t>
  </si>
  <si>
    <t>15737</t>
  </si>
  <si>
    <t>0008022220</t>
  </si>
  <si>
    <t>CRED LA CLARIANA</t>
  </si>
  <si>
    <t>MAÇANET DE LA SELVA</t>
  </si>
  <si>
    <t>AU AP-7, 86</t>
  </si>
  <si>
    <t>2.739972, 41.772833</t>
  </si>
  <si>
    <t>17412</t>
  </si>
  <si>
    <t>31682</t>
  </si>
  <si>
    <t>0183124601</t>
  </si>
  <si>
    <t>E.S. BRIKAMA</t>
  </si>
  <si>
    <t>CTRA MADRID-LISBOA KM 401,9</t>
  </si>
  <si>
    <t>-6.945861, 38.877889</t>
  </si>
  <si>
    <t>06009</t>
  </si>
  <si>
    <t>Lavado cepillos, Lavado camiones, Box presión, Aspiradores, Waylet pago en caja</t>
  </si>
  <si>
    <t>37584</t>
  </si>
  <si>
    <t>0183135086</t>
  </si>
  <si>
    <t>CRED LIAÑO</t>
  </si>
  <si>
    <t>LIAÑO</t>
  </si>
  <si>
    <t>BARRIO SANTA BARBARA 25</t>
  </si>
  <si>
    <t>-3.858528, 43.383167</t>
  </si>
  <si>
    <t>39692</t>
  </si>
  <si>
    <t>Lavado camiones, Box presión, Aspiradores, Waylet pago en surtidor, Waylet pago en caja, Adblue Envasado, Punto recarga eléctrico Repsol, Lavados Klin</t>
  </si>
  <si>
    <t>95355</t>
  </si>
  <si>
    <t>0183130699</t>
  </si>
  <si>
    <t>CRED AVDA DE OPORTO</t>
  </si>
  <si>
    <t>GLORIETA VALLE DE ORO, 10</t>
  </si>
  <si>
    <t>-3.730722, 40.387861</t>
  </si>
  <si>
    <t>33234</t>
  </si>
  <si>
    <t>0042196287</t>
  </si>
  <si>
    <t>CRED FUENCARRAL</t>
  </si>
  <si>
    <t>CL NUESTRA SEÑORA DE VALVERDE, 175</t>
  </si>
  <si>
    <t>-3.685333, 40.503444</t>
  </si>
  <si>
    <t>28034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</si>
  <si>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</si>
  <si>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</si>
  <si>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31085</t>
  </si>
  <si>
    <t>0183133826</t>
  </si>
  <si>
    <t>ES EDIFICACIONES Y ALQUILERES DORAD</t>
  </si>
  <si>
    <t>CL TORRES JORDI ESQ. PERE MARTELL</t>
  </si>
  <si>
    <t>1.238611, 41.112694</t>
  </si>
  <si>
    <t>43005</t>
  </si>
  <si>
    <t>Cafetería/Bar, Lavado cepillos, Box presión, Aspiradores, Waylet pago en caja</t>
  </si>
  <si>
    <t>96345</t>
  </si>
  <si>
    <t>0183101849</t>
  </si>
  <si>
    <t>CRED ALT MARBELLA II</t>
  </si>
  <si>
    <t>MARBELLA</t>
  </si>
  <si>
    <t>AUTOPISTA A-7, KM 190  DE</t>
  </si>
  <si>
    <t>-4.830889, 36.517694</t>
  </si>
  <si>
    <t>29600</t>
  </si>
  <si>
    <t>15113</t>
  </si>
  <si>
    <t>0183018381</t>
  </si>
  <si>
    <t>CRED SAN ANDRES</t>
  </si>
  <si>
    <t>SAN ANDRES DE COMESA</t>
  </si>
  <si>
    <t>CL SAN ANDRES DE COMESAÑA, 16</t>
  </si>
  <si>
    <t>-8.754778, 42.202528</t>
  </si>
  <si>
    <t>36213</t>
  </si>
  <si>
    <t>31667</t>
  </si>
  <si>
    <t>0183134667</t>
  </si>
  <si>
    <t>CRED AREA PENEDES NORTE</t>
  </si>
  <si>
    <t>L´ARBOC DEL PENEDES</t>
  </si>
  <si>
    <t>AU AP-7 P.K. 208 (L'ARBOÇ DEL PENED</t>
  </si>
  <si>
    <t>1.593528, 41.288972</t>
  </si>
  <si>
    <t>43715</t>
  </si>
  <si>
    <t>Parking turismos, Parking camiones, Zona de descanso, Duchas, Waylet pago en surtidor, Waylet pago en caja</t>
  </si>
  <si>
    <t>07481</t>
  </si>
  <si>
    <t>0183002526</t>
  </si>
  <si>
    <t>CRED OLIAS DEL REY M.I.</t>
  </si>
  <si>
    <t>OLIAS DEL REY</t>
  </si>
  <si>
    <t>CR A-42, 63,30 I</t>
  </si>
  <si>
    <t>-4.008111, 39.913611</t>
  </si>
  <si>
    <t>45280</t>
  </si>
  <si>
    <t>04386</t>
  </si>
  <si>
    <t>0183135755</t>
  </si>
  <si>
    <t>CRED MELIDE</t>
  </si>
  <si>
    <t>MELLIDE</t>
  </si>
  <si>
    <t>Avda. de Lugo, 94-96</t>
  </si>
  <si>
    <t>-8.006167, 42.912222</t>
  </si>
  <si>
    <t>15800</t>
  </si>
  <si>
    <t>Lavado cepillos, Box presión, Aspiradores, Waylet pago en surtidor, Waylet pago en caja</t>
  </si>
  <si>
    <t>15698</t>
  </si>
  <si>
    <t>0183101047</t>
  </si>
  <si>
    <t>CRED ALCALÁ PUEBLO</t>
  </si>
  <si>
    <t>CR C-432 LLERENA-UTRERA, 156</t>
  </si>
  <si>
    <t>-5.853056, 37.326556</t>
  </si>
  <si>
    <t>EFITEC 95 N - España, EFITEC 98 N - España, Butano 12,5 Kg, DIESEL E+ NEO - España, DIESEL E+10 NEO - España, Butano 6 Kg (K6), BLUE+GRANEL - España, Butano 12 Kg (NEL)</t>
  </si>
  <si>
    <t>31529</t>
  </si>
  <si>
    <t>0183016336</t>
  </si>
  <si>
    <t>CRED BASAURI</t>
  </si>
  <si>
    <t>BASAURI</t>
  </si>
  <si>
    <t>CL GOIRI, S.N.</t>
  </si>
  <si>
    <t>-2.889111, 43.226306</t>
  </si>
  <si>
    <t>48970</t>
  </si>
  <si>
    <t>96296</t>
  </si>
  <si>
    <t>0183100726</t>
  </si>
  <si>
    <t>AREA SERVICIO TERMINO, S.L.</t>
  </si>
  <si>
    <t>HOZNAYO</t>
  </si>
  <si>
    <t>CR N-634, 196</t>
  </si>
  <si>
    <t>-3.687083, 43.388583</t>
  </si>
  <si>
    <t>39716</t>
  </si>
  <si>
    <t>05456</t>
  </si>
  <si>
    <t>0183017441</t>
  </si>
  <si>
    <t>CRED MONFORTE</t>
  </si>
  <si>
    <t>MONFORTE DE LEMOS</t>
  </si>
  <si>
    <t>CL DOCTOR CASARES, S.N.</t>
  </si>
  <si>
    <t>-7.507361, 42.529</t>
  </si>
  <si>
    <t>27400</t>
  </si>
  <si>
    <t>92028</t>
  </si>
  <si>
    <t>0183134659</t>
  </si>
  <si>
    <t>CRED CAN PALET</t>
  </si>
  <si>
    <t>TERRASSA</t>
  </si>
  <si>
    <t>CALLE COLON Nº 351</t>
  </si>
  <si>
    <t>2.0265, 41.551722</t>
  </si>
  <si>
    <t>08223</t>
  </si>
  <si>
    <t>EFITEC 95 N - España, EFITEC 98 N - España, Butano 12,5 Kg, DIESEL E+ NEO - España, Diésel e+5, DIESEL NEXA 100% RENOVABLE - Esp, Butano 6 Kg (K6), BLUE+GRANEL - España</t>
  </si>
  <si>
    <t>34152</t>
  </si>
  <si>
    <t>0183003961</t>
  </si>
  <si>
    <t>CRED CUELLAR</t>
  </si>
  <si>
    <t>CUELLAR</t>
  </si>
  <si>
    <t>CR CL-601, 51,1</t>
  </si>
  <si>
    <t>-4.305333, 41.394417</t>
  </si>
  <si>
    <t>40200</t>
  </si>
  <si>
    <t>97132</t>
  </si>
  <si>
    <t>0183132760</t>
  </si>
  <si>
    <t>ECOGASER SADAR SL</t>
  </si>
  <si>
    <t>PAMPLONA</t>
  </si>
  <si>
    <t>C/MARI ABREGO, 5</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</si>
  <si>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</si>
  <si>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</si>
  <si>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</si>
  <si>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</si>
  <si>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34433</t>
  </si>
  <si>
    <t>0063212534</t>
  </si>
  <si>
    <t>CRED CALELLA</t>
  </si>
  <si>
    <t>CALELLA</t>
  </si>
  <si>
    <t>CR N-2, 667</t>
  </si>
  <si>
    <t>2.651694, 41.612722</t>
  </si>
  <si>
    <t>08370</t>
  </si>
  <si>
    <t>Lavado cepillos, Aspiradores, Solred cheque lavado, Lavandería, Waylet pago en surtidor, Waylet pago en caja, Adblue Envasado, Punto recarga eléctrico Repsol</t>
  </si>
  <si>
    <t>96346</t>
  </si>
  <si>
    <t>0183101856</t>
  </si>
  <si>
    <t>CRED ALT MARBELLA I</t>
  </si>
  <si>
    <t>AUTOPISTA A-7, 190 IZ</t>
  </si>
  <si>
    <t>-4.830278, 36.519417</t>
  </si>
  <si>
    <t>92270</t>
  </si>
  <si>
    <t>0183119296</t>
  </si>
  <si>
    <t>CRED AIELO</t>
  </si>
  <si>
    <t>L'OLLERÍA</t>
  </si>
  <si>
    <t>CR CV-40 P.K. 14</t>
  </si>
  <si>
    <t>-0.576583, 38.88525</t>
  </si>
  <si>
    <t>46850</t>
  </si>
  <si>
    <t>Cafetería/Bar, Lavado cepillos, Parking turismos, Parking camiones, Zona de descanso, Box presión, Aspiradores, Solred cheque lavado, Waylet pago en surtidor, Waylet pago en caja, Adblue Envasado</t>
  </si>
  <si>
    <t>97019</t>
  </si>
  <si>
    <t>0183130616</t>
  </si>
  <si>
    <t>CRED PALAMÓS</t>
  </si>
  <si>
    <t>PALAMOS</t>
  </si>
  <si>
    <t>MI C-31 pk 326,9 (enlace Vall Llreg</t>
  </si>
  <si>
    <t>3.137972, 41.872306</t>
  </si>
  <si>
    <t>17230</t>
  </si>
  <si>
    <t>07335</t>
  </si>
  <si>
    <t>0043107184</t>
  </si>
  <si>
    <t>CRED VENTA DE BAÑOS</t>
  </si>
  <si>
    <t>VENTA DE BAÑOS</t>
  </si>
  <si>
    <t>CL CRTA. DE BURGOS, 19</t>
  </si>
  <si>
    <t>-4.48975, 41.926722</t>
  </si>
  <si>
    <t>34200</t>
  </si>
  <si>
    <t>Restaurante, Cafetería/Bar, Lavado cepillos, Parking turismos, Zona de descanso, Box presión, Aspiradores, Solred cheque lavado, Waylet pago en surtidor, Waylet pago en caja, Adblue Envasado, Lavados Klin</t>
  </si>
  <si>
    <t>31154</t>
  </si>
  <si>
    <t>0183017151</t>
  </si>
  <si>
    <t>E.S. GONZALEZ Y MERA</t>
  </si>
  <si>
    <t>PARAÑOS</t>
  </si>
  <si>
    <t>CR N-120  KM 632</t>
  </si>
  <si>
    <t>-8.392167, 42.203444</t>
  </si>
  <si>
    <t>36877</t>
  </si>
  <si>
    <t>L-D: 07:30-21:30</t>
  </si>
  <si>
    <t>EFITEC 95 N - España, EFITEC 98 N - España, Butano 12,5 Kg, DIESEL E+ NEO - España, Propano 11 Kg</t>
  </si>
  <si>
    <t>Parking turismos, Parking camiones, Zona de descanso, Box presión, Aspiradores, Waylet pago en caja</t>
  </si>
  <si>
    <t>96805</t>
  </si>
  <si>
    <t>0183116664</t>
  </si>
  <si>
    <t>CRED BARRIO CAULINA</t>
  </si>
  <si>
    <t>CL BARRIO CAULINA -(CRTA ACCESO N-4</t>
  </si>
  <si>
    <t>-6.092056, 36.701556</t>
  </si>
  <si>
    <t>06347</t>
  </si>
  <si>
    <t>0183055144</t>
  </si>
  <si>
    <t>CRED TARIFA</t>
  </si>
  <si>
    <t>TARIFA</t>
  </si>
  <si>
    <t>C/ BATALLA DEL SALADO, 63C</t>
  </si>
  <si>
    <t>-5.608944, 36.01875</t>
  </si>
  <si>
    <t>11380</t>
  </si>
  <si>
    <t>L-S: 07:00-15:00</t>
  </si>
  <si>
    <t>11302</t>
  </si>
  <si>
    <t>0183054709</t>
  </si>
  <si>
    <t>CRED CASTEJON</t>
  </si>
  <si>
    <t>CASTEJON</t>
  </si>
  <si>
    <t>CR N-232 82</t>
  </si>
  <si>
    <t>-1.699944, 42.136917</t>
  </si>
  <si>
    <t>31590</t>
  </si>
  <si>
    <t>Duchas, Waylet pago en surtidor, Waylet pago en caja, Punto recarga eléctrico Repsol</t>
  </si>
  <si>
    <t>96062</t>
  </si>
  <si>
    <t>0183078351</t>
  </si>
  <si>
    <t>CRED TRINIDAD</t>
  </si>
  <si>
    <t>PS SANTA COLOMA(E.S.TRINIDAD) 71-73</t>
  </si>
  <si>
    <t>2.195083, 41.44725</t>
  </si>
  <si>
    <t>08030</t>
  </si>
  <si>
    <t>EFITEC 95 N - España, Gasolina 95 Nexa origen 100 % renovable, EFITEC 98 N - España, Butano 12,5 Kg, DIESEL E+ NEO - España, DIESEL NEXA 100% RENOVABLE - Esp, Butano 6 Kg (K6), BLUE+GRANEL - España, Autogás</t>
  </si>
  <si>
    <t>33035</t>
  </si>
  <si>
    <t>0063167951</t>
  </si>
  <si>
    <t>CRED ZAFRA C.</t>
  </si>
  <si>
    <t>CR N-432, P.K. 72</t>
  </si>
  <si>
    <t>-6.416917, 38.430583</t>
  </si>
  <si>
    <t>34511</t>
  </si>
  <si>
    <t>0183062199</t>
  </si>
  <si>
    <t>CRED BUENOS AIRES</t>
  </si>
  <si>
    <t>CR N-630, 338</t>
  </si>
  <si>
    <t>-5.706917, 40.955333</t>
  </si>
  <si>
    <t>31391</t>
  </si>
  <si>
    <t>0183058510</t>
  </si>
  <si>
    <t>CRED VICALVARO</t>
  </si>
  <si>
    <t>CR M-214, 4,6</t>
  </si>
  <si>
    <t>-3.590083, 40.398583</t>
  </si>
  <si>
    <t>28052</t>
  </si>
  <si>
    <t>15215</t>
  </si>
  <si>
    <t>0183055920</t>
  </si>
  <si>
    <t>CRED DENIA</t>
  </si>
  <si>
    <t>DENIA</t>
  </si>
  <si>
    <t>CL AVENIDA VALENCIA, 44</t>
  </si>
  <si>
    <t>0.098194, 38.839583</t>
  </si>
  <si>
    <t>03700</t>
  </si>
  <si>
    <t>Cafetería/Bar, Lavado cepillos, Box presión, Aspiradores, Lavandería, Waylet pago en surtidor, Waylet pago en caja, Adblue Envasado, Punto recarga eléctrico Repsol, Lavados Klin</t>
  </si>
  <si>
    <t>05439</t>
  </si>
  <si>
    <t>0183052364</t>
  </si>
  <si>
    <t>LUB.FLORES GARCIA,SL</t>
  </si>
  <si>
    <t>ALCARAZ</t>
  </si>
  <si>
    <t>CR N-322, 276,5</t>
  </si>
  <si>
    <t>-2.492222, 38.673111</t>
  </si>
  <si>
    <t>02300</t>
  </si>
  <si>
    <t>Restaurante, Cafetería/Bar, Taller mecánico, Taller neumáticos, Taller eléctrico, Parking turismos, Parking camiones, Zona de descanso, Box presión, Aspiradores, Waylet pago en caja, Adblue Envasado</t>
  </si>
  <si>
    <t>11963</t>
  </si>
  <si>
    <t>0183055482</t>
  </si>
  <si>
    <t>E.S. GALURESA TAMBRE</t>
  </si>
  <si>
    <t>TAMBRE - E.S.</t>
  </si>
  <si>
    <t>CL VIA EDISON. POL. DEL TAMBRE,</t>
  </si>
  <si>
    <t>-8.513639, 42.911667</t>
  </si>
  <si>
    <t>15890</t>
  </si>
  <si>
    <t>15195</t>
  </si>
  <si>
    <t>0183014331</t>
  </si>
  <si>
    <t>CRED VIRGEN MONTSERRAT</t>
  </si>
  <si>
    <t>CL AVENIDA VIRGEN DE MONTSERRAT, 87</t>
  </si>
  <si>
    <t>2.167, 41.415583</t>
  </si>
  <si>
    <t>97004</t>
  </si>
  <si>
    <t>0183125194</t>
  </si>
  <si>
    <t>CRED ALPICAT</t>
  </si>
  <si>
    <t>ALPICAT</t>
  </si>
  <si>
    <t>A-22 rotonda con A-2 M.I.</t>
  </si>
  <si>
    <t>0.566444, 41.645917</t>
  </si>
  <si>
    <t>25110</t>
  </si>
  <si>
    <t>EFITEC 95 N - España, EFITEC 98 N - España, DIESEL E+ NEO - España, Diésel e+5, DIESEL E+10 NEO - España, Butano 6 Kg (K6), BLUE+GRANEL - España, Butano 12 Kg (NEL)</t>
  </si>
  <si>
    <t>06014</t>
  </si>
  <si>
    <t>0183075902</t>
  </si>
  <si>
    <t>ES MOHAMED ER ROUAHE</t>
  </si>
  <si>
    <t>BARRUECOPARDO</t>
  </si>
  <si>
    <t>CR L-105, P.K. 23</t>
  </si>
  <si>
    <t>-6.660972, 41.071278</t>
  </si>
  <si>
    <t>37255</t>
  </si>
  <si>
    <t>L: 09:00-14:00 y 15:00-20:00</t>
  </si>
  <si>
    <t>EFITEC 95 N - España, Butano 12,5 Kg, DIESEL E+ NEO - España, Propano 11 Kg, Butano 12 Kg (NEL)</t>
  </si>
  <si>
    <t>96265</t>
  </si>
  <si>
    <t>0183102953</t>
  </si>
  <si>
    <t>CRED ETXARREN</t>
  </si>
  <si>
    <t>ECHARREN-ARAQUIL</t>
  </si>
  <si>
    <t>CR A-10    AUTOVIA DE LA BARRANCA</t>
  </si>
  <si>
    <t>-1.863028, 42.9125</t>
  </si>
  <si>
    <t>31868</t>
  </si>
  <si>
    <t>03968</t>
  </si>
  <si>
    <t>0183010990</t>
  </si>
  <si>
    <t>CRED LA ZORRILLA</t>
  </si>
  <si>
    <t>CR N-301, 244</t>
  </si>
  <si>
    <t>-1.892972, 39.027778</t>
  </si>
  <si>
    <t>Restaurante, Cafetería/Bar, Parking turismos, Zona de descanso, Waylet pago en surtidor, Waylet pago en caja</t>
  </si>
  <si>
    <t>10140</t>
  </si>
  <si>
    <t>0183054550</t>
  </si>
  <si>
    <t>CRED PALOMARES</t>
  </si>
  <si>
    <t>PALOMARES</t>
  </si>
  <si>
    <t>CR ALP-118, 58,4</t>
  </si>
  <si>
    <t>-1.79825, 37.234389</t>
  </si>
  <si>
    <t>04618</t>
  </si>
  <si>
    <t>EFITEC 95 N - España, Efitec 95 Premium, EFITEC 98 N - España, DIESEL E+ NEO - España, Diésel e+5, DIESEL NEXA 100% RENOVABLE - Esp, GO-B BONIF - España, Butano 6 Kg (K6), Butano 12 Kg (NEL)</t>
  </si>
  <si>
    <t>07047</t>
  </si>
  <si>
    <t>0183062041</t>
  </si>
  <si>
    <t>E.S. EMILIO ESTEBAN SLU</t>
  </si>
  <si>
    <t>RENEDO DE ESGUEVA</t>
  </si>
  <si>
    <t>CR VALLADOLID - RENEDO</t>
  </si>
  <si>
    <t>-4.640111, 41.658278</t>
  </si>
  <si>
    <t>47170</t>
  </si>
  <si>
    <t>Parking turismos, Box presión, Aspiradores, Waylet pago en caja, Adblue Envasado</t>
  </si>
  <si>
    <t>15377</t>
  </si>
  <si>
    <t>0183076249</t>
  </si>
  <si>
    <t>CRED LOS ANGELES</t>
  </si>
  <si>
    <t>AV NOVELDA 179</t>
  </si>
  <si>
    <t>-0.4975, 38.370222</t>
  </si>
  <si>
    <t>Cafetería/Bar, Lavado cepillos, Parking turismos, Aspiradores, Solred cheque lavado, Waylet pago en surtidor, Waylet pago en caja, Punto recarga eléctrico Repsol, Lavados Klin</t>
  </si>
  <si>
    <t>96906</t>
  </si>
  <si>
    <t>0183124304</t>
  </si>
  <si>
    <t>CRED ARRASATE MONDRAGON</t>
  </si>
  <si>
    <t>AP-1 P.K. 129 MD</t>
  </si>
  <si>
    <t>-2.476111, 43.063333</t>
  </si>
  <si>
    <t>12621</t>
  </si>
  <si>
    <t>0183060102</t>
  </si>
  <si>
    <t>CRED GRANDA-GIJON</t>
  </si>
  <si>
    <t>GRANDA-GIJON</t>
  </si>
  <si>
    <t>CR AS-248 - 1.440</t>
  </si>
  <si>
    <t>-5.658528, 43.50775</t>
  </si>
  <si>
    <t>33391</t>
  </si>
  <si>
    <t>Lavado cepillos, Parking turismos, Parking camiones, Zona de descanso, Aspiradores, Solred cheque lavado, Waylet pago en surtidor, Waylet pago en caja, Lavados Klin</t>
  </si>
  <si>
    <t>34163</t>
  </si>
  <si>
    <t>0183052679</t>
  </si>
  <si>
    <t>CRED RIOS ROSAS</t>
  </si>
  <si>
    <t>CL RIOS ROSAS 1</t>
  </si>
  <si>
    <t>-3.703778, 40.442306</t>
  </si>
  <si>
    <t>Cafetería/Bar, Lavado cepillos, Solred cheque lavado, Waylet pago en surtidor, Waylet pago en caja, Adblue Envasado</t>
  </si>
  <si>
    <t>05566</t>
  </si>
  <si>
    <t>0183016799</t>
  </si>
  <si>
    <t>CRED SANTANYÍ</t>
  </si>
  <si>
    <t>SANTANYI</t>
  </si>
  <si>
    <t>CR C-717, 49,7</t>
  </si>
  <si>
    <t>3.024111, 39.426417</t>
  </si>
  <si>
    <t>07650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</si>
  <si>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</si>
  <si>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</si>
  <si>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33095</t>
  </si>
  <si>
    <t>0183017383</t>
  </si>
  <si>
    <t>CRED ESPINARDO</t>
  </si>
  <si>
    <t>CR N-301  DESVIO ESPINARDO, P.K.389</t>
  </si>
  <si>
    <t>-1.144694, 38.000333</t>
  </si>
  <si>
    <t>34604</t>
  </si>
  <si>
    <t>0183053552</t>
  </si>
  <si>
    <t>CRED GANDIA PUERTO</t>
  </si>
  <si>
    <t>GANDIA-PUERTO</t>
  </si>
  <si>
    <t>CR VP-1056, 7</t>
  </si>
  <si>
    <t>-0.166778, 38.995833</t>
  </si>
  <si>
    <t>46730</t>
  </si>
  <si>
    <t>96720</t>
  </si>
  <si>
    <t>0183117266</t>
  </si>
  <si>
    <t>CRED PINO DE XANDRI</t>
  </si>
  <si>
    <t>CL CERDANYA Y LA RONDA NORTE ,S.N.</t>
  </si>
  <si>
    <t>2.068361, 41.479694</t>
  </si>
  <si>
    <t>96322</t>
  </si>
  <si>
    <t>0183103373</t>
  </si>
  <si>
    <t>CRED A. DE LA MIEL M.I.</t>
  </si>
  <si>
    <t xml:space="preserve"> MALAGA</t>
  </si>
  <si>
    <t>AUTOVIA A-7, KM 1002,</t>
  </si>
  <si>
    <t>-4.52725, 36.613611</t>
  </si>
  <si>
    <t>29631</t>
  </si>
  <si>
    <t>EFITEC 95 N - España, EFITEC 98 N - España, DIESEL E+ NEO - España, DIESEL NEXA 100% RENOVABLE - Esp, Butano 6 Kg (K6), BLUE+GRANEL - España</t>
  </si>
  <si>
    <t>11809</t>
  </si>
  <si>
    <t>0183055961</t>
  </si>
  <si>
    <t>CRED LA GINETA AUTOVIA</t>
  </si>
  <si>
    <t>GINETA, LA</t>
  </si>
  <si>
    <t>CR A-31, 235</t>
  </si>
  <si>
    <t>-1.963944, 39.086278</t>
  </si>
  <si>
    <t>02110</t>
  </si>
  <si>
    <t>33685</t>
  </si>
  <si>
    <t>0183050905</t>
  </si>
  <si>
    <t>CRED JAIME I BURRIAN</t>
  </si>
  <si>
    <t>BURRIANA</t>
  </si>
  <si>
    <t>CL AVENIDA JAIME CHICHARRO, 6</t>
  </si>
  <si>
    <t>-0.080611, 39.882778</t>
  </si>
  <si>
    <t>12530</t>
  </si>
  <si>
    <t>EFITEC 95 N - España, Efitec 95 Premium, EFITEC 98 N - España, DIESEL E+ NEO - España, Diésel e+5, DIESEL E+10 NEO - España, Butano 6 Kg (K6), Butano 12 Kg (NEL)</t>
  </si>
  <si>
    <t>96104</t>
  </si>
  <si>
    <t>0183079565</t>
  </si>
  <si>
    <t>CRED VÍA EUROPA</t>
  </si>
  <si>
    <t>CL VIA EUROPA (A-19), 220</t>
  </si>
  <si>
    <t>2.432306, 41.551167</t>
  </si>
  <si>
    <t>08304</t>
  </si>
  <si>
    <t>34050</t>
  </si>
  <si>
    <t>0183134378</t>
  </si>
  <si>
    <t>ES REPSOL SANTISTEBAN</t>
  </si>
  <si>
    <t>SANTISTEBAN DEL PUERTO</t>
  </si>
  <si>
    <t>CR C-3210 48,3</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</si>
  <si>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</si>
  <si>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</si>
  <si>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</si>
  <si>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</si>
  <si>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96735</t>
  </si>
  <si>
    <t>0183113760</t>
  </si>
  <si>
    <t>CRED VALDEMINGOMEZ M.I.</t>
  </si>
  <si>
    <t>CR  M-50 ,P.K. 34 M.I.</t>
  </si>
  <si>
    <t>-3.588028, 40.343944</t>
  </si>
  <si>
    <t>Parking turismos, Parking camiones, Zona de descanso, Box presión, Aspiradores, Waylet pago en surtidor, Waylet pago en caja, Punto recarga eléctrico Repsol</t>
  </si>
  <si>
    <t>12239</t>
  </si>
  <si>
    <t>0183062769</t>
  </si>
  <si>
    <t>CRED MATARÓ III</t>
  </si>
  <si>
    <t>PG MATA ROCAFONDA C/ENERGIA 2-4, S.</t>
  </si>
  <si>
    <t>2.451639, 41.5545</t>
  </si>
  <si>
    <t>EFITEC 95 N - España, Efitec 95 Premium, EFITEC 98 N - España, Butano 12,5 Kg, DIESEL E+ NEO - España, Diésel e+5, DIESEL NEXA 100% RENOVABLE - Esp, Butano 6 Kg (K6), BLUE+GRANEL - España</t>
  </si>
  <si>
    <t>Cafetería/Bar, Lavado cepillos, Parking turismos, Box presión, Solred cheque lavado, Waylet pago en surtidor, Waylet pago en caja, Punto recarga eléctrico Repsol, Lavados Klin</t>
  </si>
  <si>
    <t>33725</t>
  </si>
  <si>
    <t>0063208185</t>
  </si>
  <si>
    <t>CRED SANT PERE DE R.</t>
  </si>
  <si>
    <t>SANT PERE DE RIBES</t>
  </si>
  <si>
    <t>CR B-211, 8</t>
  </si>
  <si>
    <t>1.778861, 41.256</t>
  </si>
  <si>
    <t>08810</t>
  </si>
  <si>
    <t>96315</t>
  </si>
  <si>
    <t>0183102763</t>
  </si>
  <si>
    <t>CRED CIUDAD REAL</t>
  </si>
  <si>
    <t>PG P.I. LARACHE,PARC.93, S.N.</t>
  </si>
  <si>
    <t>-3.935972, 38.977778</t>
  </si>
  <si>
    <t>EFITEC 95 N - España, Efitec 95 Premium, EFITEC 98 N - España, Butano 12,5 Kg, DIESEL E+ NEO - España, Diésel e+5, DIESEL NEXA 100% RENOVABLE - Esp, Butano 6 Kg (K6), Propano 11 Kg, Butano 12 Kg (NEL)</t>
  </si>
  <si>
    <t>96311</t>
  </si>
  <si>
    <t>0183102441</t>
  </si>
  <si>
    <t>CRED FONOLLERAS</t>
  </si>
  <si>
    <t>FONOLLERES</t>
  </si>
  <si>
    <t>CR A-2 , 512</t>
  </si>
  <si>
    <t>1.198583, 41.661556</t>
  </si>
  <si>
    <t>25218</t>
  </si>
  <si>
    <t>Restaurante, Cafetería/Bar, Parking turismos, Parking camiones, Zona de descanso, Waylet pago en surtidor, Waylet pago en caja, Punto recarga eléctrico Repsol</t>
  </si>
  <si>
    <t>13040</t>
  </si>
  <si>
    <t>0183062496</t>
  </si>
  <si>
    <t>CRED JÁVEA</t>
  </si>
  <si>
    <t>CR CV-734 , P.K. 4,6</t>
  </si>
  <si>
    <t>0.119861, 38.776083</t>
  </si>
  <si>
    <t>12034</t>
  </si>
  <si>
    <t>0183111327</t>
  </si>
  <si>
    <t>CRED OLLER</t>
  </si>
  <si>
    <t>CL OLLER,1</t>
  </si>
  <si>
    <t>-0.456722, 39.515417</t>
  </si>
  <si>
    <t>L-S: 06:00-22:00; D: 07:30-22:00</t>
  </si>
  <si>
    <t>EFITEC 95 N - España, Gasolina 95 Nexa origen 100 % renovable, EFITEC 98 N - España, Butano 12,5 Kg, DIESEL E+ NEO - España, DIESEL E+10 NEO - España, Butano 6 Kg (K6), Propano 11 Kg, BLUE+GRANEL - España, Butano 12 Kg (NEL)</t>
  </si>
  <si>
    <t>Lavado cepillos, Lavado camiones, Box presión, Aspiradores, Solred cheque lavado, Waylet pago en surtidor, Waylet pago en caja, Adblue Envasado, Lavados Klin</t>
  </si>
  <si>
    <t>96086</t>
  </si>
  <si>
    <t>0183078773</t>
  </si>
  <si>
    <t>CRED CANOVELLES</t>
  </si>
  <si>
    <t>CANOVELLES</t>
  </si>
  <si>
    <t>CL INDUSTRIA, 104</t>
  </si>
  <si>
    <t>2.283167, 41.625972</t>
  </si>
  <si>
    <t>08420</t>
  </si>
  <si>
    <t>L-S: 06:00-22:00</t>
  </si>
  <si>
    <t>96024</t>
  </si>
  <si>
    <t>0183077718</t>
  </si>
  <si>
    <t>CRED QUINTANAPALLA 1</t>
  </si>
  <si>
    <t>AU AP-1  (DCHA), 12</t>
  </si>
  <si>
    <t>-3.549583, 42.404111</t>
  </si>
  <si>
    <t>EFITEC 95 N - España, Efitec 95 Premium, EFITEC 98 N - España, DIESEL E+ NEO - España, Diésel e+5, DIESEL E+10 NEO - España, BLUE+GRANEL - España, Autogás</t>
  </si>
  <si>
    <t>33797</t>
  </si>
  <si>
    <t>0183003292</t>
  </si>
  <si>
    <t>CRED SANTA POLA</t>
  </si>
  <si>
    <t>SANTA POLA</t>
  </si>
  <si>
    <t>CR N-332, 93,5</t>
  </si>
  <si>
    <t>-0.549972, 38.235389</t>
  </si>
  <si>
    <t>03130</t>
  </si>
  <si>
    <t>96282</t>
  </si>
  <si>
    <t>0183102003</t>
  </si>
  <si>
    <t>CRED SANTA AGNES</t>
  </si>
  <si>
    <t>CR C-60 KM. 8,7</t>
  </si>
  <si>
    <t>2.342889, 41.593472</t>
  </si>
  <si>
    <t>EFITEC 95 N - España, EFITEC 98 N - España, DIESEL E+ NEO - España, DIESEL NEXA 100% RENOVABLE - Esp, Butano 6 Kg (K6), Propano 11 Kg, BLUE+GRANEL - España</t>
  </si>
  <si>
    <t>97152</t>
  </si>
  <si>
    <t>0183135946</t>
  </si>
  <si>
    <t>CRED VALLE URBEL</t>
  </si>
  <si>
    <t>LAS QUINTANILLAS DE BURGOS</t>
  </si>
  <si>
    <t>A-231 PK 152</t>
  </si>
  <si>
    <t>-3.843667, 42.366583</t>
  </si>
  <si>
    <t>09131</t>
  </si>
  <si>
    <t>96181</t>
  </si>
  <si>
    <t>0183100817</t>
  </si>
  <si>
    <t>CRED BENAHAVIS</t>
  </si>
  <si>
    <t>CR N-340 169,1</t>
  </si>
  <si>
    <t>-5.010972, 36.473333</t>
  </si>
  <si>
    <t>96012</t>
  </si>
  <si>
    <t>0183077114</t>
  </si>
  <si>
    <t>CRED MARIA FORTUNY</t>
  </si>
  <si>
    <t>CL AVDA. MARIA FORTUNY, 57</t>
  </si>
  <si>
    <t>1.117167, 41.158528</t>
  </si>
  <si>
    <t>Cafetería/Bar, Lavado cepillos, Parking turismos, Solred cheque lavado, Waylet pago en surtidor, Waylet pago en caja, Adblue Envasado, Punto recarga eléctrico Repsol, Lavados Klin</t>
  </si>
  <si>
    <t>33196</t>
  </si>
  <si>
    <t>0007269616</t>
  </si>
  <si>
    <t>CRED GERONA II</t>
  </si>
  <si>
    <t>CL BARCELONA, 208</t>
  </si>
  <si>
    <t>2.811028, 41.962472</t>
  </si>
  <si>
    <t>17001</t>
  </si>
  <si>
    <t>EFITEC 95 N - España, Efitec 95 Premium, EFITEC 98 N - España, Butano 12,5 Kg, DIESEL E+ NEO - España, Diésel e+5, DIESEL E+10 NEO - España, Butano 6 Kg (K6), BLUE+GRANEL - España, Autogás, Butano 12 Kg (NEL)</t>
  </si>
  <si>
    <t>34911</t>
  </si>
  <si>
    <t>0183101286</t>
  </si>
  <si>
    <t>CRED EL ARENAL</t>
  </si>
  <si>
    <t>CR CV-739 ,P.K. 2,9</t>
  </si>
  <si>
    <t>0.186361, 38.770556</t>
  </si>
  <si>
    <t>97103</t>
  </si>
  <si>
    <t>0183131077</t>
  </si>
  <si>
    <t>ES ANCLA PINO MONTANO</t>
  </si>
  <si>
    <t>C/ INGENIERIA AN</t>
  </si>
  <si>
    <t>-5.967361, 37.431972</t>
  </si>
  <si>
    <t>41015</t>
  </si>
  <si>
    <t>34117</t>
  </si>
  <si>
    <t>0183011915</t>
  </si>
  <si>
    <t>CRED ONDARA</t>
  </si>
  <si>
    <t>ONDARA</t>
  </si>
  <si>
    <t>CR N-332, 198</t>
  </si>
  <si>
    <t>0.01475, 38.82825</t>
  </si>
  <si>
    <t>03760</t>
  </si>
  <si>
    <t>EFITEC 95 N - España, Efitec 95 Premium, EFITEC 98 N - España, Butano 12,5 Kg, DIESEL E+ NEO - España, DIESEL E+10 NEO - España, Butano 6 Kg (K6)</t>
  </si>
  <si>
    <t>Lavado cepillos, Solred cheque lavado, Waylet pago en surtidor, Waylet pago en caja, Adblue Envasado, Lavados Klin</t>
  </si>
  <si>
    <t>15482</t>
  </si>
  <si>
    <t>0183002138</t>
  </si>
  <si>
    <t>CRED EL CARRO</t>
  </si>
  <si>
    <t>VILLAMARCIEL</t>
  </si>
  <si>
    <t>CR A-62  P.K. 142,00 D</t>
  </si>
  <si>
    <t>-4.895778, 41.539972</t>
  </si>
  <si>
    <t>47132</t>
  </si>
  <si>
    <t>33055</t>
  </si>
  <si>
    <t>0183019322</t>
  </si>
  <si>
    <t>CRED LA JUNCAL</t>
  </si>
  <si>
    <t>CL AVDA. ALCALDE JUAN FERNANDEZ, 8</t>
  </si>
  <si>
    <t>-5.968806, 37.373389</t>
  </si>
  <si>
    <t>41005</t>
  </si>
  <si>
    <t>96336</t>
  </si>
  <si>
    <t>0183101914</t>
  </si>
  <si>
    <t>E.S. WAY ATALAYA,S.L.</t>
  </si>
  <si>
    <t>ATALAYA DEL CAÑAVATE</t>
  </si>
  <si>
    <t>CR CUV8306 (A-3  P.K. 177 MG.IZ.),</t>
  </si>
  <si>
    <t>-2.253889, 39.53775</t>
  </si>
  <si>
    <t>16710</t>
  </si>
  <si>
    <t>Rest. Autoservicio, Cafetería/Bar, Parking turismos, Parking camiones, Zona de descanso, Duchas, Waylet pago en caja, Recarga eléctrica</t>
  </si>
  <si>
    <t>96518</t>
  </si>
  <si>
    <t>0183111624</t>
  </si>
  <si>
    <t>CRED SON VALENTI</t>
  </si>
  <si>
    <t>CAMI DELS REIS, S.N.</t>
  </si>
  <si>
    <t>2.637917, 39.595861</t>
  </si>
  <si>
    <t>96262</t>
  </si>
  <si>
    <t>0183100551</t>
  </si>
  <si>
    <t>CRED LA JUNQUERA</t>
  </si>
  <si>
    <t>CR N-2, 772,5</t>
  </si>
  <si>
    <t>2.8805, 42.399056</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</si>
  <si>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</si>
  <si>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</si>
  <si>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15450</t>
  </si>
  <si>
    <t>0183012962</t>
  </si>
  <si>
    <t>CRED BOÑAR</t>
  </si>
  <si>
    <t>BOÑAR</t>
  </si>
  <si>
    <t>AVDA DE MADRID, 28</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</si>
  <si>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</si>
  <si>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</si>
  <si>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</si>
  <si>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</si>
  <si>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31426</t>
  </si>
  <si>
    <t>0183055243</t>
  </si>
  <si>
    <t>CRED MONCADA</t>
  </si>
  <si>
    <t>CR C-17 P.K.4,85</t>
  </si>
  <si>
    <t>2.185278, 41.491667</t>
  </si>
  <si>
    <t>33626</t>
  </si>
  <si>
    <t>0183017409</t>
  </si>
  <si>
    <t>CRED LINARES</t>
  </si>
  <si>
    <t>LINARES</t>
  </si>
  <si>
    <t>CL AVENIDA DE ESPAÑA, 3</t>
  </si>
  <si>
    <t>-3.626222, 38.090222</t>
  </si>
  <si>
    <t>23700</t>
  </si>
  <si>
    <t>EFITEC 95 N - España, EFITEC 98 N - España, Butano 12,5 Kg, DIESEL E+ NEO - España, DIESEL NEXA 100% RENOVABLE - Esp, Propano 11 Kg, Autogás</t>
  </si>
  <si>
    <t>Lavado cepillos, Box presión, Aspiradores, Solred cheque lavado, Lavandería, Waylet pago en surtidor, Waylet pago en caja, Punto recarga eléctrico Repsol, Lavados Klin</t>
  </si>
  <si>
    <t>96594</t>
  </si>
  <si>
    <t>0183108174</t>
  </si>
  <si>
    <t>CRED LOIU</t>
  </si>
  <si>
    <t>CR BI-3704, 57</t>
  </si>
  <si>
    <t>-2.943556, 43.307861</t>
  </si>
  <si>
    <t>07490</t>
  </si>
  <si>
    <t>0183124783</t>
  </si>
  <si>
    <t>CRED LA LUZ</t>
  </si>
  <si>
    <t>CTRA AVDA DE VELAZQUEZ, Nº 104</t>
  </si>
  <si>
    <t>-4.457, 36.691306</t>
  </si>
  <si>
    <t>29004</t>
  </si>
  <si>
    <t>96948</t>
  </si>
  <si>
    <t>0183125061</t>
  </si>
  <si>
    <t>CRED GUTURRIBAI</t>
  </si>
  <si>
    <t>GALDAKAO</t>
  </si>
  <si>
    <t>CR N-634 p.k. 101,800 MI</t>
  </si>
  <si>
    <t>-2.838194, 43.227389</t>
  </si>
  <si>
    <t>48960</t>
  </si>
  <si>
    <t>96250</t>
  </si>
  <si>
    <t>0183079482</t>
  </si>
  <si>
    <t>CRED TALAVERA DE LA REINA</t>
  </si>
  <si>
    <t>CR N-5A, 113,6</t>
  </si>
  <si>
    <t>-4.800306, 39.963722</t>
  </si>
  <si>
    <t>Restaurante, Cafetería/Bar, Lavado cepillos, Parking turismos, Parking camiones, Zona de descanso, Box presión, Aspiradores, Solred cheque lavado, Waylet pago en surtidor, Waylet pago en caja, Punto recarga eléctrico Repsol, Lavados Klin</t>
  </si>
  <si>
    <t>96588</t>
  </si>
  <si>
    <t>0183107945</t>
  </si>
  <si>
    <t>CRED CARDEDEU II</t>
  </si>
  <si>
    <t>2.340139, 41.634806</t>
  </si>
  <si>
    <t>EFITEC 95 N - España, Gasolina 95 Nexa origen 100 % renovable, DIESEL E+ NEO - España, Diésel e+5, DIESEL NEXA 100% RENOVABLE - Esp, Butano 12 Kg (NEL)</t>
  </si>
  <si>
    <t>96007</t>
  </si>
  <si>
    <t>0183076348</t>
  </si>
  <si>
    <t>CRED SON CLADERA</t>
  </si>
  <si>
    <t>CL CALA BLANCA, 9</t>
  </si>
  <si>
    <t>2.676389, 39.597222</t>
  </si>
  <si>
    <t>07009</t>
  </si>
  <si>
    <t>96717</t>
  </si>
  <si>
    <t>0183115104</t>
  </si>
  <si>
    <t>CRED Pº MARITIMO HUELVA</t>
  </si>
  <si>
    <t>CL BARRIADA MOLINO DE LA VEGA ,37 -</t>
  </si>
  <si>
    <t>-6.957222, 37.267667</t>
  </si>
  <si>
    <t>11401</t>
  </si>
  <si>
    <t>0183019603</t>
  </si>
  <si>
    <t>E.S. MARARNELAS</t>
  </si>
  <si>
    <t>VILLANUEVA DE AROSA-PONTE ARNE</t>
  </si>
  <si>
    <t>CR PO-300 ,P.K. 6,9</t>
  </si>
  <si>
    <t>-8.756111, 42.536417</t>
  </si>
  <si>
    <t>36620</t>
  </si>
  <si>
    <t>L-V: 07:00-22:30; S-D: 08:30-22:30</t>
  </si>
  <si>
    <t>96507</t>
  </si>
  <si>
    <t>0183109123</t>
  </si>
  <si>
    <t>CRED QUINTANILLA DE URZ</t>
  </si>
  <si>
    <t>CR A-52, 15,8</t>
  </si>
  <si>
    <t>-5.852722, 42.022111</t>
  </si>
  <si>
    <t>Restaurante, Cafetería/Bar, Parking turismos, Parking camiones, Zona de descanso, Waylet pago en surtidor, Waylet pago en caja, Adblue Envasado, Punto recarga eléctrico Repsol, Recarga eléctrica</t>
  </si>
  <si>
    <t>04475</t>
  </si>
  <si>
    <t>0183061381</t>
  </si>
  <si>
    <t>E.S. ALPE, S. A.</t>
  </si>
  <si>
    <t>CADALSO DE LOS VIDRIOS</t>
  </si>
  <si>
    <t>CL FUENTE DE LOS ALAMOS, 12</t>
  </si>
  <si>
    <t>-4.444139, 40.300639</t>
  </si>
  <si>
    <t>28640</t>
  </si>
  <si>
    <t>S-D: 07:00-22:00</t>
  </si>
  <si>
    <t>96954</t>
  </si>
  <si>
    <t>0183124619</t>
  </si>
  <si>
    <t>CRED PALAFRUGELL</t>
  </si>
  <si>
    <t>PALAFRUGELL</t>
  </si>
  <si>
    <t>AV DE ESPAÑA, S.N.</t>
  </si>
  <si>
    <t>3.153889, 41.91225</t>
  </si>
  <si>
    <t>17200</t>
  </si>
  <si>
    <t>13109</t>
  </si>
  <si>
    <t>0183119932</t>
  </si>
  <si>
    <t>E.S. PETROBADALONA-SANTANDER 100</t>
  </si>
  <si>
    <t>CL SANTANDER 100-1004</t>
  </si>
  <si>
    <t>2.206861, 41.432972</t>
  </si>
  <si>
    <t>Waylet pago en caja, Adblue Envasado, Punto recarga eléctrico Repsol</t>
  </si>
  <si>
    <t>96087</t>
  </si>
  <si>
    <t>0183079102</t>
  </si>
  <si>
    <t>CRED AVDA. DE MADRID</t>
  </si>
  <si>
    <t>CL AVENIDA DE MADRID, 139</t>
  </si>
  <si>
    <t>-8.705167, 42.220056</t>
  </si>
  <si>
    <t>36214</t>
  </si>
  <si>
    <t>96892</t>
  </si>
  <si>
    <t>0183119395</t>
  </si>
  <si>
    <t>CRED EL PADUL</t>
  </si>
  <si>
    <t>PADUL</t>
  </si>
  <si>
    <t>CR A-44 P.K. 147</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</si>
  <si>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</si>
  <si>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</si>
  <si>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</si>
  <si>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</si>
  <si>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03582</t>
  </si>
  <si>
    <t>0183120906</t>
  </si>
  <si>
    <t>CRED SAN ALVARO</t>
  </si>
  <si>
    <t>AV. REPUBLICA ARGENTINA, S/N</t>
  </si>
  <si>
    <t>-4.786111, 37.886</t>
  </si>
  <si>
    <t>96004</t>
  </si>
  <si>
    <t>0183062546</t>
  </si>
  <si>
    <t>CRED LAS PALMERAS CORDOBA</t>
  </si>
  <si>
    <t>CR N-4, 392,9</t>
  </si>
  <si>
    <t>-4.683722, 37.893056</t>
  </si>
  <si>
    <t>31485</t>
  </si>
  <si>
    <t>0183002088</t>
  </si>
  <si>
    <t>CRED EL VISO</t>
  </si>
  <si>
    <t>CL AVENIDA ORTEGA Y GASSET, 234</t>
  </si>
  <si>
    <t>-4.472028, 36.707111</t>
  </si>
  <si>
    <t>05970</t>
  </si>
  <si>
    <t>0183054493</t>
  </si>
  <si>
    <t>CRED BEJAR II</t>
  </si>
  <si>
    <t>CR N-630, 412  D</t>
  </si>
  <si>
    <t>-5.750722, 40.389556</t>
  </si>
  <si>
    <t>96039</t>
  </si>
  <si>
    <t>0183078617</t>
  </si>
  <si>
    <t>CRED LARIN II</t>
  </si>
  <si>
    <t>LARIN</t>
  </si>
  <si>
    <t>CR A-55, 15,3</t>
  </si>
  <si>
    <t>-8.529194, 43.275361</t>
  </si>
  <si>
    <t>15144</t>
  </si>
  <si>
    <t>Parking turismos, Parking camiones, Zona de descanso, Duchas, Waylet pago en surtidor, Waylet pago en caja, Adblue Envasado</t>
  </si>
  <si>
    <t>05948</t>
  </si>
  <si>
    <t>0183014612</t>
  </si>
  <si>
    <t>CRED CALVIA</t>
  </si>
  <si>
    <t>CALVIA - BENTINAT</t>
  </si>
  <si>
    <t>CR C-719, 7,8</t>
  </si>
  <si>
    <t>2.591944, 39.543</t>
  </si>
  <si>
    <t>07184</t>
  </si>
  <si>
    <t>11552</t>
  </si>
  <si>
    <t>0183050780</t>
  </si>
  <si>
    <t>CRED LAS VILLAS</t>
  </si>
  <si>
    <t>CL CAMINO VIEJO DE SIMANCAS, 46</t>
  </si>
  <si>
    <t>-4.75625, 41.621556</t>
  </si>
  <si>
    <t>96767</t>
  </si>
  <si>
    <t>0183122522</t>
  </si>
  <si>
    <t>CRED PERALES CTRA</t>
  </si>
  <si>
    <t>PERALES DE TAJUÑA</t>
  </si>
  <si>
    <t>N-III PK. 35,2</t>
  </si>
  <si>
    <t>-3.376111, 40.256667</t>
  </si>
  <si>
    <t>28540</t>
  </si>
  <si>
    <t>EFITEC 95 N - España, Efitec 95 Premium, EFITEC 98 N - España, Butano 12,5 Kg, DIESEL E+ NEO - España, DIESEL NEXA 100% RENOVABLE - Esp, Propano 11 Kg, BLUE+GRANEL - España</t>
  </si>
  <si>
    <t>34420</t>
  </si>
  <si>
    <t>0183003656</t>
  </si>
  <si>
    <t>CRED CALAFELL</t>
  </si>
  <si>
    <t>CALAFELL</t>
  </si>
  <si>
    <t>CR C-246, 56</t>
  </si>
  <si>
    <t>1.596111, 41.191778</t>
  </si>
  <si>
    <t>43820</t>
  </si>
  <si>
    <t>EFITEC 95 N - España, EFITEC 98 N - España, Butano 12,5 Kg, DIESEL E+ NEO - España, Diésel e+5, DIESEL NEXA 100% RENOVABLE - Esp, Butano 12 Kg (NEL)</t>
  </si>
  <si>
    <t>15516</t>
  </si>
  <si>
    <t>0063203871</t>
  </si>
  <si>
    <t>CRED VALDEMORILLO</t>
  </si>
  <si>
    <t>VALDEMORILLO</t>
  </si>
  <si>
    <t>CL SAN JUAN, 38</t>
  </si>
  <si>
    <t>-4.059806, 40.499472</t>
  </si>
  <si>
    <t>28210</t>
  </si>
  <si>
    <t>33042</t>
  </si>
  <si>
    <t>0183062116</t>
  </si>
  <si>
    <t>CRED PUENTE SAN FERNANDO</t>
  </si>
  <si>
    <t>-3.522417, 40.449</t>
  </si>
  <si>
    <t>Parking turismos, Box presión, Aspiradores, Waylet pago en surtidor, Waylet pago en caja, Adblue Envasado, Punto recarga eléctrico Repsol, Lavados Klin</t>
  </si>
  <si>
    <t>11958</t>
  </si>
  <si>
    <t>0183100908</t>
  </si>
  <si>
    <t>NACINCO47 S.L.</t>
  </si>
  <si>
    <t>CASARRUBIOS DEL MONTE</t>
  </si>
  <si>
    <t>CR A-5, 47,7</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</si>
  <si>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</si>
  <si>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</si>
  <si>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</si>
  <si>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33026</t>
  </si>
  <si>
    <t>0063090013</t>
  </si>
  <si>
    <t>CRED BIDEBIETA</t>
  </si>
  <si>
    <t>CL AVENIDA DE TOLOSA, 188</t>
  </si>
  <si>
    <t>-2.002111, 43.299889</t>
  </si>
  <si>
    <t>20009</t>
  </si>
  <si>
    <t>34435</t>
  </si>
  <si>
    <t>0183012129</t>
  </si>
  <si>
    <t>CRED BERRIOZAR</t>
  </si>
  <si>
    <t>BERRIOZAR</t>
  </si>
  <si>
    <t>AV.DE GIPUZKOA ETORBIDEA 5</t>
  </si>
  <si>
    <t>-1.672889, 42.836861</t>
  </si>
  <si>
    <t>05610</t>
  </si>
  <si>
    <t>0183051473</t>
  </si>
  <si>
    <t>CRED HERRERA ORIA</t>
  </si>
  <si>
    <t>CL AVDA. CARDENAL HERRERA ORIA, 290</t>
  </si>
  <si>
    <t>-3.725806, 40.479056</t>
  </si>
  <si>
    <t>28035</t>
  </si>
  <si>
    <t>96764</t>
  </si>
  <si>
    <t>0183113091</t>
  </si>
  <si>
    <t>CRED PTO STA. MARIA</t>
  </si>
  <si>
    <t>CR  P-603 ,P.K. 1  M.I.</t>
  </si>
  <si>
    <t>-6.240389, 36.598972</t>
  </si>
  <si>
    <t>EFITEC 95 N - España, Efitec 95 Premium, EFITEC 98 N - España, Butano 12,5 Kg, DIESEL E+ NEO - España, Diésel e+5, DIESEL E+10 NEO - España, Butano 6 Kg (K6), Propano 11 Kg, BLUE+GRANEL - España, Butano 12 Kg (NEL)</t>
  </si>
  <si>
    <t>34361</t>
  </si>
  <si>
    <t>0183003417</t>
  </si>
  <si>
    <t>CRED PRADO VIEJO</t>
  </si>
  <si>
    <t>CL POLIGONO PRADO VIEJO, 3</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</si>
  <si>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</si>
  <si>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</si>
  <si>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</si>
  <si>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96632</t>
  </si>
  <si>
    <t>0183109214</t>
  </si>
  <si>
    <t>CRED BIDASOA IZQ</t>
  </si>
  <si>
    <t>CL AVENIDA DE IPARRALDE , 43</t>
  </si>
  <si>
    <t>-1.787361, 43.347222</t>
  </si>
  <si>
    <t>Lavado cepillos, Solred cheque lavado, Waylet pago en surtidor, Waylet pago en caja</t>
  </si>
  <si>
    <t>33838</t>
  </si>
  <si>
    <t>0183002344</t>
  </si>
  <si>
    <t>CRED PLA DE STA MARIA</t>
  </si>
  <si>
    <t>PLA DE SANTA MARIA</t>
  </si>
  <si>
    <t>CR TA-2000, 9,2</t>
  </si>
  <si>
    <t>1.299389, 41.361694</t>
  </si>
  <si>
    <t>43810</t>
  </si>
  <si>
    <t>Cafetería/Bar, Parking turismos, Parking camiones, Zona de descanso, Waylet pago en surtidor, Waylet pago en caja, Adblue Envasado, Punto recarga eléctrico Repsol</t>
  </si>
  <si>
    <t>96269</t>
  </si>
  <si>
    <t>0183080050</t>
  </si>
  <si>
    <t>CRED  CTRA. EL ESCORIAL MI</t>
  </si>
  <si>
    <t>CR M-600, 3</t>
  </si>
  <si>
    <t>-4.106917, 40.633</t>
  </si>
  <si>
    <t>L-D: 06:30-23:00</t>
  </si>
  <si>
    <t>Cafetería/Bar, Lavado cepillos, Parking turismos, Aspiradores, Solred cheque lavado, Waylet pago en surtidor, Waylet pago en caja, Adblue Envasado, Lavados Klin</t>
  </si>
  <si>
    <t>02677</t>
  </si>
  <si>
    <t>0183000678</t>
  </si>
  <si>
    <t>CRED PUERTA DE TIERRA</t>
  </si>
  <si>
    <t>CL AVENIDA ANDALUCIA, 2</t>
  </si>
  <si>
    <t>-6.287778, 36.524722</t>
  </si>
  <si>
    <t>11006</t>
  </si>
  <si>
    <t>EFITEC 95 N - España, Efitec 95 Premium, EFITEC 98 N - España, DIESEL E+ NEO - España, DIESEL E+10 NEO - España, Butano 6 Kg (K6), Butano 12 Kg (NEL)</t>
  </si>
  <si>
    <t>Cafetería/Bar, Lavado cepillos, Solred cheque lavado, Waylet pago en surtidor, Waylet pago en caja, Lavados Klin</t>
  </si>
  <si>
    <t>96830</t>
  </si>
  <si>
    <t>0183120435</t>
  </si>
  <si>
    <t>CRED BARAJAS TIERRA T-2</t>
  </si>
  <si>
    <t>TERMINAL 2 DEL AEROP. BARAJAS</t>
  </si>
  <si>
    <t>-3.573528, 40.466611</t>
  </si>
  <si>
    <t>10208</t>
  </si>
  <si>
    <t>0183009778</t>
  </si>
  <si>
    <t>CRED LA ELIANA</t>
  </si>
  <si>
    <t>ELIANA, L,</t>
  </si>
  <si>
    <t>CL CAMP.DEL TURIA, S.N.</t>
  </si>
  <si>
    <t>-0.52025, 39.572278</t>
  </si>
  <si>
    <t>46183</t>
  </si>
  <si>
    <t>EFITEC 95 N - España, Efitec 95 Premium, EFITEC 98 N - España, DIESEL E+ NEO - España, Diésel e+5, DIESEL E+10 NEO - España, Butano 6 Kg (K6), BLUE+GRANEL - España, Butano 12 Kg (NEL)</t>
  </si>
  <si>
    <t>31355</t>
  </si>
  <si>
    <t>0183015387</t>
  </si>
  <si>
    <t>CRED POLLENSA</t>
  </si>
  <si>
    <t>POLLENÇA</t>
  </si>
  <si>
    <t>CL CECILIO METELO-ESQ.PUIG MARI, S.</t>
  </si>
  <si>
    <t>3.016083, 39.873722</t>
  </si>
  <si>
    <t>07460</t>
  </si>
  <si>
    <t>Lavado cepillos, Parking turismos, Zona de descanso, Box presión, Aspiradores, Solred cheque lavado, Waylet pago en surtidor, Waylet pago en caja, Adblue Envasado, Punto recarga eléctrico Repsol, Lavados Klin</t>
  </si>
  <si>
    <t>96493</t>
  </si>
  <si>
    <t>0183117332</t>
  </si>
  <si>
    <t>CRED ROQUETAS</t>
  </si>
  <si>
    <t>ROQUETAS DE MAR</t>
  </si>
  <si>
    <t>CR  E-15  ,P.K. 429  (N-340 SALIDA</t>
  </si>
  <si>
    <t>-2.597167, 36.819917</t>
  </si>
  <si>
    <t>04740</t>
  </si>
  <si>
    <t>96494</t>
  </si>
  <si>
    <t>0183111954</t>
  </si>
  <si>
    <t>CRED EL ATABAL</t>
  </si>
  <si>
    <t>CL AVDA LOPE DE VEGA,S.N.</t>
  </si>
  <si>
    <t>-4.466167, 36.728833</t>
  </si>
  <si>
    <t>33415</t>
  </si>
  <si>
    <t>0183050731</t>
  </si>
  <si>
    <t>CRED CALAHORRA M.I.</t>
  </si>
  <si>
    <t>AU AP-68, 176,9  D</t>
  </si>
  <si>
    <t>-1.969667, 42.292583</t>
  </si>
  <si>
    <t>96943</t>
  </si>
  <si>
    <t>0183121722</t>
  </si>
  <si>
    <t>CRED BENIDORM</t>
  </si>
  <si>
    <t>BENIDORM</t>
  </si>
  <si>
    <t>CR CV-70 P.K. 47</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</si>
  <si>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</si>
  <si>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</si>
  <si>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</si>
  <si>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</si>
  <si>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05563</t>
  </si>
  <si>
    <t>0183015833</t>
  </si>
  <si>
    <t>CRED QUART II</t>
  </si>
  <si>
    <t>QUART</t>
  </si>
  <si>
    <t>CR C-250, PK. 7,7</t>
  </si>
  <si>
    <t>2.84375, 41.933361</t>
  </si>
  <si>
    <t>17242</t>
  </si>
  <si>
    <t>L-S: 06:00-22:00; D: 08:00-22:00</t>
  </si>
  <si>
    <t>Parking turismos, Zona de descanso, Aspiradores, Waylet pago en surtidor, Waylet pago en caja, Adblue Envasado, Punto recarga eléctrico Repsol, Lavados Klin</t>
  </si>
  <si>
    <t>31357</t>
  </si>
  <si>
    <t>0002275436</t>
  </si>
  <si>
    <t>CRED VELLE</t>
  </si>
  <si>
    <t>VELLE</t>
  </si>
  <si>
    <t>CL POBLADO VELLE, S.N.  D</t>
  </si>
  <si>
    <t>-7.844639, 42.356944</t>
  </si>
  <si>
    <t>32960</t>
  </si>
  <si>
    <t>Lavado cepillos, Box presión, Solred cheque lavado, Waylet pago en surtidor, Waylet pago en caja</t>
  </si>
  <si>
    <t>96154</t>
  </si>
  <si>
    <t>0183080076</t>
  </si>
  <si>
    <t>CRED APARCABISA</t>
  </si>
  <si>
    <t>S. SALVADOR DEL VALLE-TRAPAGA</t>
  </si>
  <si>
    <t>CL Bº EL JUNCAL, S.N.</t>
  </si>
  <si>
    <t>-3.0135, 43.29725</t>
  </si>
  <si>
    <t>48510</t>
  </si>
  <si>
    <t>L-V: 06:00-20:00</t>
  </si>
  <si>
    <t>96214</t>
  </si>
  <si>
    <t>0183077189</t>
  </si>
  <si>
    <t>GAS. EL CRUCE S.L.</t>
  </si>
  <si>
    <t>CR A-5 P.K. 240,00 I</t>
  </si>
  <si>
    <t>-5.832583, 39.565056</t>
  </si>
  <si>
    <t>Restaurante, Cafetería/Bar, Lavado camiones, Parking turismos, Parking camiones, Zona de descanso, Box presión, Duchas, Aspiradores, Waylet pago en caja, Recarga eléctrica</t>
  </si>
  <si>
    <t>97044</t>
  </si>
  <si>
    <t>0183131051</t>
  </si>
  <si>
    <t>CRED LA 62 EL PUEYO</t>
  </si>
  <si>
    <t>BARBASTRO</t>
  </si>
  <si>
    <t>A-22, pk 62</t>
  </si>
  <si>
    <t>0.053222, 42.026028</t>
  </si>
  <si>
    <t>22300</t>
  </si>
  <si>
    <t>Restaurante, Cafetería/Bar, Lavado cepillos, Parking turismos, Parking camiones, Zona de descanso, Box presión, Aspiradores, Solred cheque lavado, Waylet pago en surtidor, Waylet pago en caja, Adblue Envasado, Lavados Klin</t>
  </si>
  <si>
    <t>96014</t>
  </si>
  <si>
    <t>0183077155</t>
  </si>
  <si>
    <t>CRED AGUAS NUEVAS</t>
  </si>
  <si>
    <t>CL AVDA.CORTES VALENCIANAS ,S.N.</t>
  </si>
  <si>
    <t>-0.669667, 38.002056</t>
  </si>
  <si>
    <t>EFITEC 95 N - España, EFITEC 98 N - España, Butano 12,5 Kg, DIESEL E+ NEO - España, Diésel e+5, DIESEL NEXA 100% RENOVABLE - Esp, Butano 6 Kg (K6), Butano 12 Kg (NEL)</t>
  </si>
  <si>
    <t>96103</t>
  </si>
  <si>
    <t>0183104397</t>
  </si>
  <si>
    <t>CRED SAN JAVIER</t>
  </si>
  <si>
    <t>SAN JAVIER</t>
  </si>
  <si>
    <t>CL CRTA. DE BALSICAS, 64</t>
  </si>
  <si>
    <t>-0.844139, 37.806278</t>
  </si>
  <si>
    <t>30730</t>
  </si>
  <si>
    <t>34109</t>
  </si>
  <si>
    <t>0183003755</t>
  </si>
  <si>
    <t>CRED LA MAGDALENA</t>
  </si>
  <si>
    <t>CR N-340, 976,7</t>
  </si>
  <si>
    <t>-0.042889, 40.003417</t>
  </si>
  <si>
    <t>33009</t>
  </si>
  <si>
    <t>0183080019</t>
  </si>
  <si>
    <t>CRED MATEO INURRIA</t>
  </si>
  <si>
    <t>CL MATEO INURRIA, 4</t>
  </si>
  <si>
    <t>-3.68575, 40.466667</t>
  </si>
  <si>
    <t>EFITEC 95 N - España, Efitec 95 Premium, Gasolina 95 Nexa origen 100 % renovable, EFITEC 98 N - España, DIESEL E+ NEO - España, DIESEL NEXA 100% RENOVABLE - Esp, Butano 6 Kg (K6), Butano 12 Kg (NEL)</t>
  </si>
  <si>
    <t>34268</t>
  </si>
  <si>
    <t>0183012509</t>
  </si>
  <si>
    <t>CRED BULLAS</t>
  </si>
  <si>
    <t>BULLAS</t>
  </si>
  <si>
    <t>CR C-415, 43</t>
  </si>
  <si>
    <t>-1.653139, 38.053444</t>
  </si>
  <si>
    <t>30180</t>
  </si>
  <si>
    <t>33334</t>
  </si>
  <si>
    <t>0183013226</t>
  </si>
  <si>
    <t>CRED AGAMA</t>
  </si>
  <si>
    <t>CR C-715, 2,7</t>
  </si>
  <si>
    <t>2.688333, 39.570083</t>
  </si>
  <si>
    <t>10120</t>
  </si>
  <si>
    <t>0183013994</t>
  </si>
  <si>
    <t>E.S. H. FRIGOLS</t>
  </si>
  <si>
    <t>CHELLA</t>
  </si>
  <si>
    <t>CR VV-3076 C-322 - NAVARRES, 4,3</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</si>
  <si>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</si>
  <si>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</si>
  <si>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</si>
  <si>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</si>
  <si>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11317</t>
  </si>
  <si>
    <t>0183008382</t>
  </si>
  <si>
    <t>CRED LA NUCIA</t>
  </si>
  <si>
    <t>NUCIA, LA</t>
  </si>
  <si>
    <t>CL AVENIDA MARINA BAIXA, 80</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</si>
  <si>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</si>
  <si>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</si>
  <si>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</si>
  <si>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</si>
  <si>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15979</t>
  </si>
  <si>
    <t>0183013531</t>
  </si>
  <si>
    <t>CRED ARTEBAKARRA</t>
  </si>
  <si>
    <t>DERIO</t>
  </si>
  <si>
    <t>CR BI-631, 10</t>
  </si>
  <si>
    <t>-2.876444, 43.318583</t>
  </si>
  <si>
    <t>48160</t>
  </si>
  <si>
    <t>05804</t>
  </si>
  <si>
    <t>0183007848</t>
  </si>
  <si>
    <t>CRED CTRA OLIVENZA</t>
  </si>
  <si>
    <t>CR C-436, 2,1</t>
  </si>
  <si>
    <t>-6.990056, 38.858611</t>
  </si>
  <si>
    <t>06010</t>
  </si>
  <si>
    <t>Lavado cepillos, Parking turismos, Zona de descanso, Solred cheque lavado, Waylet pago en surtidor, Waylet pago en caja, Adblue Envasado, Lavados Klin</t>
  </si>
  <si>
    <t>31743</t>
  </si>
  <si>
    <t>0183003888</t>
  </si>
  <si>
    <t>CRED RÍOSECO DE TAPIA</t>
  </si>
  <si>
    <t>AT AP-66, 126 M.I.</t>
  </si>
  <si>
    <t>-5.7675, 42.690583</t>
  </si>
  <si>
    <t>EFITEC 95 N - España, EFITEC 98 N - España, DIESEL E+ NEO - España, Diésel e+5, DIESEL E+10 NEO - España, Propano 11 Kg, BLUE+GRANEL - España</t>
  </si>
  <si>
    <t>31577</t>
  </si>
  <si>
    <t>0183017979</t>
  </si>
  <si>
    <t>CRED VALTIERRA M.I.</t>
  </si>
  <si>
    <t>-1.676278, 42.200333</t>
  </si>
  <si>
    <t>11455</t>
  </si>
  <si>
    <t>0183057801</t>
  </si>
  <si>
    <t>CRED MONTE VERDE</t>
  </si>
  <si>
    <t>TORRECIEGA</t>
  </si>
  <si>
    <t>CR F-35, 24,3</t>
  </si>
  <si>
    <t>-0.964028, 37.625222</t>
  </si>
  <si>
    <t>30392</t>
  </si>
  <si>
    <t>EFITEC 95 N - España, Efitec 95 Premium, EFITEC 98 N - España, DIESEL E+ NEO - España, Diésel e+5, DIESEL NEXA 100% RENOVABLE - Esp, Butano 6 Kg (K6), Propano 11 Kg, BLUE+GRANEL - España, Butano 12 Kg (NEL)</t>
  </si>
  <si>
    <t>Lavado cepillos, Parking turismos, Parking camiones, Zona de descanso, Box presión, Aspiradores, Solred cheque lavado, Waylet pago en surtidor, Waylet pago en caja, Lavados Klin</t>
  </si>
  <si>
    <t>34359</t>
  </si>
  <si>
    <t>0183008184</t>
  </si>
  <si>
    <t>CRED ILLESCAS</t>
  </si>
  <si>
    <t>CR A-42, 32,8</t>
  </si>
  <si>
    <t>-3.824111, 40.150333</t>
  </si>
  <si>
    <t>EFITEC 95 N - España, Efitec 95 Premium, EFITEC 98 N - España, DIESEL E+ NEO - España, Diésel e+5, DIESEL NEXA 100% RENOVABLE - Esp, Propano 11 Kg, Autogás, Butano 12 Kg (NEL)</t>
  </si>
  <si>
    <t>33236</t>
  </si>
  <si>
    <t>0183001817</t>
  </si>
  <si>
    <t>CRED OLAONA</t>
  </si>
  <si>
    <t>VENTA DEL PATIO</t>
  </si>
  <si>
    <t>CR N-1, 364,4</t>
  </si>
  <si>
    <t>-2.518167, 42.878556</t>
  </si>
  <si>
    <t>01206</t>
  </si>
  <si>
    <t>EFITEC 95 N - España, Butano 12,5 Kg, DIESEL E+ NEO - España, Propano 11 Kg, BLUE+GRANEL - España, Autogás, Butano 12 Kg (NEL)</t>
  </si>
  <si>
    <t>34107</t>
  </si>
  <si>
    <t>0183012319</t>
  </si>
  <si>
    <t>CRED ROBLEDO 2</t>
  </si>
  <si>
    <t>-5.798611, 43.438056</t>
  </si>
  <si>
    <t>Lavado cepillos, Parking turismos, Parking camiones, Aspiradores, Solred cheque lavado, Waylet pago en surtidor, Waylet pago en caja, Punto recarga eléctrico Repsol, Lavados Klin</t>
  </si>
  <si>
    <t>04100</t>
  </si>
  <si>
    <t>0183053206</t>
  </si>
  <si>
    <t>CRED AVENIDA MERIDIANA</t>
  </si>
  <si>
    <t>CL AVENIDA MERIDIANA, 267</t>
  </si>
  <si>
    <t>2.186861, 41.420833</t>
  </si>
  <si>
    <t>08027</t>
  </si>
  <si>
    <t>96091</t>
  </si>
  <si>
    <t>0183105972</t>
  </si>
  <si>
    <t>CRED RAMBLA BELEN</t>
  </si>
  <si>
    <t>CL PROL.FEDERICO GARCIA LORCA (RAMB</t>
  </si>
  <si>
    <t>-2.467333, 36.852083</t>
  </si>
  <si>
    <t>04008</t>
  </si>
  <si>
    <t>03281</t>
  </si>
  <si>
    <t>0183018274</t>
  </si>
  <si>
    <t>E.S. HOLCLI</t>
  </si>
  <si>
    <t>CARCAIXENT</t>
  </si>
  <si>
    <t>CL SANTA BARBARA, 1</t>
  </si>
  <si>
    <t>-0.449639, 39.126389</t>
  </si>
  <si>
    <t>46740</t>
  </si>
  <si>
    <t>L-S: 06:00-22:00; D: 07:00-14:00</t>
  </si>
  <si>
    <t>Lavado cepillos, Parking turismos, Box presión, Aspiradores, Waylet pago en caja, Punto recarga eléctrico Repsol</t>
  </si>
  <si>
    <t>15130</t>
  </si>
  <si>
    <t>0183050491</t>
  </si>
  <si>
    <t>CRED SAN ANTONIO</t>
  </si>
  <si>
    <t>CALATAYUD</t>
  </si>
  <si>
    <t>CR N-234, 256,4</t>
  </si>
  <si>
    <t>-1.642778, 41.335389</t>
  </si>
  <si>
    <t>50300</t>
  </si>
  <si>
    <t>05838</t>
  </si>
  <si>
    <t>0183001296</t>
  </si>
  <si>
    <t>E.S.  EL EMPERADOR</t>
  </si>
  <si>
    <t>JARAIZ DE LA VERA</t>
  </si>
  <si>
    <t>CL AVENIDA CONSTITUCION, S.N.</t>
  </si>
  <si>
    <t>-5.757556, 40.055139</t>
  </si>
  <si>
    <t>10400</t>
  </si>
  <si>
    <t>96694</t>
  </si>
  <si>
    <t>0183113703</t>
  </si>
  <si>
    <t>CRED IBAETA</t>
  </si>
  <si>
    <t>CL DE ZARAUTZ , 136</t>
  </si>
  <si>
    <t>-2.002528, 43.301083</t>
  </si>
  <si>
    <t>20018</t>
  </si>
  <si>
    <t>31225</t>
  </si>
  <si>
    <t>0183124346</t>
  </si>
  <si>
    <t>E.S. LOS VALOS S.L.</t>
  </si>
  <si>
    <t>CR REDONDELA-PORRIÑO 5,12</t>
  </si>
  <si>
    <t>-8.595361, 42.236639</t>
  </si>
  <si>
    <t>36415</t>
  </si>
  <si>
    <t>Aspiradores, Waylet pago en caja, Punto recarga eléctrico Repsol</t>
  </si>
  <si>
    <t>96267</t>
  </si>
  <si>
    <t>0183101153</t>
  </si>
  <si>
    <t>CRED VARIANTE ESTE SUR</t>
  </si>
  <si>
    <t>CL VIADUCTO MIRAFLORES-LARREAGA, 2</t>
  </si>
  <si>
    <t>-2.92425, 43.247694</t>
  </si>
  <si>
    <t>48003</t>
  </si>
  <si>
    <t>EFITEC 95 N - España, Gasolina 95 Nexa origen 100 % renovable, EFITEC 98 N - España, Butano 12,5 Kg, DIESEL E+ NEO - España, DIESEL NEXA 100% RENOVABLE - Esp, Butano 6 Kg (K6), Propano 11 Kg, BLUE+GRANEL - España, Butano 12 Kg (NEL)</t>
  </si>
  <si>
    <t>96131</t>
  </si>
  <si>
    <t>0183080159</t>
  </si>
  <si>
    <t>CRED ARAVACA-EL PLANTIO</t>
  </si>
  <si>
    <t>CL AVENIDA VICTORIA, 34</t>
  </si>
  <si>
    <t>-3.820389, 40.468833</t>
  </si>
  <si>
    <t>96844</t>
  </si>
  <si>
    <t>0183122738</t>
  </si>
  <si>
    <t>CRED DANTXARINEA</t>
  </si>
  <si>
    <t>DANCHARINEA</t>
  </si>
  <si>
    <t>CR N-121 B P.K. 79,500 D</t>
  </si>
  <si>
    <t>-1.505806, 43.290556</t>
  </si>
  <si>
    <t>31712</t>
  </si>
  <si>
    <t>L-V: 09:00-18:00; S-D: 10:00-19:00</t>
  </si>
  <si>
    <t>Restaurante, Cafetería/Bar, Lavado cepillos, Parking turismos, Box presión, Aspiradores, Waylet pago en surtidor, Waylet pago en caja, Punto recarga eléctrico Repsol, Lavados Klin</t>
  </si>
  <si>
    <t>96545</t>
  </si>
  <si>
    <t>0183107267</t>
  </si>
  <si>
    <t>CRED SARRIA M.I.</t>
  </si>
  <si>
    <t>SARRIA</t>
  </si>
  <si>
    <t>CL MATIAS LOPEZ, 97</t>
  </si>
  <si>
    <t>-7.415222, 42.782667</t>
  </si>
  <si>
    <t>27600</t>
  </si>
  <si>
    <t>05771</t>
  </si>
  <si>
    <t>0183005982</t>
  </si>
  <si>
    <t>CRED OIARTZUN</t>
  </si>
  <si>
    <t>OIARTZUN</t>
  </si>
  <si>
    <t>GI 636 P.K. 5,000 M.I.</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</si>
  <si>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</si>
  <si>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</si>
  <si>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</si>
  <si>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</si>
  <si>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33889</t>
  </si>
  <si>
    <t>0183018696</t>
  </si>
  <si>
    <t>CRED LA RÁPITA</t>
  </si>
  <si>
    <t>LA RAPITA</t>
  </si>
  <si>
    <t>CL DELS FUNDADORS, 104</t>
  </si>
  <si>
    <t>0.592694, 40.621806</t>
  </si>
  <si>
    <t>43540</t>
  </si>
  <si>
    <t>34096</t>
  </si>
  <si>
    <t>0183053487</t>
  </si>
  <si>
    <t>CRED MÓSTOLES M.D.</t>
  </si>
  <si>
    <t>-3.898222, 40.316611</t>
  </si>
  <si>
    <t>EFITEC 95 N - España, Efitec 95 Premium, EFITEC 98 N - España, Butano 12,5 Kg, DIESEL E+ NEO - España, Diésel e+5, DIESEL NEXA 100% RENOVABLE - Esp, Butano 6 Kg (K6), BLUE+GRANEL - España, Autogás</t>
  </si>
  <si>
    <t>96992</t>
  </si>
  <si>
    <t>0183123835</t>
  </si>
  <si>
    <t>CRED E.S. GALINDO M. IZDO</t>
  </si>
  <si>
    <t>CR BI-3745, 9,2 M IZD</t>
  </si>
  <si>
    <t>-3.003167, 43.298528</t>
  </si>
  <si>
    <t>EFITEC 95 N - España, EFITEC 98 N - España, Butano 12,5 Kg, DIESEL E+ NEO - España, DIESEL NEXA 100% RENOVABLE - Esp, Butano 6 Kg (K6), Propano 11 Kg, BLUE+GRANEL - España, Autogás, GNC</t>
  </si>
  <si>
    <t>96903</t>
  </si>
  <si>
    <t>0183121219</t>
  </si>
  <si>
    <t>CRED CERVELLÓ</t>
  </si>
  <si>
    <t>CERVELLO</t>
  </si>
  <si>
    <t>CR N-340 P.K. 1242</t>
  </si>
  <si>
    <t>1.992917, 41.403278</t>
  </si>
  <si>
    <t>08758</t>
  </si>
  <si>
    <t>L-V: 05:00-23:00</t>
  </si>
  <si>
    <t>EFITEC 95 N - España, EFITEC 98 N - España, Butano 12,5 Kg, DIESEL E+ NEO - España, Diésel e+5, DIESEL NEXA 100% RENOVABLE - Esp, Butano 6 Kg (K6), Propano 11 Kg, BLUE+GRANEL - España, Butano 12 Kg (NEL)</t>
  </si>
  <si>
    <t>11296</t>
  </si>
  <si>
    <t>0183016823</t>
  </si>
  <si>
    <t>CRED SIMANCAS</t>
  </si>
  <si>
    <t>SIMANCAS</t>
  </si>
  <si>
    <t>CR A-62  P.K. 132,60 I</t>
  </si>
  <si>
    <t>-4.810306, 41.603694</t>
  </si>
  <si>
    <t>47130</t>
  </si>
  <si>
    <t>97124</t>
  </si>
  <si>
    <t>0183133040</t>
  </si>
  <si>
    <t>CRED HOSTALETS</t>
  </si>
  <si>
    <t>LLERS</t>
  </si>
  <si>
    <t>Barri dels Hostalets – sector c-2</t>
  </si>
  <si>
    <t>2.940389, 42.295722</t>
  </si>
  <si>
    <t>17730</t>
  </si>
  <si>
    <t>DIESEL E+ NEO - España, GO-B BONIF - España, BLUE+GRANEL - España, GNL, GNC</t>
  </si>
  <si>
    <t>Restaurante, Parking camiones, Duchas, Waylet pago en surtidor, Waylet pago en caja, Punto recarga eléctrico Repsol</t>
  </si>
  <si>
    <t>33155</t>
  </si>
  <si>
    <t>0183018894</t>
  </si>
  <si>
    <t>CRED VILAFRANCA</t>
  </si>
  <si>
    <t>VILAFRANCA DEL PENEDES</t>
  </si>
  <si>
    <t>CL AVENIDA DE BARCELONA, 34-36</t>
  </si>
  <si>
    <t>1.703667, 41.346222</t>
  </si>
  <si>
    <t>08720</t>
  </si>
  <si>
    <t>Cafetería/Bar, Box presión, Waylet pago en surtidor, Waylet pago en caja, Adblue Envasado</t>
  </si>
  <si>
    <t>92886</t>
  </si>
  <si>
    <t>0183112895</t>
  </si>
  <si>
    <t>CRED ULTRA</t>
  </si>
  <si>
    <t>HOSPITALET DE LLOBREGAT</t>
  </si>
  <si>
    <t>CL RAMBLA MARINA , 428</t>
  </si>
  <si>
    <t>2.106639, 41.35375</t>
  </si>
  <si>
    <t>08907</t>
  </si>
  <si>
    <t>Cafetería/Bar, Lavado cepillos, Parking turismos, Solred cheque lavado, Waylet pago en surtidor, Waylet pago en caja, Adblue Envasado, Lavados Klin</t>
  </si>
  <si>
    <t>33422</t>
  </si>
  <si>
    <t>0183050384</t>
  </si>
  <si>
    <t>CRED TUDELA NAVARRA</t>
  </si>
  <si>
    <t>TUDELA</t>
  </si>
  <si>
    <t>AU A-68, 222</t>
  </si>
  <si>
    <t>-1.600861, 42.012583</t>
  </si>
  <si>
    <t>31500</t>
  </si>
  <si>
    <t>06285</t>
  </si>
  <si>
    <t>0183058114</t>
  </si>
  <si>
    <t>CRED CONTRUECES</t>
  </si>
  <si>
    <t>CL CARRETERA CARBONERA/ESQ.C/CASTRO</t>
  </si>
  <si>
    <t>-5.668889, 43.521</t>
  </si>
  <si>
    <t>33210</t>
  </si>
  <si>
    <t>34086</t>
  </si>
  <si>
    <t>0183015437</t>
  </si>
  <si>
    <t>CRED RINCON DE LA VICTORIA</t>
  </si>
  <si>
    <t>RINCON DE LA VICTORIA</t>
  </si>
  <si>
    <t>CL AVENIDA DE LA TORRE, 26</t>
  </si>
  <si>
    <t>-4.265417, 36.712556</t>
  </si>
  <si>
    <t>29730</t>
  </si>
  <si>
    <t>12918</t>
  </si>
  <si>
    <t>0183063817</t>
  </si>
  <si>
    <t>CRED PUERTO AUTOVÍA</t>
  </si>
  <si>
    <t>LORCA-POLIGONO-AUTOVIA</t>
  </si>
  <si>
    <t>CR N-340, 584</t>
  </si>
  <si>
    <t>-1.758139, 37.608528</t>
  </si>
  <si>
    <t>96727</t>
  </si>
  <si>
    <t>0183112770</t>
  </si>
  <si>
    <t>CRED SANTOMERA M.I.</t>
  </si>
  <si>
    <t>CR  A-7 P.K. 554 M.I.</t>
  </si>
  <si>
    <t>-1.035667, 38.101222</t>
  </si>
  <si>
    <t>12841</t>
  </si>
  <si>
    <t>0183113182</t>
  </si>
  <si>
    <t>CRED LA CAÑADA</t>
  </si>
  <si>
    <t>FUENGIROLA</t>
  </si>
  <si>
    <t>CR DE MIJAS P.K. 6</t>
  </si>
  <si>
    <t>-4.627778, 36.552222</t>
  </si>
  <si>
    <t>29640</t>
  </si>
  <si>
    <t>33257</t>
  </si>
  <si>
    <t>0183014620</t>
  </si>
  <si>
    <t>CRED VALLDEMOSA</t>
  </si>
  <si>
    <t>S¿ESGLAIETA</t>
  </si>
  <si>
    <t>CR PM-111, 8,6</t>
  </si>
  <si>
    <t>2.648028, 39.643333</t>
  </si>
  <si>
    <t>07193</t>
  </si>
  <si>
    <t>EFITEC 95 N - España, EFITEC 98 N - España, DIESEL E+ NEO - España, DIESEL E+10 NEO - España, DIESEL NEXA 100% RENOVABLE - Esp, GO-B BONIF - España, Butano 6 Kg (K6), Butano 12 Kg (NEL)</t>
  </si>
  <si>
    <t>00980</t>
  </si>
  <si>
    <t>0183060318</t>
  </si>
  <si>
    <t>CRED Pº DE LA MINA</t>
  </si>
  <si>
    <t>CL PASEO DE LA MINA, 12</t>
  </si>
  <si>
    <t>-0.877444, 41.647444</t>
  </si>
  <si>
    <t>50001</t>
  </si>
  <si>
    <t>33051</t>
  </si>
  <si>
    <t>0183009299</t>
  </si>
  <si>
    <t>CRED CERVANTES</t>
  </si>
  <si>
    <t>CL RONDA DE LA MATA, SN</t>
  </si>
  <si>
    <t>-3.920833, 38.983083</t>
  </si>
  <si>
    <t>13004</t>
  </si>
  <si>
    <t>15158</t>
  </si>
  <si>
    <t>0183051606</t>
  </si>
  <si>
    <t>CRED AVENIDAS</t>
  </si>
  <si>
    <t>MANACOR</t>
  </si>
  <si>
    <t>CR PM-402, 1,6</t>
  </si>
  <si>
    <t>3.220667, 39.566944</t>
  </si>
  <si>
    <t>07500</t>
  </si>
  <si>
    <t>Cafetería/Bar, Lavado cepillos, Solred cheque lavado, Waylet pago en surtidor, Waylet pago en caja, Adblue Envasado, Lavados Klin</t>
  </si>
  <si>
    <t>96670</t>
  </si>
  <si>
    <t>0183111442</t>
  </si>
  <si>
    <t>CRED  LA ATALAYA M.I.</t>
  </si>
  <si>
    <t>CR  M-50 ,P.K. 66.5</t>
  </si>
  <si>
    <t>-3.874611, 40.3765</t>
  </si>
  <si>
    <t>Restaurante, Cafetería/Bar, Lavado cepillos, Parking turismos, Parking camiones, Zona de descanso, Box presión, Duchas, Aspiradores, Solred cheque lavado, Waylet pago en surtidor, Waylet pago en caja, Adblue Envasado, Punto recarga eléctrico Repsol, Lavados Klin</t>
  </si>
  <si>
    <t>97100</t>
  </si>
  <si>
    <t>0183131093</t>
  </si>
  <si>
    <t>CRED MATAPORQUERA</t>
  </si>
  <si>
    <t>A-67 PK 116 MI</t>
  </si>
  <si>
    <t>-4.154528, 42.86725</t>
  </si>
  <si>
    <t>EFITEC 95 N - España, EFITEC 98 N - España, Butano 12,5 Kg, DIESEL E+ NEO - España, DIESEL NEXA 100% RENOVABLE - Esp, GO-B BONIF - España, Propano 11 Kg, BLUE+GRANEL - España, Butano 12 Kg (NEL)</t>
  </si>
  <si>
    <t>96928</t>
  </si>
  <si>
    <t>0183120765</t>
  </si>
  <si>
    <t>CRED ARC DE BARA</t>
  </si>
  <si>
    <t>RODA DE BARA</t>
  </si>
  <si>
    <t>CL HISPANO SUIZA, 33-35</t>
  </si>
  <si>
    <t>1.48925, 41.178222</t>
  </si>
  <si>
    <t>43883</t>
  </si>
  <si>
    <t>EFITEC 95 N - España, EFITEC 98 N - España, DIESEL E+ NEO - España, DIESEL E+10 NEO - España, Propano 11 Kg</t>
  </si>
  <si>
    <t>12080</t>
  </si>
  <si>
    <t>0183057504</t>
  </si>
  <si>
    <t>CRED SILVOTA</t>
  </si>
  <si>
    <t>SILVOTA-LLANERA POL. INDUST</t>
  </si>
  <si>
    <t>PG INDUSTRIAL SILVOTA, S.N.</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</si>
  <si>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</si>
  <si>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</si>
  <si>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</si>
  <si>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</si>
  <si>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</si>
  <si>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05905</t>
  </si>
  <si>
    <t>0183054576</t>
  </si>
  <si>
    <t>CRED ADEMUZ</t>
  </si>
  <si>
    <t>CR C-234, 9,7</t>
  </si>
  <si>
    <t>-0.462583, 39.541361</t>
  </si>
  <si>
    <t>96983</t>
  </si>
  <si>
    <t>0183123918</t>
  </si>
  <si>
    <t>E.S. LAGAS DE MEIRA, S.L.</t>
  </si>
  <si>
    <t>MUIMENTA</t>
  </si>
  <si>
    <t>CR C-120 P.K. 20,80 M IZQ</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</si>
  <si>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</si>
  <si>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</si>
  <si>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</si>
  <si>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</si>
  <si>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34469</t>
  </si>
  <si>
    <t>0183005966</t>
  </si>
  <si>
    <t>CRED EMPURIA BRAVA</t>
  </si>
  <si>
    <t>CASTELLO D'EMPURIAS</t>
  </si>
  <si>
    <t>CL ORLINA, S.N.</t>
  </si>
  <si>
    <t>3.094722, 42.252806</t>
  </si>
  <si>
    <t>17486</t>
  </si>
  <si>
    <t>EFITEC 95 N - España, EFITEC 98 N - España, Butano 12,5 Kg, DIESEL E+ NEO - España, DIESEL E+10 NEO - España, Butano 6 Kg (K6), Propano 11 Kg, Autogás</t>
  </si>
  <si>
    <t>96947</t>
  </si>
  <si>
    <t>0183121235</t>
  </si>
  <si>
    <t>CRED CASTELLBELL MIZQ</t>
  </si>
  <si>
    <t>CR C-55 P.K. 17,10 MARGEN IZQDO.</t>
  </si>
  <si>
    <t>1.850222, 41.636833</t>
  </si>
  <si>
    <t>07292</t>
  </si>
  <si>
    <t>0183050483</t>
  </si>
  <si>
    <t>CRED BLANES</t>
  </si>
  <si>
    <t>BLANES</t>
  </si>
  <si>
    <t>CR ACCESO COSTA BRAVA, 2</t>
  </si>
  <si>
    <t>2.778028, 41.678833</t>
  </si>
  <si>
    <t>17300</t>
  </si>
  <si>
    <t>EFITEC 95 N - España, Efitec 95 Premium, EFITEC 98 N - España, Butano 12,5 Kg, DIESEL E+ NEO - España, Diésel e+5, DIESEL NEXA 100% RENOVABLE - Esp, Butano 6 Kg (K6), Autogás</t>
  </si>
  <si>
    <t>33439</t>
  </si>
  <si>
    <t>0183001924</t>
  </si>
  <si>
    <t>CRED BAILÉN</t>
  </si>
  <si>
    <t>BAILEN</t>
  </si>
  <si>
    <t>CR N-323   A, 0</t>
  </si>
  <si>
    <t>-3.779111, 38.088833</t>
  </si>
  <si>
    <t>23710</t>
  </si>
  <si>
    <t>EFITEC 95 N - España, EFITEC 98 N - España, Butano 12,5 Kg, DIESEL E+ NEO - España, DIESEL NEXA 100% RENOVABLE - Esp, GO-B BONIF - España, Butano 6 Kg (K6), BLUE+GRANEL - España, Butano 12 Kg (NEL)</t>
  </si>
  <si>
    <t>96246</t>
  </si>
  <si>
    <t>0183078963</t>
  </si>
  <si>
    <t>CRED BELINCHÓN</t>
  </si>
  <si>
    <t>BELINCHON</t>
  </si>
  <si>
    <t>CR N-3  (POR CAMINO CAMPILLO), 71.9</t>
  </si>
  <si>
    <t>-3.083056, 40.064639</t>
  </si>
  <si>
    <t>16470</t>
  </si>
  <si>
    <t>96836</t>
  </si>
  <si>
    <t>0183121136</t>
  </si>
  <si>
    <t>CRED AREA DE SERVICIO CARTAYA SIERR</t>
  </si>
  <si>
    <t>-7.114167, 37.323333</t>
  </si>
  <si>
    <t>Cafetería/Bar, Parking turismos, Parking camiones, Duchas, Waylet pago en surtidor, Waylet pago en caja, Adblue Envasado</t>
  </si>
  <si>
    <t>34235</t>
  </si>
  <si>
    <t>0008367757</t>
  </si>
  <si>
    <t>CRED LES TRIES</t>
  </si>
  <si>
    <t>CL LES TRIES, 70</t>
  </si>
  <si>
    <t>2.504278, 42.189556</t>
  </si>
  <si>
    <t>Lavado cepillos, Aspiradores, Waylet pago en surtidor, Waylet pago en caja, Adblue Envasado, Punto recarga eléctrico Repsol, Lavados Klin</t>
  </si>
  <si>
    <t>96112</t>
  </si>
  <si>
    <t>0183101898</t>
  </si>
  <si>
    <t>CRED MOLINS - II</t>
  </si>
  <si>
    <t>CL AVDA DE CALDES, 18</t>
  </si>
  <si>
    <t>2.014694, 41.410944</t>
  </si>
  <si>
    <t>34065</t>
  </si>
  <si>
    <t>0183050285</t>
  </si>
  <si>
    <t>CRED BUENAVISTA</t>
  </si>
  <si>
    <t>CR N-634, 115</t>
  </si>
  <si>
    <t>-2.961389, 43.265278</t>
  </si>
  <si>
    <t>48013</t>
  </si>
  <si>
    <t>L-V: 06:30-22:30; S-D: 07:30-22:30</t>
  </si>
  <si>
    <t>EFITEC 95 N - España, Gasolina 95 Nexa origen 100 % renovable, DIESEL E+ NEO - España, DIESEL NEXA 100% RENOVABLE - Esp, Propano 11 Kg, BLUE+GRANEL - España, Butano 12 Kg (NEL)</t>
  </si>
  <si>
    <t>96038</t>
  </si>
  <si>
    <t>0183077627</t>
  </si>
  <si>
    <t>CRED LARIN</t>
  </si>
  <si>
    <t>-8.528944, 43.274972</t>
  </si>
  <si>
    <t>92089</t>
  </si>
  <si>
    <t>0183134931</t>
  </si>
  <si>
    <t>CRED BELLREGUARD</t>
  </si>
  <si>
    <t>BELLREGUARD</t>
  </si>
  <si>
    <t>AVENIDA ALICANTE N-332  PK 220</t>
  </si>
  <si>
    <t>-0.165, 38.949389</t>
  </si>
  <si>
    <t>46713</t>
  </si>
  <si>
    <t>34531</t>
  </si>
  <si>
    <t>0183001239</t>
  </si>
  <si>
    <t>E.S. G. EL PILAR</t>
  </si>
  <si>
    <t>CL AVENIDA GENERAL, 22</t>
  </si>
  <si>
    <t>-3.580194, 40.471222</t>
  </si>
  <si>
    <t>00652</t>
  </si>
  <si>
    <t>0183114834</t>
  </si>
  <si>
    <t>CRED ORCASITAS</t>
  </si>
  <si>
    <t>CL AV PRINCESA JUANA DE AUSTRIA, S.</t>
  </si>
  <si>
    <t>-3.71875, 40.378611</t>
  </si>
  <si>
    <t>28026</t>
  </si>
  <si>
    <t>EFITEC 95 N - España, EFITEC 98 N - España, Butano 12,5 Kg, DIESEL E+ NEO - España, Diésel e+5, DIESEL NEXA 100% RENOVABLE - Esp, Propano 11 Kg, BLUE+GRANEL - España, Autogás</t>
  </si>
  <si>
    <t>12600</t>
  </si>
  <si>
    <t>0183060623</t>
  </si>
  <si>
    <t>CRED VEGA DE VALDETRONCO</t>
  </si>
  <si>
    <t>VEGA DE VALDETRONCO</t>
  </si>
  <si>
    <t>CR A-6  P.K. 193,8 I</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</si>
  <si>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</si>
  <si>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</si>
  <si>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</si>
  <si>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</si>
  <si>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12862</t>
  </si>
  <si>
    <t>0183062207</t>
  </si>
  <si>
    <t>CRED GUARROMÁN II</t>
  </si>
  <si>
    <t>CR N-4, 280</t>
  </si>
  <si>
    <t>-3.673444, 38.196361</t>
  </si>
  <si>
    <t>EFITEC 95 N - España, EFITEC 98 N - España, Butano 12,5 Kg, DIESEL E+ NEO - España, DIESEL NEXA 100% RENOVABLE - Esp, GO-B BONIF - España, BLUE+GRANEL - España, Autogás</t>
  </si>
  <si>
    <t>94141</t>
  </si>
  <si>
    <t>0183121649</t>
  </si>
  <si>
    <t>CRED POTOSI</t>
  </si>
  <si>
    <t>Pº GUAYAQUIL, 25-27</t>
  </si>
  <si>
    <t>2.206, 41.442861</t>
  </si>
  <si>
    <t>13476</t>
  </si>
  <si>
    <t>0183062975</t>
  </si>
  <si>
    <t>CRED MONTORNÉS</t>
  </si>
  <si>
    <t>MONTORNES DEL VALLES</t>
  </si>
  <si>
    <t>AV MOGENT, 3</t>
  </si>
  <si>
    <t>2.2655, 41.548528</t>
  </si>
  <si>
    <t>08170</t>
  </si>
  <si>
    <t>12615</t>
  </si>
  <si>
    <t>0183061035</t>
  </si>
  <si>
    <t>CRED RODA DE BERÁ</t>
  </si>
  <si>
    <t>CL VALLESPIR, 118</t>
  </si>
  <si>
    <t>1.490806, 41.177944</t>
  </si>
  <si>
    <t>EFITEC 95 N - España, DIESEL E+ NEO - España, DIESEL E+10 NEO - España, Butano 6 Kg (K6), Propano 11 Kg, Butano 12 Kg (NEL)</t>
  </si>
  <si>
    <t>34512</t>
  </si>
  <si>
    <t>0183063429</t>
  </si>
  <si>
    <t>CRED AV CONSTITUCION</t>
  </si>
  <si>
    <t>CL AVENIDA DE LA CONSTITUCION, 3</t>
  </si>
  <si>
    <t>-3.576333, 40.42</t>
  </si>
  <si>
    <t>28820</t>
  </si>
  <si>
    <t>33235</t>
  </si>
  <si>
    <t>0183001262</t>
  </si>
  <si>
    <t>CRED LLODIO</t>
  </si>
  <si>
    <t>LLODIO</t>
  </si>
  <si>
    <t>CL ARETA, 2</t>
  </si>
  <si>
    <t>-2.951361, 43.148639</t>
  </si>
  <si>
    <t>01400</t>
  </si>
  <si>
    <t>34490</t>
  </si>
  <si>
    <t>0183013341</t>
  </si>
  <si>
    <t>CRED MATARÓ I</t>
  </si>
  <si>
    <t>CR C-1415, 1,4</t>
  </si>
  <si>
    <t>2.421222, 41.54125</t>
  </si>
  <si>
    <t>08301</t>
  </si>
  <si>
    <t>04258</t>
  </si>
  <si>
    <t>0183003862</t>
  </si>
  <si>
    <t>CRED LA FRONTERA</t>
  </si>
  <si>
    <t>CAMPILLO DE ARENAS</t>
  </si>
  <si>
    <t>CL AUTOVIA BAILEN-MOTRIL I, 69,4</t>
  </si>
  <si>
    <t>-3.603417, 37.592694</t>
  </si>
  <si>
    <t>23130</t>
  </si>
  <si>
    <t>96209</t>
  </si>
  <si>
    <t>0183076629</t>
  </si>
  <si>
    <t>CRED. ESTEPA M.I.</t>
  </si>
  <si>
    <t>CR A-92, 110,1</t>
  </si>
  <si>
    <t>-4.87975, 37.302361</t>
  </si>
  <si>
    <t>Parking turismos, Parking camiones, Zona de descanso, Duchas, Waylet pago en surtidor, Waylet pago en caja, Adblue Envasado, Punto recarga eléctrico Repsol</t>
  </si>
  <si>
    <t>34371</t>
  </si>
  <si>
    <t>0183011162</t>
  </si>
  <si>
    <t>CRED TORO</t>
  </si>
  <si>
    <t>TORO</t>
  </si>
  <si>
    <t>AV CARLOS DE LA TORRE 34</t>
  </si>
  <si>
    <t>-5.386194, 41.523167</t>
  </si>
  <si>
    <t>49800</t>
  </si>
  <si>
    <t>96683</t>
  </si>
  <si>
    <t>0183112143</t>
  </si>
  <si>
    <t>CRED APEDADERO</t>
  </si>
  <si>
    <t>CR  A-3 , P.K. 306,5</t>
  </si>
  <si>
    <t>-0.904528, 39.456</t>
  </si>
  <si>
    <t>Cafetería/Bar, Parking turismos, Parking camiones, Zona de descanso, Box presión, Aspiradores, Waylet pago en surtidor, Waylet pago en caja</t>
  </si>
  <si>
    <t>15533</t>
  </si>
  <si>
    <t>0063197024</t>
  </si>
  <si>
    <t>CRED CÁCERES II</t>
  </si>
  <si>
    <t>CR N-521, 45</t>
  </si>
  <si>
    <t>-6.362583, 39.482028</t>
  </si>
  <si>
    <t>10004</t>
  </si>
  <si>
    <t>Restaurante, Cafetería/Bar, Parking turismos, Zona de descanso, Waylet pago en surtidor, Waylet pago en caja, Adblue Envasado, Punto recarga eléctrico Repsol</t>
  </si>
  <si>
    <t>0183050673</t>
  </si>
  <si>
    <t>CRED ALTUBE M.D.</t>
  </si>
  <si>
    <t>-2.873583, 42.966472</t>
  </si>
  <si>
    <t>96198</t>
  </si>
  <si>
    <t>0183100593</t>
  </si>
  <si>
    <t>CRED MARKINA</t>
  </si>
  <si>
    <t>MARKINA</t>
  </si>
  <si>
    <t>CR BI-633 BERRIZ-ONDARROA, 45,9</t>
  </si>
  <si>
    <t>-2.523694, 43.259611</t>
  </si>
  <si>
    <t>48270</t>
  </si>
  <si>
    <t>EFITEC 95 N - España, EFITEC 98 N - España, Butano 12,5 Kg, DIESEL E+ NEO - España, DIESEL NEXA 100% RENOVABLE - Esp, Butano 6 Kg (K6), Butano 12 Kg (NEL)</t>
  </si>
  <si>
    <t>34622</t>
  </si>
  <si>
    <t>0183052547</t>
  </si>
  <si>
    <t>CRED LA VILAVELLA</t>
  </si>
  <si>
    <t>NULES</t>
  </si>
  <si>
    <t>CR CS-220, 1,2</t>
  </si>
  <si>
    <t>-0.168, 39.856528</t>
  </si>
  <si>
    <t>12520</t>
  </si>
  <si>
    <t>33499</t>
  </si>
  <si>
    <t>0202052213</t>
  </si>
  <si>
    <t>CRED ARABI</t>
  </si>
  <si>
    <t>CR MU-424, 31</t>
  </si>
  <si>
    <t>-1.109361, 38.617861</t>
  </si>
  <si>
    <t>96744</t>
  </si>
  <si>
    <t>0183118306</t>
  </si>
  <si>
    <t>CRED DIAGONAL PLAZA</t>
  </si>
  <si>
    <t>CL AVDA DIAGONAL PLAZA ,13</t>
  </si>
  <si>
    <t>-0.991167, 41.636028</t>
  </si>
  <si>
    <t>50197</t>
  </si>
  <si>
    <t>96316</t>
  </si>
  <si>
    <t>0183101302</t>
  </si>
  <si>
    <t>CRED HONRUBIA</t>
  </si>
  <si>
    <t>HONRUBIA</t>
  </si>
  <si>
    <t>CR CM-3112  (A-3 P.K. 166 MG.DE.),</t>
  </si>
  <si>
    <t>-2.28075, 39.596361</t>
  </si>
  <si>
    <t>16730</t>
  </si>
  <si>
    <t>96120</t>
  </si>
  <si>
    <t>0183080241</t>
  </si>
  <si>
    <t>E.S. CARBURANTES EDYCA SLU</t>
  </si>
  <si>
    <t>GRAJERA</t>
  </si>
  <si>
    <t>CR A-1, 121,1</t>
  </si>
  <si>
    <t>-3.641806, 41.367417</t>
  </si>
  <si>
    <t>40569</t>
  </si>
  <si>
    <t>96723</t>
  </si>
  <si>
    <t>0183122423</t>
  </si>
  <si>
    <t>CRED COIROS II</t>
  </si>
  <si>
    <t>A-6 P.K. 558 M.I.</t>
  </si>
  <si>
    <t>-8.134444, 43.239167</t>
  </si>
  <si>
    <t>96792</t>
  </si>
  <si>
    <t>0183117118</t>
  </si>
  <si>
    <t>CRED EL MESON</t>
  </si>
  <si>
    <t>EROSA</t>
  </si>
  <si>
    <t>CR  N-525 , P.K. 136,7 I</t>
  </si>
  <si>
    <t>-7.180722, 42.032111</t>
  </si>
  <si>
    <t>32547</t>
  </si>
  <si>
    <t>96106</t>
  </si>
  <si>
    <t>0183079995</t>
  </si>
  <si>
    <t>CRED COLLSEROLA</t>
  </si>
  <si>
    <t>CL COLLSEROLA, 2</t>
  </si>
  <si>
    <t>2.136472, 41.41625</t>
  </si>
  <si>
    <t>08035</t>
  </si>
  <si>
    <t>EFITEC 95 N - España, Gasolina 95 Nexa origen 100 % renovable, EFITEC 98 N - España, Butano 12,5 Kg, DIESEL E+ NEO - España, Diésel e+5, DIESEL NEXA 100% RENOVABLE - Esp, Butano 6 Kg (K6), Autogás</t>
  </si>
  <si>
    <t>33362</t>
  </si>
  <si>
    <t>0183001338</t>
  </si>
  <si>
    <t>CRED CIUDAD RODRIGO</t>
  </si>
  <si>
    <t>CIUDAD RODRIGO</t>
  </si>
  <si>
    <t>AVDA SALAMANCA, 44</t>
  </si>
  <si>
    <t>-6.528806, 40.604111</t>
  </si>
  <si>
    <t>37500</t>
  </si>
  <si>
    <t>0183001619</t>
  </si>
  <si>
    <t>CRED MATEMAR SUECA</t>
  </si>
  <si>
    <t>SUECA</t>
  </si>
  <si>
    <t>CR N-332, 256,1</t>
  </si>
  <si>
    <t>-0.317694, 39.204722</t>
  </si>
  <si>
    <t>46410</t>
  </si>
  <si>
    <t>96652</t>
  </si>
  <si>
    <t>0183110915</t>
  </si>
  <si>
    <t>CRED PORTAL DE GAMARRA</t>
  </si>
  <si>
    <t>AV AVENIDA DEL CANTABRICO,8 -(PG PO</t>
  </si>
  <si>
    <t>-2.660222, 42.864667</t>
  </si>
  <si>
    <t>01013</t>
  </si>
  <si>
    <t>Lavado cepillos, Box presión, Aspiradores, Lavandería, Waylet pago en surtidor, Waylet pago en caja, Punto recarga eléctrico Repsol, Lavados Klin, Recarga eléctrica</t>
  </si>
  <si>
    <t>15487</t>
  </si>
  <si>
    <t>0183051366</t>
  </si>
  <si>
    <t>CRED DEIFONTES</t>
  </si>
  <si>
    <t>DEIFONTES</t>
  </si>
  <si>
    <t>CR A-44 P.K. 105</t>
  </si>
  <si>
    <t>-3.619194, 37.344</t>
  </si>
  <si>
    <t>18570</t>
  </si>
  <si>
    <t>Cafetería/Bar, Parking turismos, Parking camiones, Waylet pago en surtidor, Waylet pago en caja</t>
  </si>
  <si>
    <t>96300</t>
  </si>
  <si>
    <t>0183100601</t>
  </si>
  <si>
    <t>CRED S.S. DE LOS REYES II</t>
  </si>
  <si>
    <t>CL REAL  (ANTIGUA N-1), 120</t>
  </si>
  <si>
    <t>-3.618861, 40.5525</t>
  </si>
  <si>
    <t>96400</t>
  </si>
  <si>
    <t>0183109057</t>
  </si>
  <si>
    <t>CRED EL MONTICO I</t>
  </si>
  <si>
    <t>CR A-8  P.K. 401,5 D</t>
  </si>
  <si>
    <t>-5.819694, 43.514361</t>
  </si>
  <si>
    <t>Rest. Autoservicio, Restaurante, Cafetería/Bar, Parking turismos, Parking camiones, Waylet pago en surtidor, Waylet pago en caja</t>
  </si>
  <si>
    <t>96923</t>
  </si>
  <si>
    <t>0183120229</t>
  </si>
  <si>
    <t>CRED VILASECA</t>
  </si>
  <si>
    <t>VILA-SECA</t>
  </si>
  <si>
    <t>VILA DEL COMU 8POL. IND. L'ALBA PAR</t>
  </si>
  <si>
    <t>1.152361, 41.117361</t>
  </si>
  <si>
    <t>43480</t>
  </si>
  <si>
    <t>Cafetería/Bar, Parking turismos, Zona de descanso, Aspiradores, Waylet pago en surtidor, Waylet pago en caja, Adblue Envasado, Punto recarga eléctrico Repsol, Lavados Klin</t>
  </si>
  <si>
    <t>33349</t>
  </si>
  <si>
    <t>0183009687</t>
  </si>
  <si>
    <t>CRED CABEZÓN</t>
  </si>
  <si>
    <t>CABEZON DE PISUERGA</t>
  </si>
  <si>
    <t>CR A-62, 112,0</t>
  </si>
  <si>
    <t>-4.659833, 41.744056</t>
  </si>
  <si>
    <t>47260</t>
  </si>
  <si>
    <t>Restaurante, Cafetería/Bar, Taller mecánico, Taller neumáticos, Parking turismos, Parking camiones, Zona de descanso, Duchas, Waylet pago en surtidor, Waylet pago en caja, Adblue Envasado</t>
  </si>
  <si>
    <t>12210</t>
  </si>
  <si>
    <t>0183057090</t>
  </si>
  <si>
    <t>CRED ZUBIETA</t>
  </si>
  <si>
    <t>LASARTE</t>
  </si>
  <si>
    <t>CR N-1  Bº ZUBIETA, 451</t>
  </si>
  <si>
    <t>-2.021972, 43.252778</t>
  </si>
  <si>
    <t>20160</t>
  </si>
  <si>
    <t>Cafetería/Bar, Lavado cepillos, Parking turismos, Parking camiones, Zona de descanso, Box presión, Aspiradores, Waylet pago en surtidor, Waylet pago en caja, Punto recarga eléctrico Repsol</t>
  </si>
  <si>
    <t>05910</t>
  </si>
  <si>
    <t>0183013093</t>
  </si>
  <si>
    <t>CRED TAGAMANENT</t>
  </si>
  <si>
    <t>TAGAMANENT</t>
  </si>
  <si>
    <t>CR C-17, 36,23</t>
  </si>
  <si>
    <t>2.266944, 41.738111</t>
  </si>
  <si>
    <t>08591</t>
  </si>
  <si>
    <t>EFITEC 95 N - España, EFITEC 98 N - España, Butano 12,5 Kg, DIESEL E+ NEO - España, DIESEL NEXA 100% RENOVABLE - Esp, Autogás</t>
  </si>
  <si>
    <t>Restaurante, Parking turismos, Waylet pago en surtidor, Waylet pago en caja, Adblue Envasado</t>
  </si>
  <si>
    <t>04109</t>
  </si>
  <si>
    <t>0183124353</t>
  </si>
  <si>
    <t>E.S. PLAZA ESPAÑA E.S.</t>
  </si>
  <si>
    <t>PLAZA ESPAÑA</t>
  </si>
  <si>
    <t>-8.719972, 42.228889</t>
  </si>
  <si>
    <t>36203</t>
  </si>
  <si>
    <t>Cafetería/Bar, Lavado cepillos, Box presión, Aspiradores, Solred cheque lavado, Waylet pago en caja</t>
  </si>
  <si>
    <t>34434</t>
  </si>
  <si>
    <t>0183014547</t>
  </si>
  <si>
    <t>CRED LA AZUCARERA</t>
  </si>
  <si>
    <t>AV VELAZQUEZ, 208</t>
  </si>
  <si>
    <t>-4.468444, 36.682167</t>
  </si>
  <si>
    <t>96373</t>
  </si>
  <si>
    <t>0183105592</t>
  </si>
  <si>
    <t>CRED ARCHIDUQUE CARLOS</t>
  </si>
  <si>
    <t>CL ARCHIDUQUE CARLOS, 70</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</si>
  <si>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</si>
  <si>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</si>
  <si>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</si>
  <si>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</si>
  <si>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96675</t>
  </si>
  <si>
    <t>0183111947</t>
  </si>
  <si>
    <t>CRED LA PRINCESA</t>
  </si>
  <si>
    <t>CL CAMINO DE LEGANES,55</t>
  </si>
  <si>
    <t>-3.847306, 40.324333</t>
  </si>
  <si>
    <t>28922</t>
  </si>
  <si>
    <t>34376</t>
  </si>
  <si>
    <t>0183001676</t>
  </si>
  <si>
    <t>CRED IURRETA</t>
  </si>
  <si>
    <t>IURRETA</t>
  </si>
  <si>
    <t>CR N-634, 81,7</t>
  </si>
  <si>
    <t>-2.641389, 43.175167</t>
  </si>
  <si>
    <t>48215</t>
  </si>
  <si>
    <t>11654</t>
  </si>
  <si>
    <t>0183052034</t>
  </si>
  <si>
    <t>CRED VERA DE BIDASOA MD</t>
  </si>
  <si>
    <t>CRTA N-121 A    KM 66  MD</t>
  </si>
  <si>
    <t>-1.708583, 43.278111</t>
  </si>
  <si>
    <t>EFITEC 95 N - España, DIESEL E+ NEO - España, DIESEL NEXA 100% RENOVABLE - Esp, GO-B BONIF - España, Butano 6 Kg (K6), Propano 11 Kg, BLUE+GRANEL - España, Butano 12 Kg (NEL)</t>
  </si>
  <si>
    <t>96960</t>
  </si>
  <si>
    <t>0183122969</t>
  </si>
  <si>
    <t>CRED. SALINAS DE SAN PEDRO</t>
  </si>
  <si>
    <t>SAN PEDRO DEL PINATAR</t>
  </si>
  <si>
    <t>AVDA. DEL PUERTO S/N</t>
  </si>
  <si>
    <t>-0.775833, 37.844444</t>
  </si>
  <si>
    <t>30740</t>
  </si>
  <si>
    <t>Parking turismos, Box presión, Aspiradores, Waylet pago en surtidor, Waylet pago en caja, Punto recarga eléctrico Repsol, Lavados Klin</t>
  </si>
  <si>
    <t>04593</t>
  </si>
  <si>
    <t>0183018365</t>
  </si>
  <si>
    <t>CRED PONTEVEDRA</t>
  </si>
  <si>
    <t>CL DOMINGO FONTAN (EL BURGO), S.N.</t>
  </si>
  <si>
    <t>-8.643972, 42.436444</t>
  </si>
  <si>
    <t>36005</t>
  </si>
  <si>
    <t>Lavado cepillos, Solred cheque lavado, Waylet pago en surtidor, Waylet pago en caja, Adblue Envasado</t>
  </si>
  <si>
    <t>03695</t>
  </si>
  <si>
    <t>0183001106</t>
  </si>
  <si>
    <t>CRED MARTINEZ DE VELASCO</t>
  </si>
  <si>
    <t>CL AVENIDA MARTINEZ DE VELASCO, 53</t>
  </si>
  <si>
    <t>-0.417278, 42.131611</t>
  </si>
  <si>
    <t>10987</t>
  </si>
  <si>
    <t>0183052240</t>
  </si>
  <si>
    <t>E.S. GASLOSA</t>
  </si>
  <si>
    <t>LOZOYA</t>
  </si>
  <si>
    <t>CR C-604, 14,1</t>
  </si>
  <si>
    <t>-3.784111, 40.955389</t>
  </si>
  <si>
    <t>28742</t>
  </si>
  <si>
    <t>0183004571</t>
  </si>
  <si>
    <t>CRED SAN MARTIN IZDO</t>
  </si>
  <si>
    <t>S.MARTIN DE VALDEIGLESIAS</t>
  </si>
  <si>
    <t>CR M-501, 54,1</t>
  </si>
  <si>
    <t>-4.379472, 40.3575</t>
  </si>
  <si>
    <t>28680</t>
  </si>
  <si>
    <t>L-V: 06:00-22:00; S-D: 07:00-23:00</t>
  </si>
  <si>
    <t>15180</t>
  </si>
  <si>
    <t>0183059203</t>
  </si>
  <si>
    <t>CRED PALAUTORDERA</t>
  </si>
  <si>
    <t>SANTA MARIA DE PALAUTORDERA</t>
  </si>
  <si>
    <t>CR C-35 , P.K. 51</t>
  </si>
  <si>
    <t>2.450278, 41.657444</t>
  </si>
  <si>
    <t>08460</t>
  </si>
  <si>
    <t>Restaurante, Cafetería/Bar, Taller mecánico, Taller neumáticos, Parking turismos, Parking camiones, Zona de descanso, Waylet pago en surtidor, Waylet pago en caja, Adblue Envasado</t>
  </si>
  <si>
    <t>10635</t>
  </si>
  <si>
    <t>0183007129</t>
  </si>
  <si>
    <t>CRED LAS TRIANAS</t>
  </si>
  <si>
    <t>VITORIA</t>
  </si>
  <si>
    <t>CL TRIANAS, 17</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</si>
  <si>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</si>
  <si>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</si>
  <si>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</si>
  <si>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</si>
  <si>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92598</t>
  </si>
  <si>
    <t>0183125368</t>
  </si>
  <si>
    <t>E.S. FONT VELLA SL</t>
  </si>
  <si>
    <t>TREMP</t>
  </si>
  <si>
    <t>AVENIDA PIRINEO, 1</t>
  </si>
  <si>
    <t>0.895, 42.171361</t>
  </si>
  <si>
    <t>25620</t>
  </si>
  <si>
    <t>Box presión, Aspiradores, Solred cheque lavado, Waylet pago en caja</t>
  </si>
  <si>
    <t>96834</t>
  </si>
  <si>
    <t>0183121425</t>
  </si>
  <si>
    <t>CRED T4 AIRE</t>
  </si>
  <si>
    <t xml:space="preserve"> Avda. de la Hispanidad, 44  BARAJA</t>
  </si>
  <si>
    <t>-3.584917, 40.502417</t>
  </si>
  <si>
    <t>EFITEC 95 N - España, DIESEL E+ NEO - España, DIESEL E+10 NEO - España, GO-B BONIF - España, Gasóleo B Nexa origen 100 % renovable</t>
  </si>
  <si>
    <t>34545</t>
  </si>
  <si>
    <t>0183000942</t>
  </si>
  <si>
    <t>CRED VILASSAR DE DALT</t>
  </si>
  <si>
    <t>VILASSAR DE DALT</t>
  </si>
  <si>
    <t>CL PIO XII, S.N.</t>
  </si>
  <si>
    <t>2.361389, 41.511278</t>
  </si>
  <si>
    <t>08339</t>
  </si>
  <si>
    <t>12217</t>
  </si>
  <si>
    <t>0183061043</t>
  </si>
  <si>
    <t>BF SERVICIOS OIL S.A</t>
  </si>
  <si>
    <t>SAN CLEMENTE</t>
  </si>
  <si>
    <t>CR N-310, 153,3</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</si>
  <si>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</si>
  <si>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</si>
  <si>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</si>
  <si>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</si>
  <si>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34182</t>
  </si>
  <si>
    <t>0183007293</t>
  </si>
  <si>
    <t>CRED LA RODA</t>
  </si>
  <si>
    <t>CL AVDA. VALENCIA, S.N.</t>
  </si>
  <si>
    <t>0.159972, 38.785444</t>
  </si>
  <si>
    <t>15452</t>
  </si>
  <si>
    <t>0183135318</t>
  </si>
  <si>
    <t>CRED TEIA</t>
  </si>
  <si>
    <t>CTRA C-32, KM 89</t>
  </si>
  <si>
    <t>2.333917, 41.493028</t>
  </si>
  <si>
    <t>96169</t>
  </si>
  <si>
    <t>0183101104</t>
  </si>
  <si>
    <t>CRED EL VENDRELL</t>
  </si>
  <si>
    <t>VENDRELL, EL</t>
  </si>
  <si>
    <t>CL AVDA JAUME CARNER ESQ.C/DEL MAR,</t>
  </si>
  <si>
    <t>1.536972, 41.219778</t>
  </si>
  <si>
    <t>43700</t>
  </si>
  <si>
    <t>31229</t>
  </si>
  <si>
    <t>0183055631</t>
  </si>
  <si>
    <t>E.S. VERIN,S.A.</t>
  </si>
  <si>
    <t>TRASMIRAS</t>
  </si>
  <si>
    <t>CR N-525, 186,8  I</t>
  </si>
  <si>
    <t>-7.608472, 42.019583</t>
  </si>
  <si>
    <t>32695</t>
  </si>
  <si>
    <t>Cafetería/Bar, Lavado cepillos, Parking turismos, Parking camiones, Zona de descanso, Box presión, Duchas, Aspiradores, Solred cheque lavado, Waylet pago en caja, Punto recarga eléctrico Repsol</t>
  </si>
  <si>
    <t>15934</t>
  </si>
  <si>
    <t>0183013390</t>
  </si>
  <si>
    <t>CRED LANDABEN</t>
  </si>
  <si>
    <t>CL POLIGONO LANDABEN, S.N.</t>
  </si>
  <si>
    <t>-1.684278, 42.814333</t>
  </si>
  <si>
    <t>31012</t>
  </si>
  <si>
    <t>Lavado cepillos, Aspiradores, Solred cheque lavado, Waylet pago en surtidor, Waylet pago en caja, Punto recarga eléctrico Repsol</t>
  </si>
  <si>
    <t>03573</t>
  </si>
  <si>
    <t>0183115252</t>
  </si>
  <si>
    <t>ES GARAJE SAN ROQUE</t>
  </si>
  <si>
    <t>CL SAN ROQUE ,90-92</t>
  </si>
  <si>
    <t>-7.549944, 43.002583</t>
  </si>
  <si>
    <t>27002</t>
  </si>
  <si>
    <t>Lavado cepillos, Parking turismos, Box presión, Solred cheque lavado, Waylet pago en caja</t>
  </si>
  <si>
    <t>97093</t>
  </si>
  <si>
    <t>0183131028</t>
  </si>
  <si>
    <t>CRED LA GARENA</t>
  </si>
  <si>
    <t>AVDA. JUAN CARLOS I, SN</t>
  </si>
  <si>
    <t>-3.400361, 40.481167</t>
  </si>
  <si>
    <t>28806</t>
  </si>
  <si>
    <t>EFITEC 95 N - España, Efitec 95 Premium, Gasolina 95 Nexa origen 100 % renovable, EFITEC 98 N - España, DIESEL E+ NEO - España, DIESEL NEXA 100% RENOVABLE - Esp, BLUE+GRANEL - España, Autogás, Butano 12 Kg (NEL)</t>
  </si>
  <si>
    <t>96794</t>
  </si>
  <si>
    <t>0183119163</t>
  </si>
  <si>
    <t>CRED CASASOLA</t>
  </si>
  <si>
    <t>CTRA.VILLABAÑEZ S/N ESQ. RONDA EST</t>
  </si>
  <si>
    <t>-4.694083, 41.646306</t>
  </si>
  <si>
    <t>47012</t>
  </si>
  <si>
    <t>02496</t>
  </si>
  <si>
    <t>0063194120</t>
  </si>
  <si>
    <t>CRED MOTILLA DEL PALANCAR</t>
  </si>
  <si>
    <t>MOTILLA DEL PALANCAR</t>
  </si>
  <si>
    <t>CR N-3, 199,3</t>
  </si>
  <si>
    <t>-1.911028, 39.56425</t>
  </si>
  <si>
    <t>16200</t>
  </si>
  <si>
    <t>96849</t>
  </si>
  <si>
    <t>0183119841</t>
  </si>
  <si>
    <t>CRED LAS TABLAS</t>
  </si>
  <si>
    <t>PAU LAS TABLAS SP-10</t>
  </si>
  <si>
    <t>-3.661944, 40.501389</t>
  </si>
  <si>
    <t>28050</t>
  </si>
  <si>
    <t>EFITEC 95 N - España, Efitec 95 Premium, Gasolina 95 Nexa origen 100 % renovable, EFITEC 98 N - España, DIESEL E+ NEO - España, DIESEL NEXA 100% RENOVABLE - Esp, Butano 6 Kg (K6), BLUE+GRANEL - España, Autogás, Butano 12 Kg (NEL)</t>
  </si>
  <si>
    <t>15643</t>
  </si>
  <si>
    <t>0183056886</t>
  </si>
  <si>
    <t>CRED ABEJAR</t>
  </si>
  <si>
    <t>ABEJAR</t>
  </si>
  <si>
    <t>CR N-234, 376,5</t>
  </si>
  <si>
    <t>-2.786306, 41.805583</t>
  </si>
  <si>
    <t>42146</t>
  </si>
  <si>
    <t>L-D: 7:00-23:00</t>
  </si>
  <si>
    <t>Parking turismos, Zona de descanso, Box presión, Duchas, Aspiradores, Waylet pago en surtidor, Waylet pago en caja</t>
  </si>
  <si>
    <t>96984</t>
  </si>
  <si>
    <t>0183123595</t>
  </si>
  <si>
    <t>CRED LUCENA AUTOPISTA M.D.</t>
  </si>
  <si>
    <t>Ctra. A-45 p.k. 51,0 M.D.</t>
  </si>
  <si>
    <t>-4.551917, 37.439778</t>
  </si>
  <si>
    <t>96328</t>
  </si>
  <si>
    <t>0183101864</t>
  </si>
  <si>
    <t>CRED RÍO CASTOR II</t>
  </si>
  <si>
    <t>AU AP-7  161,00 D</t>
  </si>
  <si>
    <t>-5.114944, 36.465167</t>
  </si>
  <si>
    <t>34298</t>
  </si>
  <si>
    <t>0063212484</t>
  </si>
  <si>
    <t>CRED VILANOVA</t>
  </si>
  <si>
    <t>VILANOVA DEL VALLES</t>
  </si>
  <si>
    <t>CR BV-5001 SANT ADRIA-LA ROCA, 19,9</t>
  </si>
  <si>
    <t>2.285083, 41.551778</t>
  </si>
  <si>
    <t>08410</t>
  </si>
  <si>
    <t>96698</t>
  </si>
  <si>
    <t>0183112952</t>
  </si>
  <si>
    <t>CRED TORRE VALLE  II</t>
  </si>
  <si>
    <t>CR  A-6 P.K. 273 M.I.</t>
  </si>
  <si>
    <t>-5.715528, 42.089278</t>
  </si>
  <si>
    <t>96799</t>
  </si>
  <si>
    <t>0183119577</t>
  </si>
  <si>
    <t>CRED TIRANT LO BLANCH</t>
  </si>
  <si>
    <t>CL AVDA.TIRANT LO BLANC,S/N</t>
  </si>
  <si>
    <t>-0.472556, 38.70875</t>
  </si>
  <si>
    <t>03801</t>
  </si>
  <si>
    <t>EFITEC 95 N - España, EFITEC 98 N - España, Butano 12,5 Kg, DIESEL E+ NEO - España, DIESEL E+10 NEO - España, Propano 11 Kg, Autogás, Butano 12 Kg (NEL)</t>
  </si>
  <si>
    <t>13167</t>
  </si>
  <si>
    <t>0183061209</t>
  </si>
  <si>
    <t>E.S. GALURESA ROXOS</t>
  </si>
  <si>
    <t>ROXOS</t>
  </si>
  <si>
    <t>CR C-543, 6,4</t>
  </si>
  <si>
    <t>-8.622611, 42.873167</t>
  </si>
  <si>
    <t>13343</t>
  </si>
  <si>
    <t>0183062652</t>
  </si>
  <si>
    <t>CRED LA ALBERICIA</t>
  </si>
  <si>
    <t>CTRA LA ALBERICIA-SARDINERO, KM 0,1</t>
  </si>
  <si>
    <t>-3.838528, 43.463083</t>
  </si>
  <si>
    <t>39012</t>
  </si>
  <si>
    <t>96663</t>
  </si>
  <si>
    <t>0183111707</t>
  </si>
  <si>
    <t>CRED VENTA DEL MORO</t>
  </si>
  <si>
    <t>CAUDETE DE LAS FUENTES</t>
  </si>
  <si>
    <t>CR  A-3 P.K. 266,1 M.D.</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</si>
  <si>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</si>
  <si>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</si>
  <si>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</si>
  <si>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</si>
  <si>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33411</t>
  </si>
  <si>
    <t>0183008986</t>
  </si>
  <si>
    <t>CRED LOS ALAMOS</t>
  </si>
  <si>
    <t>CR N-4, 412</t>
  </si>
  <si>
    <t>-4.811, 37.797444</t>
  </si>
  <si>
    <t>14190</t>
  </si>
  <si>
    <t>Cafetería/Bar, Parking turismos, Parking camiones, Duchas, Waylet pago en surtidor, Waylet pago en caja</t>
  </si>
  <si>
    <t>15891</t>
  </si>
  <si>
    <t>0008363467</t>
  </si>
  <si>
    <t>CRED MERCABARNA</t>
  </si>
  <si>
    <t>CL N.6-SEC.C Z.FRANCA-MERCAB., 0</t>
  </si>
  <si>
    <t>2.113944, 41.328028</t>
  </si>
  <si>
    <t>08040</t>
  </si>
  <si>
    <t>EFITEC 95 N - España, EFITEC 98 N - España, Butano 12,5 Kg, DIESEL E+ NEO - España, DIESEL NEXA 100% RENOVABLE - Esp, GO-B BONIF - España, Propano 11 Kg, BLUE+GRANEL - España, Autogás</t>
  </si>
  <si>
    <t>31091</t>
  </si>
  <si>
    <t>0183004126</t>
  </si>
  <si>
    <t>CRED EL CERRO</t>
  </si>
  <si>
    <t>CR CL-601, 4,9</t>
  </si>
  <si>
    <t>-4.709417, 41.608861</t>
  </si>
  <si>
    <t>33079</t>
  </si>
  <si>
    <t>0183007178</t>
  </si>
  <si>
    <t>CRED MONTECARMELO</t>
  </si>
  <si>
    <t>MADRID - FUENCARRAL</t>
  </si>
  <si>
    <t>CR M-607, 11,7</t>
  </si>
  <si>
    <t>-3.691194, 40.507278</t>
  </si>
  <si>
    <t>34168</t>
  </si>
  <si>
    <t>0183002567</t>
  </si>
  <si>
    <t>CR N-2, 435</t>
  </si>
  <si>
    <t>0.347444, 41.525333</t>
  </si>
  <si>
    <t>L-V: 05:00-23:00; S: 07:00-13:00</t>
  </si>
  <si>
    <t>EFITEC 95 N - España, Butano 12,5 Kg, DIESEL E+ NEO - España, DIESEL E+10 NEO - España, GO-B BONIF - España, Butano 6 Kg (K6), Propano 11 Kg, BLUE+GRANEL - España</t>
  </si>
  <si>
    <t>96390</t>
  </si>
  <si>
    <t>0183105675</t>
  </si>
  <si>
    <t>CRED ENTRAMBASAGUAS</t>
  </si>
  <si>
    <t>AU A-8, 195</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</si>
  <si>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</si>
  <si>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</si>
  <si>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</si>
  <si>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11447</t>
  </si>
  <si>
    <t>0183008432</t>
  </si>
  <si>
    <t>CRED CERDEÑO</t>
  </si>
  <si>
    <t>CERDEÑO</t>
  </si>
  <si>
    <t>CR N-634, 406</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</si>
  <si>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</si>
  <si>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</si>
  <si>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</si>
  <si>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33190</t>
  </si>
  <si>
    <t>0183003318</t>
  </si>
  <si>
    <t>CRED CABO DE PALOS</t>
  </si>
  <si>
    <t>CABO DE PALOS-LA MANGA</t>
  </si>
  <si>
    <t>CR MU-312, 14,9</t>
  </si>
  <si>
    <t>-0.708889, 37.627944</t>
  </si>
  <si>
    <t>96170</t>
  </si>
  <si>
    <t>0183101138</t>
  </si>
  <si>
    <t>CRED BOCEGUILLAS</t>
  </si>
  <si>
    <t>BOCEGUILLAS</t>
  </si>
  <si>
    <t>AT  A-1 P.K. 116,0 D</t>
  </si>
  <si>
    <t>-3.631417, 41.325139</t>
  </si>
  <si>
    <t>40560</t>
  </si>
  <si>
    <t>96240</t>
  </si>
  <si>
    <t>0183077049</t>
  </si>
  <si>
    <t>CRED ALCALÁ DE HENARES</t>
  </si>
  <si>
    <t>CR M-300, 30.3</t>
  </si>
  <si>
    <t>-3.413139, 40.471222</t>
  </si>
  <si>
    <t>Lavado cepillos, Lavado camiones, Box presión, Aspiradores, Solred cheque lavado, Waylet pago en surtidor, Waylet pago en caja, Punto recarga eléctrico Repsol, Lavados Klin</t>
  </si>
  <si>
    <t>12318</t>
  </si>
  <si>
    <t>0183059963</t>
  </si>
  <si>
    <t>CRED SON ANTEM</t>
  </si>
  <si>
    <t>CTRA. MA-19,KM. 20</t>
  </si>
  <si>
    <t>2.831722, 39.483944</t>
  </si>
  <si>
    <t>33948</t>
  </si>
  <si>
    <t>0183004936</t>
  </si>
  <si>
    <t>CRED CARRER DE U.</t>
  </si>
  <si>
    <t>BALAGUER</t>
  </si>
  <si>
    <t>CL URGEL, 11</t>
  </si>
  <si>
    <t>0.810972, 41.793083</t>
  </si>
  <si>
    <t>25600</t>
  </si>
  <si>
    <t>EFITEC 95 N - España, Efitec 95 Premium, EFITEC 98 N - España, DIESEL E+ NEO - España, DIESEL NEXA 100% RENOVABLE - Esp, GO-B BONIF - España, Butano 12 Kg (NEL)</t>
  </si>
  <si>
    <t>96703</t>
  </si>
  <si>
    <t>0183116755</t>
  </si>
  <si>
    <t>CRED LOS BARRIOS</t>
  </si>
  <si>
    <t>BARRIOS, LOS</t>
  </si>
  <si>
    <t>CR  A-381 , P.K. 80 M.I.</t>
  </si>
  <si>
    <t>-5.514944, 36.2</t>
  </si>
  <si>
    <t>11370</t>
  </si>
  <si>
    <t>96685</t>
  </si>
  <si>
    <t>0183113273</t>
  </si>
  <si>
    <t>CRED IBARRETA</t>
  </si>
  <si>
    <t>BARAKALDO</t>
  </si>
  <si>
    <t>CL DE LA RIBERA , 11</t>
  </si>
  <si>
    <t>-3.004722, 43.292806</t>
  </si>
  <si>
    <t>48902</t>
  </si>
  <si>
    <t>34263</t>
  </si>
  <si>
    <t>0183056746</t>
  </si>
  <si>
    <t>CRED TORRELODONES</t>
  </si>
  <si>
    <t>TORRELODONES</t>
  </si>
  <si>
    <t>CR A-6, 28,2</t>
  </si>
  <si>
    <t>-3.917333, 40.568222</t>
  </si>
  <si>
    <t>28250</t>
  </si>
  <si>
    <t>96922</t>
  </si>
  <si>
    <t>0183124759</t>
  </si>
  <si>
    <t>CRED RONDA DE CORDOBA</t>
  </si>
  <si>
    <t>CTRA CAMINO DE TURRUÑUELOS, PARCELA</t>
  </si>
  <si>
    <t>-4.80675, 37.894722</t>
  </si>
  <si>
    <t>14011</t>
  </si>
  <si>
    <t>11769</t>
  </si>
  <si>
    <t>0183018936</t>
  </si>
  <si>
    <t>CRED SAN JUAN DE AZNALFARACHE</t>
  </si>
  <si>
    <t>CR SE-640, PK. 0,7</t>
  </si>
  <si>
    <t>-6.036583, 37.362639</t>
  </si>
  <si>
    <t>Lavado cepillos, Waylet pago en surtidor, Waylet pago en caja, Punto recarga eléctrico Repsol, Lavados Klin</t>
  </si>
  <si>
    <t>05529</t>
  </si>
  <si>
    <t>0183106798</t>
  </si>
  <si>
    <t>CRED EL CASAL</t>
  </si>
  <si>
    <t>ABANTO</t>
  </si>
  <si>
    <t>CR N-634, 127,2</t>
  </si>
  <si>
    <t>-3.068056, 43.321861</t>
  </si>
  <si>
    <t>Cafetería/Bar, Lavado cepillos, Parking turismos, Parking camiones, Box presión, Aspiradores, Solred cheque lavado, Waylet pago en surtidor, Waylet pago en caja, Adblue Envasado</t>
  </si>
  <si>
    <t>96999</t>
  </si>
  <si>
    <t>0183124148</t>
  </si>
  <si>
    <t>CRED LAS PEDRIZAS M.D.</t>
  </si>
  <si>
    <t>AP-46, PK 3,7 M DCH</t>
  </si>
  <si>
    <t>-4.440444, 36.918083</t>
  </si>
  <si>
    <t>04267</t>
  </si>
  <si>
    <t>0183104694</t>
  </si>
  <si>
    <t>E.S. FUENTES DE EBRO</t>
  </si>
  <si>
    <t>FUENTES DE EBRO</t>
  </si>
  <si>
    <t>CR N-232, 211  D</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</si>
  <si>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</si>
  <si>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</si>
  <si>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</si>
  <si>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</si>
  <si>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15871</t>
  </si>
  <si>
    <t>0183014323</t>
  </si>
  <si>
    <t>CRED SANTA COLOMA II</t>
  </si>
  <si>
    <t>SANTA COLOMA DE GRAMANET</t>
  </si>
  <si>
    <t>CL AVENIDA GENERALITAT, 97</t>
  </si>
  <si>
    <t>2.210583, 41.444583</t>
  </si>
  <si>
    <t>08923</t>
  </si>
  <si>
    <t>07213</t>
  </si>
  <si>
    <t>0063195663</t>
  </si>
  <si>
    <t>E.S. GALURESA VIMIANZO</t>
  </si>
  <si>
    <t>VIMIANZO</t>
  </si>
  <si>
    <t>CR C-552, 68,4  D</t>
  </si>
  <si>
    <t>-9.02875, 43.112</t>
  </si>
  <si>
    <t>15120</t>
  </si>
  <si>
    <t>Taller neumáticos, Lavado cepillos, Parking turismos, Box presión, Aspiradores, Solred cheque lavado, Waylet pago en caja</t>
  </si>
  <si>
    <t>96202</t>
  </si>
  <si>
    <t>0183101146</t>
  </si>
  <si>
    <t>CRED VARIANTE ESTE NORTE</t>
  </si>
  <si>
    <t>CL VIADUCTO MIRAFLORES-LARREAGA, 1</t>
  </si>
  <si>
    <t>-2.924778, 43.248472</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</si>
  <si>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</si>
  <si>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</si>
  <si>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15722</t>
  </si>
  <si>
    <t>0183015262</t>
  </si>
  <si>
    <t>ALONSO E HIJOS SL</t>
  </si>
  <si>
    <t>GONDOMAR</t>
  </si>
  <si>
    <t>CL TRANSVERSAL, 4</t>
  </si>
  <si>
    <t>-8.760083, 42.111722</t>
  </si>
  <si>
    <t>36380</t>
  </si>
  <si>
    <t>Taller mecánico, Taller neumáticos, Lavado cepillos, Parking turismos, Box presión, Aspiradores, Waylet pago en caja, Adblue Envasado, Punto recarga eléctrico Repsol, Recarga eléctrica</t>
  </si>
  <si>
    <t>31421</t>
  </si>
  <si>
    <t>0183104512</t>
  </si>
  <si>
    <t>CRED LAREDO</t>
  </si>
  <si>
    <t>LAREDO</t>
  </si>
  <si>
    <t>CR N-634, 171</t>
  </si>
  <si>
    <t>-3.439222, 43.399833</t>
  </si>
  <si>
    <t>39770</t>
  </si>
  <si>
    <t>01956</t>
  </si>
  <si>
    <t>0183130962</t>
  </si>
  <si>
    <t>ES LAVANCARO OROPESA 2016 SLU</t>
  </si>
  <si>
    <t>OROPESA</t>
  </si>
  <si>
    <t>CTRA ANTIGUA DE EXTREMADURA (N-V) K</t>
  </si>
  <si>
    <t>-5.183917, 39.920472</t>
  </si>
  <si>
    <t>45560</t>
  </si>
  <si>
    <t>EFITEC 95 N - España, EFITEC 98 N - España, DIESEL E+ NEO - España, DIESEL NEXA 100% RENOVABLE - Esp, GO-B BONIF - España, Propano 11 Kg, BLUE+GRANEL - España</t>
  </si>
  <si>
    <t>05860</t>
  </si>
  <si>
    <t>0183006162</t>
  </si>
  <si>
    <t>CRED AEROPUERTO MANISES</t>
  </si>
  <si>
    <t>MANISES</t>
  </si>
  <si>
    <t>CL SANTOS JUSTO Y PASTOR, 49</t>
  </si>
  <si>
    <t>-0.469639, 39.493972</t>
  </si>
  <si>
    <t>46940</t>
  </si>
  <si>
    <t>Box presión, Aspiradores, Waylet pago en surtidor, Waylet pago en caja, Adblue Envasado</t>
  </si>
  <si>
    <t>96399</t>
  </si>
  <si>
    <t>0183111764</t>
  </si>
  <si>
    <t>CRED CIUDAD UNIVERSITARIA</t>
  </si>
  <si>
    <t>BORMUJOS</t>
  </si>
  <si>
    <t>CR  SE-625 P.K. 1,150 M.I.</t>
  </si>
  <si>
    <t>-6.080472, 37.374667</t>
  </si>
  <si>
    <t>41930</t>
  </si>
  <si>
    <t>EFITEC 95 N - España, EFITEC 98 N - España, Butano 12,5 Kg, DIESEL E+ NEO - España, DIESEL NEXA 100% RENOVABLE - Esp, Butano 6 Kg (K6), BLUE+GRANEL - España, Butano 12 Kg (NEL)</t>
  </si>
  <si>
    <t>96872</t>
  </si>
  <si>
    <t>0183118231</t>
  </si>
  <si>
    <t>E.S. VALDETORRES SL</t>
  </si>
  <si>
    <t>VALDETORRES DE JARAM</t>
  </si>
  <si>
    <t>CR M-103 , P.K. 20,100</t>
  </si>
  <si>
    <t>-3.509111, 40.701861</t>
  </si>
  <si>
    <t>28150</t>
  </si>
  <si>
    <t>Taller mecánico, Lavado cepillos, Lavado camiones, Box presión, Aspiradores, Waylet pago en caja, Punto recarga eléctrico Repsol</t>
  </si>
  <si>
    <t>31515</t>
  </si>
  <si>
    <t>0183019256</t>
  </si>
  <si>
    <t>CRED LA EUROPEA</t>
  </si>
  <si>
    <t>CR AP-7  AUTOPISTA, 7</t>
  </si>
  <si>
    <t>2.87225, 42.405278</t>
  </si>
  <si>
    <t>31593</t>
  </si>
  <si>
    <t>0183051127</t>
  </si>
  <si>
    <t>CRED MAJADAHONDA II</t>
  </si>
  <si>
    <t>CL DR.MARAÑON C/V PL ESCORIAL, S.N.</t>
  </si>
  <si>
    <t>-3.875722, 40.473778</t>
  </si>
  <si>
    <t>L-D: 07:00-23:59</t>
  </si>
  <si>
    <t>05387</t>
  </si>
  <si>
    <t>0183057967</t>
  </si>
  <si>
    <t>CRED UNIVERSIDAD</t>
  </si>
  <si>
    <t>CR AC-2203, 5,1</t>
  </si>
  <si>
    <t>-0.514972, 38.390139</t>
  </si>
  <si>
    <t>Cafetería/Bar, Lavado cepillos, Lavado camiones, Box presión, Aspiradores, Solred cheque lavado, Lavandería, Waylet pago en surtidor, Waylet pago en caja, Adblue Envasado, Lavados Klin</t>
  </si>
  <si>
    <t>96321</t>
  </si>
  <si>
    <t>0183103365</t>
  </si>
  <si>
    <t>CRED A. DE LA MIEL M.D.</t>
  </si>
  <si>
    <t>AUTOVIA A-7  KM 1002 MD</t>
  </si>
  <si>
    <t>-4.526917, 36.61325</t>
  </si>
  <si>
    <t>33601</t>
  </si>
  <si>
    <t>0008381196</t>
  </si>
  <si>
    <t>CRED MEDINA DEL CAMPO</t>
  </si>
  <si>
    <t>AVDA. V CENTENARIO ISABEL LA CATÓLI</t>
  </si>
  <si>
    <t>-4.909111, 41.301806</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</si>
  <si>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</si>
  <si>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</si>
  <si>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96439</t>
  </si>
  <si>
    <t>0183106822</t>
  </si>
  <si>
    <t>CRED PAU</t>
  </si>
  <si>
    <t>CR N-150, 14,2</t>
  </si>
  <si>
    <t>2.068861, 41.55325</t>
  </si>
  <si>
    <t>01513</t>
  </si>
  <si>
    <t>0183123967</t>
  </si>
  <si>
    <t>CRED REQUENA</t>
  </si>
  <si>
    <t>CTRA N-3 KM 275,5</t>
  </si>
  <si>
    <t>-1.106194, 39.484028</t>
  </si>
  <si>
    <t>11990</t>
  </si>
  <si>
    <t>0183057702</t>
  </si>
  <si>
    <t>E.S. SAN ROQUE,S.L.</t>
  </si>
  <si>
    <t>CALERA Y CHOZAS</t>
  </si>
  <si>
    <t>CR A-5 ,P.K.  134</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</si>
  <si>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</si>
  <si>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</si>
  <si>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</si>
  <si>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</si>
  <si>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33413</t>
  </si>
  <si>
    <t>0183050749</t>
  </si>
  <si>
    <t>CRED GALLUR M.D.</t>
  </si>
  <si>
    <t>-1.319722, 41.832972</t>
  </si>
  <si>
    <t>04059</t>
  </si>
  <si>
    <t>0183052877</t>
  </si>
  <si>
    <t>CRED SAN RAFAEL</t>
  </si>
  <si>
    <t>CL AVENIDA LA CORUÑA, 310</t>
  </si>
  <si>
    <t>-7.567167, 43.025667</t>
  </si>
  <si>
    <t>07361</t>
  </si>
  <si>
    <t>0008382764</t>
  </si>
  <si>
    <t>COMAUSE, S.A.</t>
  </si>
  <si>
    <t>MANRESA</t>
  </si>
  <si>
    <t>CL CRTA. DE VIC, 225</t>
  </si>
  <si>
    <t>1.839917, 41.734139</t>
  </si>
  <si>
    <t>08240</t>
  </si>
  <si>
    <t>Sin personal/desatendida, Waylet pago en caja, Punto recarga eléctrico Repsol</t>
  </si>
  <si>
    <t>0183005974</t>
  </si>
  <si>
    <t>CRED BAÑOLAS</t>
  </si>
  <si>
    <t>BANYOLES</t>
  </si>
  <si>
    <t>CL LIBERTAD, 161</t>
  </si>
  <si>
    <t>2.763417, 42.123361</t>
  </si>
  <si>
    <t>17820</t>
  </si>
  <si>
    <t>EFITEC 95 N - España, Efitec 95 Premium, EFITEC 98 N - España, Butano 12,5 Kg, DIESEL E+ NEO - España, Diésel e+5, DIESEL E+10 NEO - España, Butano 6 Kg (K6), Propano 11 Kg, Autogás</t>
  </si>
  <si>
    <t>33790</t>
  </si>
  <si>
    <t>0183007517</t>
  </si>
  <si>
    <t>CRED VILLANUEVA DEL ARZOBISPO</t>
  </si>
  <si>
    <t>VILLANUEVA DEL ARZOB</t>
  </si>
  <si>
    <t>CR N-322, 191</t>
  </si>
  <si>
    <t>-3.004083, 38.172556</t>
  </si>
  <si>
    <t>23330</t>
  </si>
  <si>
    <t>EFITEC 95 N - España, EFITEC 98 N - España, DIESEL E+ NEO - España, DIESEL E+10 NEO - España, GO-B BONIF - España, Butano 12 Kg (NEL)</t>
  </si>
  <si>
    <t>34136</t>
  </si>
  <si>
    <t>0183057249</t>
  </si>
  <si>
    <t>CRED MEJORADA DEL CAMPO</t>
  </si>
  <si>
    <t>MEJORADA DEL CAMPO</t>
  </si>
  <si>
    <t>CR M-208, 9,6</t>
  </si>
  <si>
    <t>-3.493361, 40.394861</t>
  </si>
  <si>
    <t>28840</t>
  </si>
  <si>
    <t>97073</t>
  </si>
  <si>
    <t>0183130764</t>
  </si>
  <si>
    <t>CRED POLIGONO LOS OLIVARES</t>
  </si>
  <si>
    <t>JAEN</t>
  </si>
  <si>
    <t>POLIGONO RONDA LOS OLIVARES</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</si>
  <si>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</si>
  <si>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</si>
  <si>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</si>
  <si>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96978</t>
  </si>
  <si>
    <t>0183124205</t>
  </si>
  <si>
    <t>CRED NUEVA PUNTA UMBRIA</t>
  </si>
  <si>
    <t>PUNTA UMBRIA</t>
  </si>
  <si>
    <t>SECTOR ACCESO NORTE (A-497)</t>
  </si>
  <si>
    <t>-6.977444, 37.195056</t>
  </si>
  <si>
    <t>21100</t>
  </si>
  <si>
    <t>07622</t>
  </si>
  <si>
    <t>0183003995</t>
  </si>
  <si>
    <t>CRED SAN PABLO</t>
  </si>
  <si>
    <t>CR N-4, 537,6</t>
  </si>
  <si>
    <t>-5.956, 37.405</t>
  </si>
  <si>
    <t>Cafetería/Bar, Lavado cepillos, Solred cheque lavado, Waylet pago en surtidor, Waylet pago en caja, Adblue Envasado, Punto recarga eléctrico Repsol, Lavados Klin</t>
  </si>
  <si>
    <t>33115</t>
  </si>
  <si>
    <t>0063089981</t>
  </si>
  <si>
    <t>CRED PALMA DE M.</t>
  </si>
  <si>
    <t>AEROPUERTO SON SAN JUAN</t>
  </si>
  <si>
    <t>AE VIAL SALIDA AEROPUERTO, S.N.</t>
  </si>
  <si>
    <t>2.722944, 39.545917</t>
  </si>
  <si>
    <t>07000</t>
  </si>
  <si>
    <t>EFITEC 95 N - España, EFITEC 98 N - España, DIESEL E+ NEO - España, DIESEL E+10 NEO - España, GO-B BONIF - España, Butano 6 Kg (K6), BLUE+GRANEL - España, Autogás</t>
  </si>
  <si>
    <t>96605</t>
  </si>
  <si>
    <t>0183107952</t>
  </si>
  <si>
    <t>CRED SANTA CLARA</t>
  </si>
  <si>
    <t>-5.956306, 37.40525</t>
  </si>
  <si>
    <t>11870</t>
  </si>
  <si>
    <t>0183058254</t>
  </si>
  <si>
    <t>CRED CONIL</t>
  </si>
  <si>
    <t>C/ GONZALO SÁNCHEZ FUENTE, 1</t>
  </si>
  <si>
    <t>-6.089806, 36.281194</t>
  </si>
  <si>
    <t>93858</t>
  </si>
  <si>
    <t>0183123041</t>
  </si>
  <si>
    <t>E.S. MIRAT RIBASECA LEON</t>
  </si>
  <si>
    <t>RIBASECA</t>
  </si>
  <si>
    <t>CR C-622 KM 4</t>
  </si>
  <si>
    <t>-5.592944, 42.533611</t>
  </si>
  <si>
    <t>24391</t>
  </si>
  <si>
    <t>04427</t>
  </si>
  <si>
    <t>0183052588</t>
  </si>
  <si>
    <t>E.S.ALMANZOR S.L.</t>
  </si>
  <si>
    <t>CL HORNOS CALEROS, S.N.</t>
  </si>
  <si>
    <t>-4.671528, 40.648472</t>
  </si>
  <si>
    <t>05003</t>
  </si>
  <si>
    <t>EFITEC 95 N - España, EFITEC 98 N - España, DIESEL E+ NEO - España, DIESEL E+10 NEO - España, Propano 11 Kg, Autogás</t>
  </si>
  <si>
    <t>Restaurante, Cafetería/Bar, Parking turismos, Box presión, Aspiradores, Waylet pago en caja</t>
  </si>
  <si>
    <t>96520</t>
  </si>
  <si>
    <t>0183109743</t>
  </si>
  <si>
    <t>CRED ALBORAYA</t>
  </si>
  <si>
    <t>ALBORAYA-PATACONA</t>
  </si>
  <si>
    <t>CL PARTIDA DE VERA,98</t>
  </si>
  <si>
    <t>-0.329472, 39.485222</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</si>
  <si>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</si>
  <si>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</si>
  <si>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96340</t>
  </si>
  <si>
    <t>0183102904</t>
  </si>
  <si>
    <t>CRED AVDA. TENERIFE</t>
  </si>
  <si>
    <t>CL AVDA TENERIFE, 18</t>
  </si>
  <si>
    <t>-3.620056, 40.56025</t>
  </si>
  <si>
    <t>01733</t>
  </si>
  <si>
    <t>0183132497</t>
  </si>
  <si>
    <t>CRED CONCHA ESPINA</t>
  </si>
  <si>
    <t>CL. SERRANO 197</t>
  </si>
  <si>
    <t>-3.682194, 40.451472</t>
  </si>
  <si>
    <t>28002</t>
  </si>
  <si>
    <t>04360</t>
  </si>
  <si>
    <t>0183013721</t>
  </si>
  <si>
    <t>CRED MANACOR</t>
  </si>
  <si>
    <t>CR C-715, 48</t>
  </si>
  <si>
    <t>3.200528, 39.574167</t>
  </si>
  <si>
    <t>EFITEC 95 N - España, EFITEC 98 N - España, DIESEL E+ NEO - España, DIESEL NEXA 100% RENOVABLE - Esp, Butano 6 Kg (K6)</t>
  </si>
  <si>
    <t>12445</t>
  </si>
  <si>
    <t>0183062793</t>
  </si>
  <si>
    <t>VELASCO PEDROSA,J.M.</t>
  </si>
  <si>
    <t>PALOS DE LA FRONTERA</t>
  </si>
  <si>
    <t>CR A-494  P.K. 17,40 I</t>
  </si>
  <si>
    <t>-6.872722, 37.197472</t>
  </si>
  <si>
    <t>21810</t>
  </si>
  <si>
    <t>L: 07:00-22:00</t>
  </si>
  <si>
    <t>33828</t>
  </si>
  <si>
    <t>0183076207</t>
  </si>
  <si>
    <t>ES LORENZO ADAN MALANDA</t>
  </si>
  <si>
    <t>BALTANAS</t>
  </si>
  <si>
    <t>CR C-619, 64</t>
  </si>
  <si>
    <t>-4.256528, 41.940083</t>
  </si>
  <si>
    <t>L-V: 07:00-22:00</t>
  </si>
  <si>
    <t>33444</t>
  </si>
  <si>
    <t>0183003003</t>
  </si>
  <si>
    <t>E.S.  ABOS, S.A.</t>
  </si>
  <si>
    <t>JACA</t>
  </si>
  <si>
    <t>CL AVENIDA REGIMIENTO GALICIA, 10</t>
  </si>
  <si>
    <t>-0.55425, 42.566861</t>
  </si>
  <si>
    <t>22700</t>
  </si>
  <si>
    <t>Lavado cepillos, Solred cheque lavado, Waylet pago en caja, Adblue Envasado, Punto recarga eléctrico Repsol</t>
  </si>
  <si>
    <t>97029</t>
  </si>
  <si>
    <t>0183125095</t>
  </si>
  <si>
    <t>CR A-4, 23,3 MI</t>
  </si>
  <si>
    <t>-3.684694, 40.218694</t>
  </si>
  <si>
    <t>L-V: 06:00-22:00; S: 08:00-16:00</t>
  </si>
  <si>
    <t>Lavado cepillos, Lavado camiones, Box presión, Aspiradores, Waylet pago en surtidor, Waylet pago en caja</t>
  </si>
  <si>
    <t>34144</t>
  </si>
  <si>
    <t>0063195085</t>
  </si>
  <si>
    <t>ES CARRAL IS GOOD SL</t>
  </si>
  <si>
    <t>CARRAL</t>
  </si>
  <si>
    <t>CR N-550, 18  I</t>
  </si>
  <si>
    <t>-8.356222, 43.225778</t>
  </si>
  <si>
    <t>15175</t>
  </si>
  <si>
    <t>Taller mecánico, Taller neumáticos, Box presión, Aspiradores, Solred cheque lavado, Waylet pago en caja, Adblue Envasado, Punto recarga eléctrico Repsol</t>
  </si>
  <si>
    <t>34199</t>
  </si>
  <si>
    <t>0183056092</t>
  </si>
  <si>
    <t>CARBURANTS I SERVEIS</t>
  </si>
  <si>
    <t>LLANÇA</t>
  </si>
  <si>
    <t>CR N-260, 17,4</t>
  </si>
  <si>
    <t>3.15075, 42.365444</t>
  </si>
  <si>
    <t>17490</t>
  </si>
  <si>
    <t>Lavado cepillos, Parking turismos, Box presión, Aspiradores, Waylet pago en caja, Adblue Envasado</t>
  </si>
  <si>
    <t>34084</t>
  </si>
  <si>
    <t>0183007780</t>
  </si>
  <si>
    <t>ES RIDE GRADO</t>
  </si>
  <si>
    <t>GRADO</t>
  </si>
  <si>
    <t>CL FLOREZ ESTRADA, 46</t>
  </si>
  <si>
    <t>-6.074333, 43.38725</t>
  </si>
  <si>
    <t>33820</t>
  </si>
  <si>
    <t>06475</t>
  </si>
  <si>
    <t>0183075340</t>
  </si>
  <si>
    <t>A.S. ALUMARCA S.L.</t>
  </si>
  <si>
    <t>BARRANQUETE-NIJAR</t>
  </si>
  <si>
    <t>CR AL-3201 KM. 6,5</t>
  </si>
  <si>
    <t>-2.160972, 36.815778</t>
  </si>
  <si>
    <t>04117</t>
  </si>
  <si>
    <t>33392</t>
  </si>
  <si>
    <t>0183000991</t>
  </si>
  <si>
    <t>CARBURANTES VILLARROBLEDO SLU</t>
  </si>
  <si>
    <t>VILLARROBLEDO</t>
  </si>
  <si>
    <t>CR N-310, 137,7</t>
  </si>
  <si>
    <t>-2.567139, 39.293722</t>
  </si>
  <si>
    <t>02600</t>
  </si>
  <si>
    <t>L-S: 07:00-22:00</t>
  </si>
  <si>
    <t>Restaurante, Cafetería/Bar, Parking turismos, Parking camiones, Zona de descanso, Box presión, Duchas, Waylet pago en caja</t>
  </si>
  <si>
    <t>96127</t>
  </si>
  <si>
    <t>0183100262</t>
  </si>
  <si>
    <t>ES CODISOIL PONFERRADA</t>
  </si>
  <si>
    <t>CL AVDA. DE LOS ESCRITORES,S.N.</t>
  </si>
  <si>
    <t>-6.606694, 42.549333</t>
  </si>
  <si>
    <t>33980</t>
  </si>
  <si>
    <t>0183109966</t>
  </si>
  <si>
    <t>E.S.  HELLIN S.L.</t>
  </si>
  <si>
    <t>HELLIN</t>
  </si>
  <si>
    <t>CR N-301, 310,2</t>
  </si>
  <si>
    <t>-1.703056, 38.524444</t>
  </si>
  <si>
    <t>02400</t>
  </si>
  <si>
    <t>Restaurante, Taller neumáticos, Parking turismos, Parking camiones, Box presión, Aspiradores, Solred cheque lavado, Waylet pago en caja, Punto recarga eléctrico Repsol</t>
  </si>
  <si>
    <t>34323</t>
  </si>
  <si>
    <t>0063216097</t>
  </si>
  <si>
    <t>ES CARBAHERMA S.L.</t>
  </si>
  <si>
    <t>CALEIRO</t>
  </si>
  <si>
    <t>CR PO-549 P.K. 5,9</t>
  </si>
  <si>
    <t>-8.811611, 42.557389</t>
  </si>
  <si>
    <t>36629</t>
  </si>
  <si>
    <t>L-V: 06:30-23:00; S: 07:00-23:00; D: 08:00-23:00</t>
  </si>
  <si>
    <t>34228</t>
  </si>
  <si>
    <t>0183008218</t>
  </si>
  <si>
    <t>ES CAÑO DORADO SL</t>
  </si>
  <si>
    <t>MOJADOS</t>
  </si>
  <si>
    <t>CR N-601, 167,7</t>
  </si>
  <si>
    <t>-4.667667, 41.453528</t>
  </si>
  <si>
    <t>47250</t>
  </si>
  <si>
    <t>Restaurante, Cafetería/Bar, Parking turismos, Parking camiones, Zona de descanso, Box presión, Aspiradores, Waylet pago en caja, Punto recarga eléctrico Repsol</t>
  </si>
  <si>
    <t>00227</t>
  </si>
  <si>
    <t>0183051713</t>
  </si>
  <si>
    <t>US ACCEMOIL SL</t>
  </si>
  <si>
    <t>CL AVENIDA DE HERENCIA, S.N.</t>
  </si>
  <si>
    <t>-3.220639, 39.388139</t>
  </si>
  <si>
    <t>L-V: 08:00-14:15 y 17:00-21:00; S: 09:00-14:00</t>
  </si>
  <si>
    <t>13077</t>
  </si>
  <si>
    <t>0183062389</t>
  </si>
  <si>
    <t>ES GLEM S.L.- ALGARS</t>
  </si>
  <si>
    <t>COCENTAINA</t>
  </si>
  <si>
    <t>CL AVDA. DE ALICANTE , 49</t>
  </si>
  <si>
    <t>-0.45775, 38.717889</t>
  </si>
  <si>
    <t>03820</t>
  </si>
  <si>
    <t>34073</t>
  </si>
  <si>
    <t>0183052356</t>
  </si>
  <si>
    <t>ES NADELA</t>
  </si>
  <si>
    <t>NADELA</t>
  </si>
  <si>
    <t>CR N-6, 493,7</t>
  </si>
  <si>
    <t>-7.497306, 42.968472</t>
  </si>
  <si>
    <t>27160</t>
  </si>
  <si>
    <t>33458</t>
  </si>
  <si>
    <t>0183005156</t>
  </si>
  <si>
    <t>E.S.ROA-LOS LLANOS</t>
  </si>
  <si>
    <t>MIRANDA DE EBRO</t>
  </si>
  <si>
    <t>CR N-1, 318 MD</t>
  </si>
  <si>
    <t>-2.952944, 42.688306</t>
  </si>
  <si>
    <t>09200</t>
  </si>
  <si>
    <t>EFITEC 95 N - España, DIESEL E+ NEO - España, DIESEL E+10 NEO - España, Autogás</t>
  </si>
  <si>
    <t>96057</t>
  </si>
  <si>
    <t>0183077445</t>
  </si>
  <si>
    <t>GASOLINERA ELECHAS</t>
  </si>
  <si>
    <t>ELECHAS</t>
  </si>
  <si>
    <t>CR CA-141, 7,8</t>
  </si>
  <si>
    <t>-3.769333, 43.425833</t>
  </si>
  <si>
    <t>39130</t>
  </si>
  <si>
    <t>L-D: 07:30-22:00</t>
  </si>
  <si>
    <t>34555</t>
  </si>
  <si>
    <t>0183019298</t>
  </si>
  <si>
    <t>E.S. AMPURBEL SL</t>
  </si>
  <si>
    <t>PURCHIL</t>
  </si>
  <si>
    <t>CR C-321, 2,5</t>
  </si>
  <si>
    <t>-3.671528, 37.174833</t>
  </si>
  <si>
    <t>18193</t>
  </si>
  <si>
    <t>15288</t>
  </si>
  <si>
    <t>0002263655</t>
  </si>
  <si>
    <t>ES GARCERAN 1 SL</t>
  </si>
  <si>
    <t>PALMAR, EL</t>
  </si>
  <si>
    <t>CR N-301, 401,2</t>
  </si>
  <si>
    <t>-1.175528, 37.938639</t>
  </si>
  <si>
    <t>30120</t>
  </si>
  <si>
    <t>Lavado cepillos, Aspiradores, Solred cheque lavado, Waylet pago en surtidor, Waylet pago en caja</t>
  </si>
  <si>
    <t>06533</t>
  </si>
  <si>
    <t>0183063163</t>
  </si>
  <si>
    <t>E.S. KAIZEN OIL SL</t>
  </si>
  <si>
    <t>MONTIELA, LA</t>
  </si>
  <si>
    <t>CR CO-740, 23</t>
  </si>
  <si>
    <t>-4.93575, 37.522</t>
  </si>
  <si>
    <t>14549</t>
  </si>
  <si>
    <t>EFITEC 95 N - España, Butano 12,5 Kg, DIESEL E+ NEO - España, GO-B BONIF - España, Propano 11 Kg</t>
  </si>
  <si>
    <t>05392</t>
  </si>
  <si>
    <t>0183052620</t>
  </si>
  <si>
    <t>ES GASOLEOS CALEFACCION SLU</t>
  </si>
  <si>
    <t>TOMELLOSO</t>
  </si>
  <si>
    <t>CL SOCUELLAMOS, 92</t>
  </si>
  <si>
    <t>-3.016139, 39.163694</t>
  </si>
  <si>
    <t>13700</t>
  </si>
  <si>
    <t>Lavado cepillos, Aspiradores, Solred cheque lavado, Waylet pago en caja, Punto recarga eléctrico Repsol, Lavados Klin</t>
  </si>
  <si>
    <t>33707</t>
  </si>
  <si>
    <t>0183062629</t>
  </si>
  <si>
    <t>AGP BINEFAR</t>
  </si>
  <si>
    <t>BINEFAR</t>
  </si>
  <si>
    <t>CL ALMACELLAS, 112</t>
  </si>
  <si>
    <t>0.295694, 41.845722</t>
  </si>
  <si>
    <t>22500</t>
  </si>
  <si>
    <t>EFITEC 95 N - España, Efitec 95 Premium, EFITEC 98 N - España, Butano 12,5 Kg, DIESEL E+ NEO - España, DIESEL E+10 NEO - España, GO-B BONIF - España, Propano 11 Kg, BLUE+GRANEL - España</t>
  </si>
  <si>
    <t>Lavandería, Waylet pago en caja</t>
  </si>
  <si>
    <t>07314</t>
  </si>
  <si>
    <t>0183007194</t>
  </si>
  <si>
    <t>ES COMBUSTIBLES ROBLES UTRILLA</t>
  </si>
  <si>
    <t>CR-503 P.K. 3,2</t>
  </si>
  <si>
    <t>-4.070667, 38.679861</t>
  </si>
  <si>
    <t>L-V: 06:00-22:00; S-D: 07:00-15:00</t>
  </si>
  <si>
    <t>EFITEC 95 N - España, Efitec 95 Premium, EFITEC 98 N - España, DIESEL E+ NEO - España, DIESEL NEXA 100% RENOVABLE - Esp, Propano 11 Kg, BLUE+GRANEL - España, Butano 12 Kg (NEL)</t>
  </si>
  <si>
    <t>Restaurante, Cafetería/Bar, Taller neumáticos, Parking turismos, Parking camiones, Zona de descanso, Duchas, Lavandería, Waylet pago en surtidor, Waylet pago en caja, Adblue Envasado</t>
  </si>
  <si>
    <t>04304</t>
  </si>
  <si>
    <t>0183054303</t>
  </si>
  <si>
    <t>PETRONALCA NOAIN ESQUIROZ</t>
  </si>
  <si>
    <t>NOAIN</t>
  </si>
  <si>
    <t>CR N-121, 5</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</si>
  <si>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</si>
  <si>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</si>
  <si>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</si>
  <si>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</si>
  <si>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</si>
  <si>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12917</t>
  </si>
  <si>
    <t>0183077015</t>
  </si>
  <si>
    <t>ES SUMIN. GASOLEOS TALAVERA SL</t>
  </si>
  <si>
    <t>CERRALBOS, LOS</t>
  </si>
  <si>
    <t>CR A-5, PK. 91.9</t>
  </si>
  <si>
    <t>-4.562, 40.01675</t>
  </si>
  <si>
    <t>45552</t>
  </si>
  <si>
    <t>33279</t>
  </si>
  <si>
    <t>0183003508</t>
  </si>
  <si>
    <t>ES GASSO SEGURA JAVIER</t>
  </si>
  <si>
    <t>GUISSONA</t>
  </si>
  <si>
    <t>CL NOTARI JOSEP FAUS 1</t>
  </si>
  <si>
    <t>1.287583, 41.789278</t>
  </si>
  <si>
    <t>25210</t>
  </si>
  <si>
    <t>03079</t>
  </si>
  <si>
    <t>0183019264</t>
  </si>
  <si>
    <t>LA PLANILLA, S.L.</t>
  </si>
  <si>
    <t>CALAHORRA</t>
  </si>
  <si>
    <t>CL AVENIDA NUMANCIA, S.N.</t>
  </si>
  <si>
    <t>-1.974583, 42.302694</t>
  </si>
  <si>
    <t>L-V: 08:00-20:00; S: 08:00-15:00</t>
  </si>
  <si>
    <t>02055</t>
  </si>
  <si>
    <t>0183012087</t>
  </si>
  <si>
    <t>ES ALCANAR</t>
  </si>
  <si>
    <t>ALCANAR</t>
  </si>
  <si>
    <t>CL AV. DEL REMEI-GENERAL PRIM, S.N.</t>
  </si>
  <si>
    <t>0.478056, 40.547806</t>
  </si>
  <si>
    <t>43530</t>
  </si>
  <si>
    <t>L-S: 08:00-15:00</t>
  </si>
  <si>
    <t>34374</t>
  </si>
  <si>
    <t>0183006287</t>
  </si>
  <si>
    <t>ES OSKAR RACING TALDEA SL</t>
  </si>
  <si>
    <t>SODUPE</t>
  </si>
  <si>
    <t>CR BI-636, 15,5</t>
  </si>
  <si>
    <t>-3.047306, 43.204333</t>
  </si>
  <si>
    <t>48830</t>
  </si>
  <si>
    <t>01529</t>
  </si>
  <si>
    <t>0183123157</t>
  </si>
  <si>
    <t>ESTACIONES DE SERVICIO NOW SL</t>
  </si>
  <si>
    <t>AVENIDA SAENZ DE MIERA S/N</t>
  </si>
  <si>
    <t>-5.577389, 42.590833</t>
  </si>
  <si>
    <t>24009</t>
  </si>
  <si>
    <t>L-V: 07:00-21:00; S: 09:00-15:00 y 18:00-21:00</t>
  </si>
  <si>
    <t>12429</t>
  </si>
  <si>
    <t>0183079797</t>
  </si>
  <si>
    <t>ES ENERGAS LA MANCHA SLU</t>
  </si>
  <si>
    <t>CR N-4, 167,1</t>
  </si>
  <si>
    <t>-3.3735, 39.023139</t>
  </si>
  <si>
    <t>96820</t>
  </si>
  <si>
    <t>0183115963</t>
  </si>
  <si>
    <t>ES GAMEZ CORDOVILLA SL</t>
  </si>
  <si>
    <t>IZNALLOZ</t>
  </si>
  <si>
    <t>CR  C-336 , P.K. 1</t>
  </si>
  <si>
    <t>-3.484917, 37.415722</t>
  </si>
  <si>
    <t>18550</t>
  </si>
  <si>
    <t>S: 06:00-20:00; D: 08:00-22:30</t>
  </si>
  <si>
    <t>EFITEC 95 N - España, Butano 12,5 Kg, DIESEL E+ NEO - España, Propano 11 Kg</t>
  </si>
  <si>
    <t>15749</t>
  </si>
  <si>
    <t>0183057033</t>
  </si>
  <si>
    <t>EST. DE SERVICIO VILLADESUSO, S.L.</t>
  </si>
  <si>
    <t>VILLADESUSO</t>
  </si>
  <si>
    <t>CR PO-552 P.K. 30,50 DCHA.</t>
  </si>
  <si>
    <t>-8.883583, 42.031944</t>
  </si>
  <si>
    <t>36309</t>
  </si>
  <si>
    <t>Taller neumáticos, Parking turismos, Box presión, Aspiradores, Waylet pago en caja</t>
  </si>
  <si>
    <t>33054</t>
  </si>
  <si>
    <t>0063186779</t>
  </si>
  <si>
    <t>ES JAMAC GESTION AVILA</t>
  </si>
  <si>
    <t>CL AVENIDA MADRID, 4  D</t>
  </si>
  <si>
    <t>-4.692167, 40.657889</t>
  </si>
  <si>
    <t>05001</t>
  </si>
  <si>
    <t>L-J: 07:00-23:00; V: 07:00-01:00; S: 05:00-01:00; D: 05:00-23:00</t>
  </si>
  <si>
    <t>Lavandería, Waylet pago en caja, Punto recarga eléctrico Repsol</t>
  </si>
  <si>
    <t>31507</t>
  </si>
  <si>
    <t>0183018746</t>
  </si>
  <si>
    <t>E.S. CARBURANTS GRAN VÍA ,S.L.</t>
  </si>
  <si>
    <t>CL DOMENECH I MONTANER, Nº 96</t>
  </si>
  <si>
    <t>2.103361, 41.530222</t>
  </si>
  <si>
    <t>Lavado cepillos, Parking turismos, Aspiradores, Solred cheque lavado, Waylet pago en surtidor, Waylet pago en caja, Punto recarga eléctrico Repsol</t>
  </si>
  <si>
    <t>06058</t>
  </si>
  <si>
    <t>0183058387</t>
  </si>
  <si>
    <t>ES COMBUSTIBLES JOPAN SL</t>
  </si>
  <si>
    <t>PONTE DO PORTO</t>
  </si>
  <si>
    <t>C/ CURROS , 40</t>
  </si>
  <si>
    <t>-9.112722, 43.1405</t>
  </si>
  <si>
    <t>15121</t>
  </si>
  <si>
    <t>EFITEC 95 N - España, DIESEL E+ NEO - España, DIESEL NEXA 100% RENOVABLE - Esp, GO-B BONIF - España, Propano 11 Kg, Butano 12 Kg (NEL)</t>
  </si>
  <si>
    <t>33056</t>
  </si>
  <si>
    <t>0183006410</t>
  </si>
  <si>
    <t>E.S.VILLA HUERTA</t>
  </si>
  <si>
    <t>SANTA MARIA DE HUERTA</t>
  </si>
  <si>
    <t>AT  A-2  P.K. 180,0 A</t>
  </si>
  <si>
    <t>-2.173806, 41.2835</t>
  </si>
  <si>
    <t>42260</t>
  </si>
  <si>
    <t>L-V: 07:00-23:00; S: 07:00-21:00; D: 08:00-22:00</t>
  </si>
  <si>
    <t>Parking turismos, Parking camiones, Zona de descanso, Duchas, Waylet pago en caja</t>
  </si>
  <si>
    <t>97181</t>
  </si>
  <si>
    <t>0183135706</t>
  </si>
  <si>
    <t>ES LAS NORIAS DE DAZA</t>
  </si>
  <si>
    <t>LAS NORIAS DE DAZA</t>
  </si>
  <si>
    <t>PARAJE CAMINO DE ROQUETAS 66,  A-90</t>
  </si>
  <si>
    <t>-2.754139, 36.771611</t>
  </si>
  <si>
    <t>04716</t>
  </si>
  <si>
    <t>Cafetería/Bar, Parking turismos, Zona de descanso, Box presión, Aspiradores, Waylet pago en caja</t>
  </si>
  <si>
    <t>33766</t>
  </si>
  <si>
    <t>0183014224</t>
  </si>
  <si>
    <t>E.S. MAYFAL,S.L.</t>
  </si>
  <si>
    <t>VILLAVICIOSA</t>
  </si>
  <si>
    <t>CL CIAÑO CANTO CARLOS, 3</t>
  </si>
  <si>
    <t>-5.430583, 43.483778</t>
  </si>
  <si>
    <t>33300</t>
  </si>
  <si>
    <t>Lavado cepillos, Box presión, Aspiradores, Solred cheque lavado, Waylet pago en caja, Punto recarga eléctrico Repsol</t>
  </si>
  <si>
    <t>34364</t>
  </si>
  <si>
    <t>0183002906</t>
  </si>
  <si>
    <t>E.S. NESATELI GRUPO DE NEGOCIOS SL</t>
  </si>
  <si>
    <t>SAN ROQUE DEL ACEBAL</t>
  </si>
  <si>
    <t>CR N-634, 299,1</t>
  </si>
  <si>
    <t>-4.734944, 43.398667</t>
  </si>
  <si>
    <t>33596</t>
  </si>
  <si>
    <t>Lavado cepillos, Parking turismos, Parking camiones, Box presión, Aspiradores, Waylet pago en surtidor, Waylet pago en caja</t>
  </si>
  <si>
    <t>96080</t>
  </si>
  <si>
    <t>0183101021</t>
  </si>
  <si>
    <t>E.S. INDALICA COPEC SA</t>
  </si>
  <si>
    <t>DIEZMA</t>
  </si>
  <si>
    <t>CR A-92, 279</t>
  </si>
  <si>
    <t>-3.296778, 37.322111</t>
  </si>
  <si>
    <t>18180</t>
  </si>
  <si>
    <t>34607</t>
  </si>
  <si>
    <t>0183018175</t>
  </si>
  <si>
    <t>E.S.ITURRALDE</t>
  </si>
  <si>
    <t>CR GI-3631 (BDA. ITURRALDE), 1,1</t>
  </si>
  <si>
    <t>-1.871833, 43.296222</t>
  </si>
  <si>
    <t>L-D: 06:30-21:30</t>
  </si>
  <si>
    <t>Lavado cepillos, Parking turismos, Box presión, Aspiradores, Solred cheque lavado, Waylet pago en caja, Adblue Envasado</t>
  </si>
  <si>
    <t>07260</t>
  </si>
  <si>
    <t>0183052422</t>
  </si>
  <si>
    <t>E.S. ESCAIRON, S.L.</t>
  </si>
  <si>
    <t>ESCAIRON</t>
  </si>
  <si>
    <t>CL PARDO BAZAN, 18</t>
  </si>
  <si>
    <t>-7.640694, 42.584889</t>
  </si>
  <si>
    <t>27540</t>
  </si>
  <si>
    <t>96809</t>
  </si>
  <si>
    <t>0183120187</t>
  </si>
  <si>
    <t>E.S. ESPAI GIRONES SL</t>
  </si>
  <si>
    <t>SALT</t>
  </si>
  <si>
    <t>CAMI DELS CARLIS, 10</t>
  </si>
  <si>
    <t>2.795611, 41.975917</t>
  </si>
  <si>
    <t>17190</t>
  </si>
  <si>
    <t>34138</t>
  </si>
  <si>
    <t>0063197941</t>
  </si>
  <si>
    <t>E.S. G.R.A. BLANCO VILLEGAR</t>
  </si>
  <si>
    <t>VILLEGAR DE TORANZO</t>
  </si>
  <si>
    <t>CR N-623, 116</t>
  </si>
  <si>
    <t>-3.943222, 43.218333</t>
  </si>
  <si>
    <t>39699</t>
  </si>
  <si>
    <t>Cafetería/Bar, Lavado cepillos, Parking turismos, Parking camiones, Box presión, Aspiradores, Solred cheque lavado, Waylet pago en caja</t>
  </si>
  <si>
    <t>34444</t>
  </si>
  <si>
    <t>0183060243</t>
  </si>
  <si>
    <t>FOOTWEAR PLANET SL</t>
  </si>
  <si>
    <t>CR A-213, PK. 13</t>
  </si>
  <si>
    <t>-0.536417, 38.416833</t>
  </si>
  <si>
    <t>L-V: 07:00-21:00; S: 07:00-15:00; D: 08:00-15:00</t>
  </si>
  <si>
    <t>01126</t>
  </si>
  <si>
    <t>0183059989</t>
  </si>
  <si>
    <t>U.S. ESTACION JOYPAR SL</t>
  </si>
  <si>
    <t>CL CALVO SOTELO(PLAZ.PORTUGAL), S.N</t>
  </si>
  <si>
    <t>-8.413417, 43.366833</t>
  </si>
  <si>
    <t>15004</t>
  </si>
  <si>
    <t>L-S: 07:30-23:00; D: 09:00-23:00</t>
  </si>
  <si>
    <t>33856</t>
  </si>
  <si>
    <t>0183056969</t>
  </si>
  <si>
    <t>E.S. GUIU SENTIS</t>
  </si>
  <si>
    <t>ALFES</t>
  </si>
  <si>
    <t>AVDA GARRIGUES, 44</t>
  </si>
  <si>
    <t>0.619667, 41.517667</t>
  </si>
  <si>
    <t>25161</t>
  </si>
  <si>
    <t>Cafetería/Bar, Lavado camiones, Parking turismos, Parking camiones, Zona de descanso, Box presión, Duchas, Aspiradores, Waylet pago en caja, Adblue Envasado, Punto recarga eléctrico Repsol, Recarga eléctrica</t>
  </si>
  <si>
    <t>33522</t>
  </si>
  <si>
    <t>0183056126</t>
  </si>
  <si>
    <t>ES CANDAMIL</t>
  </si>
  <si>
    <t>XERMADE</t>
  </si>
  <si>
    <t>CR LU-861, PK 11 - OS CURRÁS, 35</t>
  </si>
  <si>
    <t>-7.775, 43.355389</t>
  </si>
  <si>
    <t>27832</t>
  </si>
  <si>
    <t>L-S: 07:00-23:00</t>
  </si>
  <si>
    <t>06566</t>
  </si>
  <si>
    <t>0183015569</t>
  </si>
  <si>
    <t>SAENZ DE JUBERA S.L.</t>
  </si>
  <si>
    <t>MURILLO DE RIO LEZA</t>
  </si>
  <si>
    <t>CR LR-259, 7,4</t>
  </si>
  <si>
    <t>-2.334028, 42.399528</t>
  </si>
  <si>
    <t>26143</t>
  </si>
  <si>
    <t>L-V: 07:30-14:00; S-D: 08:00-14:00</t>
  </si>
  <si>
    <t>33802</t>
  </si>
  <si>
    <t>0183011717</t>
  </si>
  <si>
    <t>E.S. TITAGUAS</t>
  </si>
  <si>
    <t>TITAGUAS</t>
  </si>
  <si>
    <t>CR CV-35, 87,0</t>
  </si>
  <si>
    <t>-1.083528, 39.862028</t>
  </si>
  <si>
    <t>46178</t>
  </si>
  <si>
    <t>L-V: 07:45-14:15 y 16:30-20:00; S-D: 09:00-14:00 y 18:00-20:00</t>
  </si>
  <si>
    <t>EFITEC 95 N - España, Efitec 95 Premium, Butano 12,5 Kg, DIESEL E+ NEO - España, GO-B BONIF - España, Propano 11 Kg</t>
  </si>
  <si>
    <t>12335</t>
  </si>
  <si>
    <t>0183062181</t>
  </si>
  <si>
    <t>E.S. BESAYA, S.L.- ARENAS DE IGUÑA</t>
  </si>
  <si>
    <t>ARENAS DE IGUÑA</t>
  </si>
  <si>
    <t>CR N-611, 163,2</t>
  </si>
  <si>
    <t>-4.052444, 43.181972</t>
  </si>
  <si>
    <t>39450</t>
  </si>
  <si>
    <t>Restaurante, Cafetería/Bar, Parking turismos, Parking camiones, Waylet pago en caja</t>
  </si>
  <si>
    <t>34345</t>
  </si>
  <si>
    <t>0183001668</t>
  </si>
  <si>
    <t>E.S. FERNANDO VERDU E HIJOS SL</t>
  </si>
  <si>
    <t>GANDIA</t>
  </si>
  <si>
    <t>CL AVDA. LA VALL D'ALBAIDA, 55</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</si>
  <si>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</si>
  <si>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</si>
  <si>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</si>
  <si>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</si>
  <si>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34527</t>
  </si>
  <si>
    <t>0183013879</t>
  </si>
  <si>
    <t>E.S. FRESOGAS,S.L.</t>
  </si>
  <si>
    <t>SEIXO</t>
  </si>
  <si>
    <t>CL AVENIDA DOCTOR OTERO ULLOA, 1</t>
  </si>
  <si>
    <t>-8.727583, 42.37375</t>
  </si>
  <si>
    <t>36913</t>
  </si>
  <si>
    <t>Lavado cepillos, Lavado camiones, Zona de descanso, Box presión, Aspiradores, Solred cheque lavado, Waylet pago en caja, Adblue Envasado, Punto recarga eléctrico Repsol</t>
  </si>
  <si>
    <t>33331</t>
  </si>
  <si>
    <t>0183001502</t>
  </si>
  <si>
    <t>ESVERINSA</t>
  </si>
  <si>
    <t>GUDIÑA, A</t>
  </si>
  <si>
    <t>CR N-525, 132,1  A M.Dcho.</t>
  </si>
  <si>
    <t>-7.148694, 42.057028</t>
  </si>
  <si>
    <t>32540</t>
  </si>
  <si>
    <t>Restaurante, Cafetería/Bar, Taller neumáticos, Lavado cepillos, Parking turismos, Zona de descanso, Box presión, Duchas, Aspiradores, Waylet pago en caja, Punto recarga eléctrico Repsol</t>
  </si>
  <si>
    <t>34318</t>
  </si>
  <si>
    <t>0183011139</t>
  </si>
  <si>
    <t>ES INTECMIN S.L.</t>
  </si>
  <si>
    <t>PG CAMPOLLANO-P. 2-CT, S.N.</t>
  </si>
  <si>
    <t>-1.874972, 39.012583</t>
  </si>
  <si>
    <t>L-V: 06:00-22:00; S: 07:30-15:30; D: 09:00-15:00</t>
  </si>
  <si>
    <t>Cafetería/Bar, Parking turismos, Box presión, Waylet pago en surtidor, Waylet pago en caja, Punto recarga eléctrico Repsol</t>
  </si>
  <si>
    <t>33978</t>
  </si>
  <si>
    <t>0183013515</t>
  </si>
  <si>
    <t>E.S. DEL REY GONZALEZ SL</t>
  </si>
  <si>
    <t>CHINCHILLA</t>
  </si>
  <si>
    <t>AVDA LEVANTE, 17</t>
  </si>
  <si>
    <t>-1.726278, 38.915972</t>
  </si>
  <si>
    <t>02520</t>
  </si>
  <si>
    <t>34360</t>
  </si>
  <si>
    <t>0183018738</t>
  </si>
  <si>
    <t>ES EDGAR POYATOS ALFORJA</t>
  </si>
  <si>
    <t>ALFORJA</t>
  </si>
  <si>
    <t>CR C-242 62,6</t>
  </si>
  <si>
    <t>1.000139, 41.192278</t>
  </si>
  <si>
    <t>43365</t>
  </si>
  <si>
    <t>L-S: 07:00-17:00</t>
  </si>
  <si>
    <t>97140</t>
  </si>
  <si>
    <t>0183133545</t>
  </si>
  <si>
    <t>ES GLEM MUTXAMEL</t>
  </si>
  <si>
    <t>MUCHAMIEL</t>
  </si>
  <si>
    <t>CR CV-800 PK 0,7</t>
  </si>
  <si>
    <t>-0.434583, 38.427167</t>
  </si>
  <si>
    <t>03110</t>
  </si>
  <si>
    <t>Cafetería/Bar, Lavado cepillos, Box presión, Aspiradores, Solred cheque lavado, Lavandería, Waylet pago en surtidor, Waylet pago en caja</t>
  </si>
  <si>
    <t>33109</t>
  </si>
  <si>
    <t>0183000488</t>
  </si>
  <si>
    <t>EXPLOTACIONES HERRERO, S.L.</t>
  </si>
  <si>
    <t>CR A-92, P.K. 1,5 MARGEN IZDO.</t>
  </si>
  <si>
    <t>-5.935028, 37.386972</t>
  </si>
  <si>
    <t>41020</t>
  </si>
  <si>
    <t>Lavado cepillos, Box presión, Aspiradores, Solred cheque lavado, Lavandería, Waylet pago en caja, Adblue Envasado</t>
  </si>
  <si>
    <t>34568</t>
  </si>
  <si>
    <t>0183058726</t>
  </si>
  <si>
    <t>ES FOOTWEAR PLANET SL</t>
  </si>
  <si>
    <t>CR A-214, 1,5</t>
  </si>
  <si>
    <t>-0.505611, 38.390528</t>
  </si>
  <si>
    <t>L-S: 06:00-22:00; D: 08:00-15:00</t>
  </si>
  <si>
    <t>11155</t>
  </si>
  <si>
    <t>0183015122</t>
  </si>
  <si>
    <t>E.S. LAS CINCO PIEZAS</t>
  </si>
  <si>
    <t>VERA</t>
  </si>
  <si>
    <t>CR AL-3327, 3,8</t>
  </si>
  <si>
    <t>-1.836806, 37.220833</t>
  </si>
  <si>
    <t>04620</t>
  </si>
  <si>
    <t>L-D: 07:00-11:00</t>
  </si>
  <si>
    <t>Parking turismos, Box presión, Aspiradores, Waylet pago en surtidor, Waylet pago en caja, Adblue Envasado, Punto recarga eléctrico Repsol</t>
  </si>
  <si>
    <t>34061</t>
  </si>
  <si>
    <t>0183005396</t>
  </si>
  <si>
    <t>ES PORTAL ALAGON 2 ZOILO RIOS</t>
  </si>
  <si>
    <t>ALAGON</t>
  </si>
  <si>
    <t>CR A-68, 265, Margen Izquierdo</t>
  </si>
  <si>
    <t>-1.149389, 41.761111</t>
  </si>
  <si>
    <t>50630</t>
  </si>
  <si>
    <t>Restaurante, Cafetería/Bar, Parking turismos, Parking camiones, Duchas, Waylet pago en caja, Punto recarga eléctrico Repsol</t>
  </si>
  <si>
    <t>33452</t>
  </si>
  <si>
    <t>0183009877</t>
  </si>
  <si>
    <t>E.S. GARCIA SANCHIS,SL</t>
  </si>
  <si>
    <t>PUERTO DE SAGUNTO</t>
  </si>
  <si>
    <t>CR N-237, 3,3</t>
  </si>
  <si>
    <t>-0.236472, 39.668056</t>
  </si>
  <si>
    <t>46520</t>
  </si>
  <si>
    <t>33709</t>
  </si>
  <si>
    <t>0183080100</t>
  </si>
  <si>
    <t>E.S. PICA SL</t>
  </si>
  <si>
    <t>PULPI</t>
  </si>
  <si>
    <t>CR AL-1201, PK. 2</t>
  </si>
  <si>
    <t>-1.752083, 37.3945</t>
  </si>
  <si>
    <t>04640</t>
  </si>
  <si>
    <t>L-S: 07:00-22:00; D: 08:00-16:00</t>
  </si>
  <si>
    <t>EFITEC 95 N - España, Butano 12,5 Kg, DIESEL E+ NEO - España, DIESEL NEXA 100% RENOVABLE - Esp</t>
  </si>
  <si>
    <t>Restaurante, Cafetería/Bar, Parking turismos, Box presión, Aspiradores, Waylet pago en caja, Punto recarga eléctrico Repsol, Recarga eléctrica</t>
  </si>
  <si>
    <t>34034</t>
  </si>
  <si>
    <t>0183108919</t>
  </si>
  <si>
    <t>E.S. DOMINGUEZ JABALQUINTO, S.L.</t>
  </si>
  <si>
    <t>PORCUNA</t>
  </si>
  <si>
    <t>CL AVDA.JOAQUIN COSTA, S.N.</t>
  </si>
  <si>
    <t>-4.176139, 37.872667</t>
  </si>
  <si>
    <t>23790</t>
  </si>
  <si>
    <t>02409</t>
  </si>
  <si>
    <t>0183075530</t>
  </si>
  <si>
    <t>Mª CARMEN JUSTICIA JUSTICIA</t>
  </si>
  <si>
    <t>CABRA DE SANTO CRIST</t>
  </si>
  <si>
    <t>CL HUERTAS S.N.</t>
  </si>
  <si>
    <t>-3.286694, 37.703167</t>
  </si>
  <si>
    <t>23550</t>
  </si>
  <si>
    <t>L-S: 07:00-14:00 y 15:30-20:00</t>
  </si>
  <si>
    <t>EFITEC 95 N - España, DIESEL E+ NEO - España, Propano 11 Kg</t>
  </si>
  <si>
    <t>0183060334</t>
  </si>
  <si>
    <t>E.S. OTERO VAZQUEZ SL</t>
  </si>
  <si>
    <t>CERVO</t>
  </si>
  <si>
    <t>CR N-642, 52,1</t>
  </si>
  <si>
    <t>-7.421278, 43.674861</t>
  </si>
  <si>
    <t>27888</t>
  </si>
  <si>
    <t>L-V: 07:00-22:00; S: 08:00-22:00; D: 09:00-22:00</t>
  </si>
  <si>
    <t>Lavado cepillos, Lavado camiones, Parking turismos, Parking camiones, Box presión, Duchas, Aspiradores, Solred cheque lavado, Waylet pago en caja</t>
  </si>
  <si>
    <t>15646</t>
  </si>
  <si>
    <t>0183017326</t>
  </si>
  <si>
    <t>ES EXPLOTACION CARBURANTES CANIDO S</t>
  </si>
  <si>
    <t>ATIOS</t>
  </si>
  <si>
    <t>CR N-550, PK. 158</t>
  </si>
  <si>
    <t>-8.622528, 42.147389</t>
  </si>
  <si>
    <t>36418</t>
  </si>
  <si>
    <t>Lavado cepillos, Parking turismos, Parking camiones, Box presión, Aspiradores, Waylet pago en caja, Punto recarga eléctrico Repsol, Lavados Klin</t>
  </si>
  <si>
    <t>96204</t>
  </si>
  <si>
    <t>0183017078</t>
  </si>
  <si>
    <t>E.S. VILLANUEVA</t>
  </si>
  <si>
    <t>VILLANUEVA (VILLAESCUSA)</t>
  </si>
  <si>
    <t>CR CA-142, 5,8</t>
  </si>
  <si>
    <t>-3.859861, 43.361722</t>
  </si>
  <si>
    <t>39690</t>
  </si>
  <si>
    <t>Lavado cepillos, Parking turismos, Zona de descanso, Box presión, Aspiradores, Solred cheque lavado, Waylet pago en surtidor, Waylet pago en caja, Punto recarga eléctrico Repsol</t>
  </si>
  <si>
    <t>96353</t>
  </si>
  <si>
    <t>0183103266</t>
  </si>
  <si>
    <t>ES GASOMANCHUELA, SOCIEDAD LIMITADA</t>
  </si>
  <si>
    <t>ALMANSA</t>
  </si>
  <si>
    <t>CL AVDA. DE AYORA, S.N. A</t>
  </si>
  <si>
    <t>-1.100528, 38.874583</t>
  </si>
  <si>
    <t>02640</t>
  </si>
  <si>
    <t>33861</t>
  </si>
  <si>
    <t>0223029315</t>
  </si>
  <si>
    <t>E.S. MARTA GREGORIO FERRUS</t>
  </si>
  <si>
    <t>FLIX</t>
  </si>
  <si>
    <t>CR C-12 PK 84</t>
  </si>
  <si>
    <t>0.547722, 41.22175</t>
  </si>
  <si>
    <t>43750</t>
  </si>
  <si>
    <t>L-V: 08:00-20:00; S: 08:00-13:00</t>
  </si>
  <si>
    <t>03878</t>
  </si>
  <si>
    <t>0183052901</t>
  </si>
  <si>
    <t>E.S. JAYCER CB</t>
  </si>
  <si>
    <t>QUINTANILLA DE ONESI</t>
  </si>
  <si>
    <t>CR N-122, 329,1</t>
  </si>
  <si>
    <t>-4.368806, 41.625083</t>
  </si>
  <si>
    <t>47350</t>
  </si>
  <si>
    <t>L-V: 08:00-21:00; S: 09:00-15:00</t>
  </si>
  <si>
    <t>Lavado cepillos, Waylet pago en caja, Punto recarga eléctrico Repsol</t>
  </si>
  <si>
    <t>07651</t>
  </si>
  <si>
    <t>0183056084</t>
  </si>
  <si>
    <t>SURTIDOR CADAGUA S.L</t>
  </si>
  <si>
    <t>ALONSOTEGI</t>
  </si>
  <si>
    <t>CR BI-636, 4</t>
  </si>
  <si>
    <t>-2.980472, 43.246528</t>
  </si>
  <si>
    <t>48810</t>
  </si>
  <si>
    <t>L-V: 06:00-20:00; S-D: 09:00-20:00</t>
  </si>
  <si>
    <t>96145</t>
  </si>
  <si>
    <t>0183079458</t>
  </si>
  <si>
    <t>BAÑON Y VALERO S.L.</t>
  </si>
  <si>
    <t>CL DOLORES MARQUES, 50</t>
  </si>
  <si>
    <t>-0.361194, 39.489583</t>
  </si>
  <si>
    <t>46020</t>
  </si>
  <si>
    <t>EFITEC 95 N - España, EFITEC 98 N - España, Butano 12,5 Kg, DIESEL E+ NEO - España, DIESEL E+10 NEO - España, Butano 6 Kg (K6), BLUE+GRANEL - España</t>
  </si>
  <si>
    <t>96043</t>
  </si>
  <si>
    <t>0183052836</t>
  </si>
  <si>
    <t>EESS GARCIA-CAMACHO, S.L.</t>
  </si>
  <si>
    <t>DON BENITO</t>
  </si>
  <si>
    <t>AV MADRID, S.Nº.</t>
  </si>
  <si>
    <t>-5.85575, 38.965611</t>
  </si>
  <si>
    <t>06400</t>
  </si>
  <si>
    <t>L: 06:30-22:00</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</si>
  <si>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</si>
  <si>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</si>
  <si>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05471</t>
  </si>
  <si>
    <t>0040159717</t>
  </si>
  <si>
    <t>E.S. EL TELENO S.A.</t>
  </si>
  <si>
    <t>COMBARROS</t>
  </si>
  <si>
    <t>CR N-6  (COMBARROS-24715), 335</t>
  </si>
  <si>
    <t>-6.125972, 42.517306</t>
  </si>
  <si>
    <t>24715</t>
  </si>
  <si>
    <t>33688</t>
  </si>
  <si>
    <t>0183050160</t>
  </si>
  <si>
    <t>E.S.  LAS PALMERAS</t>
  </si>
  <si>
    <t>GARROBO, EL</t>
  </si>
  <si>
    <t>CR N-630, 781,1</t>
  </si>
  <si>
    <t>-6.14775, 37.636139</t>
  </si>
  <si>
    <t>41888</t>
  </si>
  <si>
    <t>96347</t>
  </si>
  <si>
    <t>0183102938</t>
  </si>
  <si>
    <t>ES ORTA PEREZ ANDRES JESÚS</t>
  </si>
  <si>
    <t>VILLARRASA</t>
  </si>
  <si>
    <t>CR HV-6131, 4,2</t>
  </si>
  <si>
    <t>-6.598222, 37.351111</t>
  </si>
  <si>
    <t>21850</t>
  </si>
  <si>
    <t>L-S: 06:00-21:00; D: 07:00-21:00</t>
  </si>
  <si>
    <t>33381</t>
  </si>
  <si>
    <t>0183008846</t>
  </si>
  <si>
    <t>ES BENICARLO</t>
  </si>
  <si>
    <t>BENICARLO</t>
  </si>
  <si>
    <t>CR N-340, 1042,1</t>
  </si>
  <si>
    <t>0.404639, 40.413833</t>
  </si>
  <si>
    <t>12580</t>
  </si>
  <si>
    <t>L-S: 07:00-21:00; D: 07:00-14:00</t>
  </si>
  <si>
    <t>34155</t>
  </si>
  <si>
    <t>0063207070</t>
  </si>
  <si>
    <t>E.S. ARAMAR EL QUIXOTE SL</t>
  </si>
  <si>
    <t>CAMPO DE CRIPTANA</t>
  </si>
  <si>
    <t>CR N-420, 296</t>
  </si>
  <si>
    <t>-3.112583, 39.401</t>
  </si>
  <si>
    <t>13610</t>
  </si>
  <si>
    <t>EFITEC 95 N - España, DIESEL E+ NEO - España, DIESEL NEXA 100% RENOVABLE - Esp, Propano 11 Kg, Butano 12 Kg (NEL)</t>
  </si>
  <si>
    <t>Parking turismos, Zona de descanso, Box presión, Aspiradores, Waylet pago en caja, Punto recarga eléctrico Repsol</t>
  </si>
  <si>
    <t>33364</t>
  </si>
  <si>
    <t>0183001163</t>
  </si>
  <si>
    <t>ES RONUPETRO SLU</t>
  </si>
  <si>
    <t>ALGUAIRE</t>
  </si>
  <si>
    <t>CR N-230, KM 15</t>
  </si>
  <si>
    <t>0.591306, 41.733222</t>
  </si>
  <si>
    <t>25125</t>
  </si>
  <si>
    <t>Waylet pago en caja, Punto recarga eléctrico Repsol</t>
  </si>
  <si>
    <t>33014</t>
  </si>
  <si>
    <t>0063167977</t>
  </si>
  <si>
    <t>E.S. CARBURANTES Y DERIVADOS.</t>
  </si>
  <si>
    <t>CL AVENIDA VIRGEN DE EUROPA, S.N.</t>
  </si>
  <si>
    <t>-5.452083, 36.133306</t>
  </si>
  <si>
    <t>11201</t>
  </si>
  <si>
    <t>12980</t>
  </si>
  <si>
    <t>0183060748</t>
  </si>
  <si>
    <t>E.S. ISLA (IBIZA)</t>
  </si>
  <si>
    <t>EIVISSA</t>
  </si>
  <si>
    <t>CR PM-801, 1,2</t>
  </si>
  <si>
    <t>1.417972, 38.905583</t>
  </si>
  <si>
    <t>07802</t>
  </si>
  <si>
    <t>33370</t>
  </si>
  <si>
    <t>0041110651</t>
  </si>
  <si>
    <t>E.S.OS PEPES S.A.</t>
  </si>
  <si>
    <t>XINZO DE LIMIA</t>
  </si>
  <si>
    <t>CR N-525, 199,4  I</t>
  </si>
  <si>
    <t>-7.732, 42.072667</t>
  </si>
  <si>
    <t>32630</t>
  </si>
  <si>
    <t>EFITEC 95 N - España, Efitec 95 Premium, EFITEC 98 N - España, Butano 12,5 Kg, DIESEL E+ NEO - España, DIESEL E+10 NEO - España, GO-B BONIF - España, Propano 11 Kg, BLUE+GRANEL - España, Butano 12 Kg (NEL)</t>
  </si>
  <si>
    <t>Restaurante, Cafetería/Bar, Lavado cepillos, Parking turismos, Box presión, Aspiradores, Waylet pago en caja, Punto recarga eléctrico Repsol</t>
  </si>
  <si>
    <t>96163</t>
  </si>
  <si>
    <t>0183080282</t>
  </si>
  <si>
    <t>CDAD.TNPTE.PONIENTE</t>
  </si>
  <si>
    <t>MOJONERA, LA</t>
  </si>
  <si>
    <t>CR N-340, 420,7</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</si>
  <si>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</si>
  <si>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</si>
  <si>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</si>
  <si>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</si>
  <si>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34185</t>
  </si>
  <si>
    <t>0183007020</t>
  </si>
  <si>
    <t>E.S.  LES 4 RODES S.L.</t>
  </si>
  <si>
    <t>TIVISSA</t>
  </si>
  <si>
    <t>CR C-233, 20,2</t>
  </si>
  <si>
    <t>0.729667, 41.047806</t>
  </si>
  <si>
    <t>43746</t>
  </si>
  <si>
    <t>L-S: 07:30-15:30</t>
  </si>
  <si>
    <t>EFITEC 95 N - España, EFITEC 98 N - España, Butano 12,5 Kg, DIESEL E+ NEO - España, DIESEL E+10 NEO - España, GO-B BONIF - España</t>
  </si>
  <si>
    <t>05705</t>
  </si>
  <si>
    <t>0183133271</t>
  </si>
  <si>
    <t>ES LAS VENTAS (DIRECCION LOGROÑO)</t>
  </si>
  <si>
    <t>UTEBO</t>
  </si>
  <si>
    <t>CTRA. LOGROÑO, KM 10,500</t>
  </si>
  <si>
    <t>-0.990167, 41.695306</t>
  </si>
  <si>
    <t>50180</t>
  </si>
  <si>
    <t>L: 06:00-22:00; S: 08:00-14:00</t>
  </si>
  <si>
    <t>Restaurante, Cafetería/Bar, Lavado cepillos, Lavado camiones, Parking turismos, Parking camiones, Zona de descanso, Box presión, Duchas, Aspiradores, Solred cheque lavado, Waylet pago en surtidor, Waylet pago en caja</t>
  </si>
  <si>
    <t>06724</t>
  </si>
  <si>
    <t>0183009968</t>
  </si>
  <si>
    <t>E.S. GRUPO MAICAS MONTALBAN</t>
  </si>
  <si>
    <t>MONTALBAN</t>
  </si>
  <si>
    <t>CR N-211, 165,6</t>
  </si>
  <si>
    <t>-0.798167, 40.831417</t>
  </si>
  <si>
    <t>44700</t>
  </si>
  <si>
    <t>L-D: 08:00-20:00</t>
  </si>
  <si>
    <t>34385</t>
  </si>
  <si>
    <t>0183005800</t>
  </si>
  <si>
    <t>ES GASMOR E HIJOS SL</t>
  </si>
  <si>
    <t>CR C-3211, 69</t>
  </si>
  <si>
    <t>-1.657167, 37.599778</t>
  </si>
  <si>
    <t>Taller mecánico, Taller eléctrico, Lavado camiones, Parking turismos, Zona de descanso, Box presión, Aspiradores, Waylet pago en caja</t>
  </si>
  <si>
    <t>10798</t>
  </si>
  <si>
    <t>0183015403</t>
  </si>
  <si>
    <t>ES ENERGIA SANTA ANA SL</t>
  </si>
  <si>
    <t>CL CARRETERA JAEN, 47</t>
  </si>
  <si>
    <t>-1.714556, 38.502889</t>
  </si>
  <si>
    <t>L-D: 07:00-22:30</t>
  </si>
  <si>
    <t>02721</t>
  </si>
  <si>
    <t>0183078138</t>
  </si>
  <si>
    <t>U.S. YOLANDA PANDO BLAZQUEZ</t>
  </si>
  <si>
    <t>CASTRO URDIALES</t>
  </si>
  <si>
    <t>CR N-634, 148</t>
  </si>
  <si>
    <t>-3.220833, 43.383583</t>
  </si>
  <si>
    <t>39700</t>
  </si>
  <si>
    <t>L-S: 08:00-21:00</t>
  </si>
  <si>
    <t>12800</t>
  </si>
  <si>
    <t>0183075852</t>
  </si>
  <si>
    <t>ES POZA CASADO S.L.</t>
  </si>
  <si>
    <t>FONTIOSO</t>
  </si>
  <si>
    <t>CR A-1, 187,7</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</si>
  <si>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</si>
  <si>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</si>
  <si>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</si>
  <si>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</si>
  <si>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</si>
  <si>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96656</t>
  </si>
  <si>
    <t>0183111129</t>
  </si>
  <si>
    <t>ES ECOGASER CIDACOS SL</t>
  </si>
  <si>
    <t>TAFALLA</t>
  </si>
  <si>
    <t>AVENIDA DE PAMPLONA, S. N.</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</si>
  <si>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</si>
  <si>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</si>
  <si>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</si>
  <si>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</si>
  <si>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</si>
  <si>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34373</t>
  </si>
  <si>
    <t>0183012111</t>
  </si>
  <si>
    <t>E.S. CAMPOSINES S.C.P.</t>
  </si>
  <si>
    <t>FATARELLA, LA</t>
  </si>
  <si>
    <t>CR N-420, 455,6</t>
  </si>
  <si>
    <t>0.535528, 41.109722</t>
  </si>
  <si>
    <t>43781</t>
  </si>
  <si>
    <t>L: 06:30-21:30</t>
  </si>
  <si>
    <t>EFITEC 95 N - España, Butano 12,5 Kg, DIESEL E+ NEO - España, DIESEL E+10 NEO - España, GO-B BONIF - España, Propano 11 Kg, Butano 12 Kg (NEL)</t>
  </si>
  <si>
    <t>Parking turismos, Parking camiones, Zona de descanso, Box presión, Waylet pago en caja, Adblue Envasado</t>
  </si>
  <si>
    <t>34008</t>
  </si>
  <si>
    <t>0063167928</t>
  </si>
  <si>
    <t>E.S. GRUPO MAICAS SANTA EULALIA</t>
  </si>
  <si>
    <t>SANTA EULALIA DEL CA</t>
  </si>
  <si>
    <t>CR N-234, 150,5</t>
  </si>
  <si>
    <t>-1.2855, 40.564778</t>
  </si>
  <si>
    <t>44360</t>
  </si>
  <si>
    <t>Restaurante, Cafetería/Bar, Lavado cepillos, Parking turismos, Parking camiones, Box presión, Duchas, Aspiradores, Waylet pago en caja</t>
  </si>
  <si>
    <t>34014</t>
  </si>
  <si>
    <t>0183015999</t>
  </si>
  <si>
    <t>E.S. AUTODROM BAIX P.</t>
  </si>
  <si>
    <t>PG RIU CLAR- PARCELA 169-179, S.N.</t>
  </si>
  <si>
    <t>1.230639, 41.141194</t>
  </si>
  <si>
    <t>L-V: 06:00-21:00; S: 07:00-21:00</t>
  </si>
  <si>
    <t>Restaurante, Cafetería/Bar, Parking camiones, Waylet pago en caja, Punto recarga eléctrico Repsol, Recarga eléctrica</t>
  </si>
  <si>
    <t>34150</t>
  </si>
  <si>
    <t>0183003565</t>
  </si>
  <si>
    <t>E.S. GASOLPER ALICANTE</t>
  </si>
  <si>
    <t>CR N-330, 409</t>
  </si>
  <si>
    <t>-0.523167, 38.344944</t>
  </si>
  <si>
    <t>03006</t>
  </si>
  <si>
    <t>L-D: 06:30-21:00</t>
  </si>
  <si>
    <t>Cafetería/Bar, Waylet pago en caja, Punto recarga eléctrico Repsol</t>
  </si>
  <si>
    <t>97160</t>
  </si>
  <si>
    <t>0183134329</t>
  </si>
  <si>
    <t>ES PORTAL ALAGON 1 ZOILO RIOS</t>
  </si>
  <si>
    <t>CR A-68, 265, Margen Derecho</t>
  </si>
  <si>
    <t>-1.149528, 41.761639</t>
  </si>
  <si>
    <t>Restaurante, Cafetería/Bar, Taller mecánico, Taller neumáticos, Taller eléctrico, Zona de descanso, Waylet pago en caja, Adblue Envasado</t>
  </si>
  <si>
    <t>34264</t>
  </si>
  <si>
    <t>0183003797</t>
  </si>
  <si>
    <t>ES SANALEMO GESTION SL</t>
  </si>
  <si>
    <t>CR N-4, 398,3</t>
  </si>
  <si>
    <t>-4.74125, 37.897333</t>
  </si>
  <si>
    <t>14014</t>
  </si>
  <si>
    <t>Lavado cepillos, Aspiradores, Waylet pago en caja, Adblue Envasado</t>
  </si>
  <si>
    <t>07362</t>
  </si>
  <si>
    <t>0183052638</t>
  </si>
  <si>
    <t>ES GASOGAS CALEFACCIÓN S.L.U.</t>
  </si>
  <si>
    <t>CL CAMPO, 117</t>
  </si>
  <si>
    <t>-3.022722, 39.168333</t>
  </si>
  <si>
    <t>EFITEC 95 N - España, Efitec 95 Premium, Butano 12,5 Kg, DIESEL E+ NEO - España, DIESEL NEXA 100% RENOVABLE - Esp, Propano 11 Kg, BLUE+GRANEL - España, Butano 12 Kg (NEL)</t>
  </si>
  <si>
    <t>96381</t>
  </si>
  <si>
    <t>0183105956</t>
  </si>
  <si>
    <t>ES ODIBAR 06, S.L.</t>
  </si>
  <si>
    <t>CL AVDA. SAN PABLO, 32</t>
  </si>
  <si>
    <t>-3.533361, 40.434222</t>
  </si>
  <si>
    <t>10091</t>
  </si>
  <si>
    <t>0183055276</t>
  </si>
  <si>
    <t>E.S. COMBUSTIBLES GUTIERREZ SL</t>
  </si>
  <si>
    <t>CAMUÑAS</t>
  </si>
  <si>
    <t>CR A-4, 129,6</t>
  </si>
  <si>
    <t>-3.496083, 39.377833</t>
  </si>
  <si>
    <t>45720</t>
  </si>
  <si>
    <t>96884</t>
  </si>
  <si>
    <t>0183125004</t>
  </si>
  <si>
    <t>ES GLEM LUCENTUM</t>
  </si>
  <si>
    <t>C/ FORTUNY ESQ AVDA NOVELDA 141</t>
  </si>
  <si>
    <t>-0.499444, 38.375333</t>
  </si>
  <si>
    <t>EFITEC 95 N - España, EFITEC 98 N - España, DIESEL E+ NEO - España, Diésel e+5, DIESEL E+10 NEO - España, Propano 11 Kg</t>
  </si>
  <si>
    <t>31117</t>
  </si>
  <si>
    <t>0183063569</t>
  </si>
  <si>
    <t>POZA CASADO S.L.</t>
  </si>
  <si>
    <t>SAN LEONARDO DE YAGUE</t>
  </si>
  <si>
    <t>CR N-234, 401</t>
  </si>
  <si>
    <t>-3.056222, 41.83125</t>
  </si>
  <si>
    <t>42140</t>
  </si>
  <si>
    <t>98248</t>
  </si>
  <si>
    <t>0183136498</t>
  </si>
  <si>
    <t>ES BISONTENERGY</t>
  </si>
  <si>
    <t>LA JUAIDA</t>
  </si>
  <si>
    <t>POLIGONO SIERRA DE CAZORLA, SN</t>
  </si>
  <si>
    <t>-2.420694, 36.883306</t>
  </si>
  <si>
    <t>04240</t>
  </si>
  <si>
    <t>33878</t>
  </si>
  <si>
    <t>0183001593</t>
  </si>
  <si>
    <t>E.S.GASOLIN.MARUXIÑA</t>
  </si>
  <si>
    <t>ALAMEDA DE LA SAGRA</t>
  </si>
  <si>
    <t>CR CM-4004,  P.K. 35 M.D.</t>
  </si>
  <si>
    <t>-3.805028, 40.014778</t>
  </si>
  <si>
    <t>45240</t>
  </si>
  <si>
    <t>L-V: 06:00-22:00; S: 07:00-22:00; D: 08:00-15:00</t>
  </si>
  <si>
    <t>Restaurante, Cafetería/Bar, Lavado cepillos, Box presión, Aspiradores, Solred cheque lavado, Waylet pago en caja, Adblue Envasado</t>
  </si>
  <si>
    <t>00676</t>
  </si>
  <si>
    <t>0183056498</t>
  </si>
  <si>
    <t>E.S.FLORES,S.L.</t>
  </si>
  <si>
    <t>Paseo Cruz del Carmen, 22</t>
  </si>
  <si>
    <t>-5.650917, 37.465056</t>
  </si>
  <si>
    <t>L-S: 06:00-22:00; D: 09:00-14:00</t>
  </si>
  <si>
    <t>EFITEC 95 N - España, Efitec 95 Premium, DIESEL E+ NEO - España, DIESEL E+10 NEO - España, Propano 11 Kg, Butano 12 Kg (NEL)</t>
  </si>
  <si>
    <t>33860</t>
  </si>
  <si>
    <t>0183013333</t>
  </si>
  <si>
    <t>JAUCAR OIL,S.L.</t>
  </si>
  <si>
    <t>VILAGRASSA</t>
  </si>
  <si>
    <t>CR A-2, 504</t>
  </si>
  <si>
    <t>1.103222, 41.647111</t>
  </si>
  <si>
    <t>25330</t>
  </si>
  <si>
    <t>Restaurante, Cafetería/Bar, Parking turismos, Box presión, Duchas, Aspiradores, Waylet pago en caja</t>
  </si>
  <si>
    <t>04953</t>
  </si>
  <si>
    <t>0183054337</t>
  </si>
  <si>
    <t>ES ESTACIONES DE SERVICIO MURRIA</t>
  </si>
  <si>
    <t>MORELLA</t>
  </si>
  <si>
    <t>CR N-232, 63,5</t>
  </si>
  <si>
    <t>-0.094556, 40.609611</t>
  </si>
  <si>
    <t>12300</t>
  </si>
  <si>
    <t>EFITEC 95 N - España, DIESEL E+ NEO - España, DIESEL E+10 NEO - España, Propano 11 Kg, BLUE+GRANEL - España</t>
  </si>
  <si>
    <t>01257</t>
  </si>
  <si>
    <t>0183019462</t>
  </si>
  <si>
    <t>GAS.TORRES DE QUART</t>
  </si>
  <si>
    <t>CL GUILLEM CASTRO, 68</t>
  </si>
  <si>
    <t>-0.383944, 39.474333</t>
  </si>
  <si>
    <t>46001</t>
  </si>
  <si>
    <t>L-V: 07:30-20:00; S: 09:00-13:00</t>
  </si>
  <si>
    <t>05376</t>
  </si>
  <si>
    <t>0183003359</t>
  </si>
  <si>
    <t>ES LA PEÑUELA POZO CAÑADA SL</t>
  </si>
  <si>
    <t>CR N-301, 231,8</t>
  </si>
  <si>
    <t>-1.990194, 39.107667</t>
  </si>
  <si>
    <t>03311</t>
  </si>
  <si>
    <t>0040115768</t>
  </si>
  <si>
    <t>E.S. SAN RAFAEL, S.L.</t>
  </si>
  <si>
    <t>CL AVENIDA ZARAGOZA, S.N.</t>
  </si>
  <si>
    <t>-1.597056, 42.052528</t>
  </si>
  <si>
    <t>Cafetería/Bar, Taller mecánico, Lavado cepillos, Parking turismos, Parking camiones, Zona de descanso, Box presión, Aspiradores, Waylet pago en caja</t>
  </si>
  <si>
    <t>34379</t>
  </si>
  <si>
    <t>0183003086</t>
  </si>
  <si>
    <t>ES ESTACION DE SERVICIO EL BRUCH,S.</t>
  </si>
  <si>
    <t>IGUALADA</t>
  </si>
  <si>
    <t>CL AVENIDA ANGEL GUIMERA, 15</t>
  </si>
  <si>
    <t>1.608444, 41.580972</t>
  </si>
  <si>
    <t>08700</t>
  </si>
  <si>
    <t>33309</t>
  </si>
  <si>
    <t>0183052646</t>
  </si>
  <si>
    <t>E.S. ELEPRA 2013, S.L.</t>
  </si>
  <si>
    <t>VILLALEGRE</t>
  </si>
  <si>
    <t>CL AVENIDA SANTA APOLONIA, 44</t>
  </si>
  <si>
    <t>-5.902833, 43.538111</t>
  </si>
  <si>
    <t>33400</t>
  </si>
  <si>
    <t>L-S: 06:30-22:30; D: 08:00-22:00</t>
  </si>
  <si>
    <t>33822</t>
  </si>
  <si>
    <t>0042168799</t>
  </si>
  <si>
    <t>ES COOP DEL CAMPO DE SAN JUAN BAUTI</t>
  </si>
  <si>
    <t>FUENDEJALON</t>
  </si>
  <si>
    <t>CR A-121, 8,1</t>
  </si>
  <si>
    <t>-1.475639, 41.762833</t>
  </si>
  <si>
    <t>50529</t>
  </si>
  <si>
    <t>93390</t>
  </si>
  <si>
    <t>0183137645</t>
  </si>
  <si>
    <t>ES VILLA ROMANA</t>
  </si>
  <si>
    <t>SALAR</t>
  </si>
  <si>
    <t>CR C-335 P.K. 7,50 I</t>
  </si>
  <si>
    <t>-4.076611, 37.163833</t>
  </si>
  <si>
    <t>18310</t>
  </si>
  <si>
    <t>Restaurante, Cafetería/Bar, Parking turismos, Waylet pago en caja, Adblue Envasado</t>
  </si>
  <si>
    <t>96048</t>
  </si>
  <si>
    <t>0183078104</t>
  </si>
  <si>
    <t>E.S. GRUPO MAICAS PEIRO S.L.U</t>
  </si>
  <si>
    <t>CL CTRA.ANTIGUA DE BARCELONA, 4</t>
  </si>
  <si>
    <t>-0.324111, 39.585111</t>
  </si>
  <si>
    <t>EFITEC 95 N - España, Butano 12,5 Kg, DIESEL E+ NEO - España, DIESEL E+10 NEO - España, BLUE+GRANEL - España</t>
  </si>
  <si>
    <t>Lavado cepillos, Box presión, Duchas, Aspiradores, Waylet pago en caja, Punto recarga eléctrico Repsol</t>
  </si>
  <si>
    <t>10916</t>
  </si>
  <si>
    <t>0183011022</t>
  </si>
  <si>
    <t>E.S. MURRIA HERMANOS</t>
  </si>
  <si>
    <t>ALCAÑIZ</t>
  </si>
  <si>
    <t>CR N-232, 134,8</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</si>
  <si>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</si>
  <si>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</si>
  <si>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</si>
  <si>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</si>
  <si>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</si>
  <si>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34500</t>
  </si>
  <si>
    <t>0183019215</t>
  </si>
  <si>
    <t>E.S. EL BRUCH S.A.</t>
  </si>
  <si>
    <t>SAN SALVADOR URB.</t>
  </si>
  <si>
    <t>CR N-240, 3,7</t>
  </si>
  <si>
    <t>1.240028, 41.151889</t>
  </si>
  <si>
    <t>43130</t>
  </si>
  <si>
    <t>34362</t>
  </si>
  <si>
    <t>0183007889</t>
  </si>
  <si>
    <t>ES PROYECTOS JARAMILLOS SL</t>
  </si>
  <si>
    <t>CL AV. ALC. MANUEL DE LA PINTA,</t>
  </si>
  <si>
    <t>-6.271111, 36.5025</t>
  </si>
  <si>
    <t>Cafetería/Bar, Lavado cepillos, Parking turismos, Box presión, Aspiradores, Waylet pago en caja, Punto recarga eléctrico Repsol</t>
  </si>
  <si>
    <t>96895</t>
  </si>
  <si>
    <t>0183118728</t>
  </si>
  <si>
    <t>ES CODISOIL ARAPILES</t>
  </si>
  <si>
    <t>CR A-66, P.K. 348 M.I. (POLIG.501-P</t>
  </si>
  <si>
    <t>-5.65575, 40.894278</t>
  </si>
  <si>
    <t>96511</t>
  </si>
  <si>
    <t>0183112358</t>
  </si>
  <si>
    <t>E.S. VILLARCE LA VENTILLA</t>
  </si>
  <si>
    <t>CR  N-120, P.K. 108,3</t>
  </si>
  <si>
    <t>-3.647944, 42.344583</t>
  </si>
  <si>
    <t>09007</t>
  </si>
  <si>
    <t>Lavado cepillos, Parking turismos, Box presión, Solred cheque lavado, Waylet pago en surtidor, Waylet pago en caja, Punto recarga eléctrico Repsol</t>
  </si>
  <si>
    <t>96020</t>
  </si>
  <si>
    <t>0183078088</t>
  </si>
  <si>
    <t>ES PARAISO</t>
  </si>
  <si>
    <t>MORALEDA DE ZAFAYONA</t>
  </si>
  <si>
    <t>CR A-92, 212,7</t>
  </si>
  <si>
    <t>-3.928778, 37.180333</t>
  </si>
  <si>
    <t>18370</t>
  </si>
  <si>
    <t>Cafetería/Bar, Lavado camiones, Parking turismos, Parking camiones, Zona de descanso, Duchas, Waylet pago en surtidor, Waylet pago en caja, Adblue Envasado, Punto recarga eléctrico Repsol, Recarga eléctrica</t>
  </si>
  <si>
    <t>96888</t>
  </si>
  <si>
    <t>0183119437</t>
  </si>
  <si>
    <t>E.S. NUEVA MAYPA S.L.</t>
  </si>
  <si>
    <t>TORIJA</t>
  </si>
  <si>
    <t>CR A-2 P.K. 72 M.I.</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</si>
  <si>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</si>
  <si>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</si>
  <si>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</si>
  <si>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</si>
  <si>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06742</t>
  </si>
  <si>
    <t>0183052380</t>
  </si>
  <si>
    <t>PALACIO GARCIA,ANTON</t>
  </si>
  <si>
    <t>CR N-632, 41,4</t>
  </si>
  <si>
    <t>-5.432833, 43.482306</t>
  </si>
  <si>
    <t>L-S: 07:00-21:00; D: 08:00-15:00</t>
  </si>
  <si>
    <t>33628</t>
  </si>
  <si>
    <t>0183009992</t>
  </si>
  <si>
    <t>E.S. GRUPO MAICAS HOSTALES</t>
  </si>
  <si>
    <t>CR N-234, 123,5</t>
  </si>
  <si>
    <t>-1.135639, 40.356944</t>
  </si>
  <si>
    <t>44001</t>
  </si>
  <si>
    <t>Lavado cepillos, Zona de descanso, Duchas, Aspiradores, Solred cheque lavado, Waylet pago en caja, Punto recarga eléctrico Repsol</t>
  </si>
  <si>
    <t>34062</t>
  </si>
  <si>
    <t>0183005404</t>
  </si>
  <si>
    <t>E.S. ZUERA (SERVIBAYO, SL)</t>
  </si>
  <si>
    <t>ZUERA</t>
  </si>
  <si>
    <t>CR HUESCA-ZARAGOZA KM. 23</t>
  </si>
  <si>
    <t>-0.794, 41.857</t>
  </si>
  <si>
    <t>50800</t>
  </si>
  <si>
    <t>Restaurante, Cafetería/Bar, Lavado cepillos, Parking turismos, Zona de descanso, Box presión, Aspiradores, Waylet pago en surtidor, Waylet pago en caja, Adblue Envasado, Punto recarga eléctrico Repsol, Lavados Klin</t>
  </si>
  <si>
    <t>33021</t>
  </si>
  <si>
    <t>0063167829</t>
  </si>
  <si>
    <t>ES ADAN MALANDA LORENZO</t>
  </si>
  <si>
    <t>MAGAZ</t>
  </si>
  <si>
    <t>CR N-620, P.K. 77,7</t>
  </si>
  <si>
    <t>-4.416639, 41.986639</t>
  </si>
  <si>
    <t>34220</t>
  </si>
  <si>
    <t>EFITEC 95 N - España, Efitec 95 Premium, Butano 12,5 Kg, DIESEL E+ NEO - España, DIESEL E+10 NEO - España, Propano 11 Kg, BLUE+GRANEL - España</t>
  </si>
  <si>
    <t>13245</t>
  </si>
  <si>
    <t>0183063957</t>
  </si>
  <si>
    <t>ES GRUPO MUXAGAS, S.L.</t>
  </si>
  <si>
    <t>PEDREDA-MUJA</t>
  </si>
  <si>
    <t>CR N-640, 87,4</t>
  </si>
  <si>
    <t>-7.517, 43.043667</t>
  </si>
  <si>
    <t>27192</t>
  </si>
  <si>
    <t>Lavado cepillos, Parking turismos, Parking camiones, Zona de descanso, Box presión, Aspiradores, Solred cheque lavado, Waylet pago en caja</t>
  </si>
  <si>
    <t>15465</t>
  </si>
  <si>
    <t>0183016286</t>
  </si>
  <si>
    <t>E.S. YEBRA S.L.</t>
  </si>
  <si>
    <t>YEBRA</t>
  </si>
  <si>
    <t>CR GU-231, 4,5</t>
  </si>
  <si>
    <t>-2.970472, 40.358389</t>
  </si>
  <si>
    <t>19111</t>
  </si>
  <si>
    <t>L-J: 06:30-23:00; V-S: 06:30-00:00; D: 06:30-23:00</t>
  </si>
  <si>
    <t>34389</t>
  </si>
  <si>
    <t>0043129204</t>
  </si>
  <si>
    <t>ES GESTION DE RECURSOS ENERGETICOS</t>
  </si>
  <si>
    <t>SANTA OLALLA</t>
  </si>
  <si>
    <t>CL MARINA ESPAÑOLA, S.N.</t>
  </si>
  <si>
    <t>-6.221667, 37.904</t>
  </si>
  <si>
    <t>21260</t>
  </si>
  <si>
    <t>Parking turismos, Zona de descanso, Box presión, Aspiradores, Waylet pago en surtidor, Waylet pago en caja, Punto recarga eléctrico Repsol</t>
  </si>
  <si>
    <t>34516</t>
  </si>
  <si>
    <t>0183000744</t>
  </si>
  <si>
    <t>ES GASOLINERA GOMEZ Y PALOMARES SL</t>
  </si>
  <si>
    <t>CR N-400, 176,9</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</si>
  <si>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</si>
  <si>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</si>
  <si>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</si>
  <si>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</si>
  <si>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33050</t>
  </si>
  <si>
    <t>0183006964</t>
  </si>
  <si>
    <t>ES ALJOBAR SL</t>
  </si>
  <si>
    <t>AV DE SALAMANCA, 68 A</t>
  </si>
  <si>
    <t>-4.746639, 41.637972</t>
  </si>
  <si>
    <t>EFITEC 95 N - España, EFITEC 98 N - España, DIESEL E+ NEO - España, DIESEL NEXA 100% RENOVABLE - Esp, Propano 11 Kg, Autogás, Butano 12 Kg (NEL)</t>
  </si>
  <si>
    <t>Lavado cepillos, Parking turismos, Zona de descanso, Box presión, Aspiradores, Waylet pago en surtidor, Waylet pago en caja, Adblue Envasado, Punto recarga eléctrico Repsol, Lavados Klin</t>
  </si>
  <si>
    <t>96157</t>
  </si>
  <si>
    <t>0183080225</t>
  </si>
  <si>
    <t>ES NIMACI SL</t>
  </si>
  <si>
    <t>CL VILADOMAT, 201</t>
  </si>
  <si>
    <t>2.098306, 41.538</t>
  </si>
  <si>
    <t>34113</t>
  </si>
  <si>
    <t>0183006717</t>
  </si>
  <si>
    <t>ES CODISOIL MEDINA</t>
  </si>
  <si>
    <t>CL AVENIDA DE LA CONSTITUCION, 48</t>
  </si>
  <si>
    <t>-4.916472, 41.318139</t>
  </si>
  <si>
    <t>34349</t>
  </si>
  <si>
    <t>0183010867</t>
  </si>
  <si>
    <t>ES BARBA VAZQUEZ RAFAEL</t>
  </si>
  <si>
    <t>BORNOS</t>
  </si>
  <si>
    <t>CR N-342, 44</t>
  </si>
  <si>
    <t>-5.741639, 36.824417</t>
  </si>
  <si>
    <t>11640</t>
  </si>
  <si>
    <t>EFITEC 95 N - España, Butano 12,5 Kg, DIESEL E+ NEO - España, DIESEL E+10 NEO - España, Propano 11 Kg</t>
  </si>
  <si>
    <t>Cafetería/Bar, Parking turismos, Zona de descanso, Waylet pago en surtidor, Waylet pago en caja</t>
  </si>
  <si>
    <t>34526</t>
  </si>
  <si>
    <t>0183018324</t>
  </si>
  <si>
    <t>E.S. ADMON Y DISTRIB. DE COMBUSTIBL</t>
  </si>
  <si>
    <t>CL MURCIA, 33</t>
  </si>
  <si>
    <t>-1.687833, 38.506806</t>
  </si>
  <si>
    <t>Restaurante, Parking turismos, Parking camiones, Box presión, Aspiradores, Waylet pago en caja, Punto recarga eléctrico Repsol</t>
  </si>
  <si>
    <t>34620</t>
  </si>
  <si>
    <t>0183052794</t>
  </si>
  <si>
    <t>E.S. GAMA (CANTABRIA)</t>
  </si>
  <si>
    <t>GAMA</t>
  </si>
  <si>
    <t>CR CA-148, 0,3</t>
  </si>
  <si>
    <t>-3.522444, 43.426083</t>
  </si>
  <si>
    <t>39790</t>
  </si>
  <si>
    <t>Lavado cepillos, Box presión, Aspiradores, Solred cheque lavado, Waylet pago en caja</t>
  </si>
  <si>
    <t>06712</t>
  </si>
  <si>
    <t>0183060094</t>
  </si>
  <si>
    <t>E.S. GESLAMA-PER,S.L.</t>
  </si>
  <si>
    <t>CL AVENIDA MORATALAZ, 21</t>
  </si>
  <si>
    <t>-3.660583, 40.407639</t>
  </si>
  <si>
    <t>L-S: 07:00-21:00; D: 09:00-14:00</t>
  </si>
  <si>
    <t>0183005529</t>
  </si>
  <si>
    <t>ES GAS CORDOBA SL</t>
  </si>
  <si>
    <t>ALMODOVAR DEL RIO</t>
  </si>
  <si>
    <t>CR C-431, 21</t>
  </si>
  <si>
    <t>-5.004694, 37.82125</t>
  </si>
  <si>
    <t>14720</t>
  </si>
  <si>
    <t>Lavado cepillos, Box presión, Aspiradores, Solred cheque lavado, Waylet pago en surtidor, Waylet pago en caja, Adblue Envasado</t>
  </si>
  <si>
    <t>33735</t>
  </si>
  <si>
    <t>0183003631</t>
  </si>
  <si>
    <t>E.S. LES 4 RODES, S.L.</t>
  </si>
  <si>
    <t>MORA LA NOVA</t>
  </si>
  <si>
    <t>CR N-420, 467,1</t>
  </si>
  <si>
    <t>0.647917, 41.093722</t>
  </si>
  <si>
    <t>43770</t>
  </si>
  <si>
    <t>EFITEC 95 N - España, EFITEC 98 N - España, DIESEL E+ NEO - España, DIESEL NEXA 100% RENOVABLE - Esp, GO-B BONIF - España, Butano 12 Kg (NEL)</t>
  </si>
  <si>
    <t>Aspiradores, Waylet pago en surtidor, Waylet pago en caja, Punto recarga eléctrico Repsol</t>
  </si>
  <si>
    <t>03504</t>
  </si>
  <si>
    <t>0183006030</t>
  </si>
  <si>
    <t>ES MORALEJA ENERGY, S.L.</t>
  </si>
  <si>
    <t>CL BOULEVARD SALVADOR ALLENDE 12-13</t>
  </si>
  <si>
    <t>-3.633944, 40.5375</t>
  </si>
  <si>
    <t>33498</t>
  </si>
  <si>
    <t>0183000728</t>
  </si>
  <si>
    <t>E.S. RUSUAPAMI</t>
  </si>
  <si>
    <t>ALCUESCAR</t>
  </si>
  <si>
    <t>CR N-630, 590,5</t>
  </si>
  <si>
    <t>-6.264417, 39.164306</t>
  </si>
  <si>
    <t>10160</t>
  </si>
  <si>
    <t>L-D: 07:00-22:59</t>
  </si>
  <si>
    <t>34067</t>
  </si>
  <si>
    <t>0183004704</t>
  </si>
  <si>
    <t>E.S. ALZ MISLATA</t>
  </si>
  <si>
    <t>MISLATA</t>
  </si>
  <si>
    <t>AT A-3, 350,9</t>
  </si>
  <si>
    <t>-0.429722, 39.472083</t>
  </si>
  <si>
    <t>46920</t>
  </si>
  <si>
    <t>33633</t>
  </si>
  <si>
    <t>0120003983</t>
  </si>
  <si>
    <t>E.S. COMBUSTIBLES SALCEDO S.L.</t>
  </si>
  <si>
    <t>SALCEDO</t>
  </si>
  <si>
    <t>CR N-550, 126,4</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</si>
  <si>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</si>
  <si>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</si>
  <si>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</si>
  <si>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</si>
  <si>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34429</t>
  </si>
  <si>
    <t>0183018811</t>
  </si>
  <si>
    <t>ESTACIO SERVEI OLOST, S.L.</t>
  </si>
  <si>
    <t>OLOST</t>
  </si>
  <si>
    <t>CTRA.C-154 KM.20</t>
  </si>
  <si>
    <t>2.09725, 41.984917</t>
  </si>
  <si>
    <t>08516</t>
  </si>
  <si>
    <t>L-S: 07:00-21:00</t>
  </si>
  <si>
    <t>02987</t>
  </si>
  <si>
    <t>0183054105</t>
  </si>
  <si>
    <t>A.S. RIOS GARCIA, M.J.</t>
  </si>
  <si>
    <t>DOLORES, LOS - CARTAGENA</t>
  </si>
  <si>
    <t>CL PLAZA DEL TULIPAN,S.N.</t>
  </si>
  <si>
    <t>-1.003056, 37.638861</t>
  </si>
  <si>
    <t>30310</t>
  </si>
  <si>
    <t>L-S: 06:00-21:00</t>
  </si>
  <si>
    <t>96604</t>
  </si>
  <si>
    <t>0183107994</t>
  </si>
  <si>
    <t>ES BISONTE ENERGY PUERTO REAL</t>
  </si>
  <si>
    <t>PUERTO REAL</t>
  </si>
  <si>
    <t>CR N-4, 668,6</t>
  </si>
  <si>
    <t>-6.143333, 36.488667</t>
  </si>
  <si>
    <t>11510</t>
  </si>
  <si>
    <t>33028</t>
  </si>
  <si>
    <t>0063168025</t>
  </si>
  <si>
    <t>E.S. ASTIGI IBERICA,S.L.II</t>
  </si>
  <si>
    <t>ECIJA</t>
  </si>
  <si>
    <t>CL AVENIDA DEL DOCTOR FLEMING, 45</t>
  </si>
  <si>
    <t>-5.073111, 37.541806</t>
  </si>
  <si>
    <t>41400</t>
  </si>
  <si>
    <t>L-S: 07:30-14:30</t>
  </si>
  <si>
    <t>Lavado cepillos, Box presión, Aspiradores, Waylet pago en caja, Punto recarga eléctrico Repsol</t>
  </si>
  <si>
    <t>33865</t>
  </si>
  <si>
    <t>0183014919</t>
  </si>
  <si>
    <t>E.S. SANTA CECILIA</t>
  </si>
  <si>
    <t>ALMOGUERA</t>
  </si>
  <si>
    <t>CR CM-219, 17,3</t>
  </si>
  <si>
    <t>-2.987083, 40.298</t>
  </si>
  <si>
    <t>19115</t>
  </si>
  <si>
    <t>Parking turismos, Box presión, Duchas, Aspiradores, Waylet pago en caja, Punto recarga eléctrico Repsol</t>
  </si>
  <si>
    <t>00437</t>
  </si>
  <si>
    <t>0183015791</t>
  </si>
  <si>
    <t>ES G.R.A. BLANCO ARRABAL</t>
  </si>
  <si>
    <t>CL BA, CHAMBERI-CR FREGENEDA,45</t>
  </si>
  <si>
    <t>-5.67475, 40.955</t>
  </si>
  <si>
    <t>Box presión, Aspiradores, Waylet pago en caja, Adblue Envasado, Punto recarga eléctrico Repsol</t>
  </si>
  <si>
    <t>33205</t>
  </si>
  <si>
    <t>0183013812</t>
  </si>
  <si>
    <t>E.S. BAÑON Y VALERO BENAGUACIL</t>
  </si>
  <si>
    <t>BENAGUACIL</t>
  </si>
  <si>
    <t>CR VV-6108, 0,5</t>
  </si>
  <si>
    <t>-0.582583, 39.599472</t>
  </si>
  <si>
    <t>46180</t>
  </si>
  <si>
    <t>L-S: 06:00-22:00; D: 07:00-14:30</t>
  </si>
  <si>
    <t>EFITEC 95 N - España, Butano 12,5 Kg, DIESEL E+ NEO - España, DIESEL E+10 NEO - España, GO-B BONIF - España, Butano 12 Kg (NEL)</t>
  </si>
  <si>
    <t>96110</t>
  </si>
  <si>
    <t>0183078898</t>
  </si>
  <si>
    <t>ES MAJARALGABA S.L.</t>
  </si>
  <si>
    <t>RINCONADA, LA</t>
  </si>
  <si>
    <t>A-8002 P.K. 2</t>
  </si>
  <si>
    <t>-5.976972, 37.451444</t>
  </si>
  <si>
    <t>41309</t>
  </si>
  <si>
    <t>01539</t>
  </si>
  <si>
    <t>0183055771</t>
  </si>
  <si>
    <t>GESTIONES CARDEZ,S.L.</t>
  </si>
  <si>
    <t>CL AVENIDA DE LA LIBERTAD,S.N.</t>
  </si>
  <si>
    <t>-6.600833, 42.552333</t>
  </si>
  <si>
    <t>33410</t>
  </si>
  <si>
    <t>0183016856</t>
  </si>
  <si>
    <t>ES CAP DESARROLLO DE INVERSIONES &amp;</t>
  </si>
  <si>
    <t>VILLAFRIA DE BURGOS</t>
  </si>
  <si>
    <t>CR N-1, 246</t>
  </si>
  <si>
    <t>-3.622139, 42.364111</t>
  </si>
  <si>
    <t>09192</t>
  </si>
  <si>
    <t>Restaurante, Cafetería/Bar, Parking turismos, Waylet pago en surtidor, Waylet pago en caja, Punto recarga eléctrico Repsol</t>
  </si>
  <si>
    <t>33510</t>
  </si>
  <si>
    <t>0183102979</t>
  </si>
  <si>
    <t>ES GRUPO ROCAOIL, S.L.</t>
  </si>
  <si>
    <t>AVENIDA DE CADIZ, 74</t>
  </si>
  <si>
    <t>-4.782417, 37.865806</t>
  </si>
  <si>
    <t>14013</t>
  </si>
  <si>
    <t>EFITEC 95 N - España, Efitec 95 Premium, Butano 12,5 Kg, DIESEL E+ NEO - España, DIESEL E+10 NEO - España, Propano 11 Kg, BLUE+GRANEL - España, Butano 12 Kg (NEL)</t>
  </si>
  <si>
    <t>96639</t>
  </si>
  <si>
    <t>0183111285</t>
  </si>
  <si>
    <t>ES AUT. LOS PANTANOS DIREC. MADRID</t>
  </si>
  <si>
    <t>COLMENAR DE ARROYO</t>
  </si>
  <si>
    <t>CR M-501, 34,1</t>
  </si>
  <si>
    <t>-4.170417, 40.381917</t>
  </si>
  <si>
    <t>28213</t>
  </si>
  <si>
    <t>31124</t>
  </si>
  <si>
    <t>0183058023</t>
  </si>
  <si>
    <t>ES DIANA CATALAN PALANQUES</t>
  </si>
  <si>
    <t>LUCENA DEL CID</t>
  </si>
  <si>
    <t>AVD FERNANDO LEON N 69</t>
  </si>
  <si>
    <t>-0.280583, 40.135528</t>
  </si>
  <si>
    <t>12120</t>
  </si>
  <si>
    <t>L-V: 07:30-20:30; S: 08:00-20:00; D: 08:00-14:00</t>
  </si>
  <si>
    <t>EFITEC 95 N - España, EFITEC 98 N - España, Butano 12,5 Kg, DIESEL E+ NEO - España, GO-B BONIF - España, Propano 11 Kg, Butano 12 Kg (NEL)</t>
  </si>
  <si>
    <t>34151</t>
  </si>
  <si>
    <t>0183011865</t>
  </si>
  <si>
    <t>E.S. PETROMORAIRA SL</t>
  </si>
  <si>
    <t>MORAIRA</t>
  </si>
  <si>
    <t>CR CV-743 ,P.K. 6</t>
  </si>
  <si>
    <t>0.134806, 38.689806</t>
  </si>
  <si>
    <t>03724</t>
  </si>
  <si>
    <t>Lavado cepillos, Aspiradores, Waylet pago en surtidor, Waylet pago en caja, Punto recarga eléctrico Repsol</t>
  </si>
  <si>
    <t>11610</t>
  </si>
  <si>
    <t>0183054162</t>
  </si>
  <si>
    <t>E.S. ARNAZ PEREZ JOSE LUIS</t>
  </si>
  <si>
    <t>TORQUEMADA</t>
  </si>
  <si>
    <t>CR A-62, 69</t>
  </si>
  <si>
    <t>-4.346278, 42.016806</t>
  </si>
  <si>
    <t>34230</t>
  </si>
  <si>
    <t>L-S: 07:30-22:00</t>
  </si>
  <si>
    <t>33127</t>
  </si>
  <si>
    <t>0042143503</t>
  </si>
  <si>
    <t>E.S. C.E.E ASPACE RIOJA,S.L.</t>
  </si>
  <si>
    <t>CR N-111, 335,2</t>
  </si>
  <si>
    <t>-2.429472, 42.487917</t>
  </si>
  <si>
    <t>Lavado cepillos, Parking turismos, Parking camiones, Zona de descanso, Aspiradores, Solred cheque lavado, Waylet pago en caja, Punto recarga eléctrico Repsol</t>
  </si>
  <si>
    <t>96572</t>
  </si>
  <si>
    <t>0183107655</t>
  </si>
  <si>
    <t>JOSE L. GOMEZ GOMEZ</t>
  </si>
  <si>
    <t>CR A-5, 338,80</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</si>
  <si>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</si>
  <si>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</si>
  <si>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</si>
  <si>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</si>
  <si>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33734</t>
  </si>
  <si>
    <t>0002276665</t>
  </si>
  <si>
    <t>E.S. GEX SL</t>
  </si>
  <si>
    <t>CR N-340 1159.5</t>
  </si>
  <si>
    <t>1.222472, 41.115417</t>
  </si>
  <si>
    <t>Cafetería/Bar, Lavado cepillos, Box presión, Aspiradores, Solred cheque lavado, Waylet pago en surtidor, Waylet pago en caja, Punto recarga eléctrico Repsol, Recarga eléctrica</t>
  </si>
  <si>
    <t>98781</t>
  </si>
  <si>
    <t>0183133289</t>
  </si>
  <si>
    <t>ES LAS VENTAS II (DIRECCION ZARAGOZ</t>
  </si>
  <si>
    <t>CTRA.  LOGROÑO, KM 10,5</t>
  </si>
  <si>
    <t>-0.989639, 41.695694</t>
  </si>
  <si>
    <t>L-D: 05:00-22:00</t>
  </si>
  <si>
    <t>Parking camiones, Waylet pago en surtidor, Waylet pago en caja</t>
  </si>
  <si>
    <t>13475</t>
  </si>
  <si>
    <t>0183062439</t>
  </si>
  <si>
    <t>ES ADITI Y GAS 2018 SL</t>
  </si>
  <si>
    <t>PO ZONA FRANCA, 82-84</t>
  </si>
  <si>
    <t>2.142556, 41.355667</t>
  </si>
  <si>
    <t>08038</t>
  </si>
  <si>
    <t>06219</t>
  </si>
  <si>
    <t>0183058445</t>
  </si>
  <si>
    <t>BRONCANO PALOMINO SL</t>
  </si>
  <si>
    <t>ALMOHARIN</t>
  </si>
  <si>
    <t>CR EX-206, 49,2</t>
  </si>
  <si>
    <t>-6.044889, 39.173194</t>
  </si>
  <si>
    <t>10132</t>
  </si>
  <si>
    <t>L: 07:30-15:30</t>
  </si>
  <si>
    <t>Box presión, Waylet pago en surtidor, Waylet pago en caja</t>
  </si>
  <si>
    <t>33659</t>
  </si>
  <si>
    <t>0183014133</t>
  </si>
  <si>
    <t>ES LA GASOLINERA D´ALBATARREC</t>
  </si>
  <si>
    <t>ALBATARREC</t>
  </si>
  <si>
    <t>CR C-230A P.K. 5,10</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</si>
  <si>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</si>
  <si>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</si>
  <si>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</si>
  <si>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</si>
  <si>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13336</t>
  </si>
  <si>
    <t>0183076280</t>
  </si>
  <si>
    <t>E.S. TIERRAS DE ESPAÑA SLU</t>
  </si>
  <si>
    <t>ALCOLEA</t>
  </si>
  <si>
    <t>CR N-4, 384,8</t>
  </si>
  <si>
    <t>-4.60775, 37.908028</t>
  </si>
  <si>
    <t>14610</t>
  </si>
  <si>
    <t>L-V: 07:00-21:00; S: 09:00-14:00; D: 09:00-15:00</t>
  </si>
  <si>
    <t>05774</t>
  </si>
  <si>
    <t>0183110741</t>
  </si>
  <si>
    <t>E.S. ZOTAJO Y GAS SL</t>
  </si>
  <si>
    <t>PEÑAFLOR</t>
  </si>
  <si>
    <t>CR C-431, 62,6</t>
  </si>
  <si>
    <t>-5.392389, 37.703139</t>
  </si>
  <si>
    <t>41470</t>
  </si>
  <si>
    <t>Cafetería/Bar, Waylet pago en caja, Adblue Envasado</t>
  </si>
  <si>
    <t>05495</t>
  </si>
  <si>
    <t>0183058155</t>
  </si>
  <si>
    <t>E.S. CNES JOSE Mª RODRIGUEZ NAVAS,</t>
  </si>
  <si>
    <t>RODA DE ANDALUCIA, L</t>
  </si>
  <si>
    <t>CR N-334, 124,8</t>
  </si>
  <si>
    <t>-4.777056, 37.214444</t>
  </si>
  <si>
    <t>41590</t>
  </si>
  <si>
    <t>Lavado cepillos, Box presión, Solred cheque lavado, Waylet pago en caja</t>
  </si>
  <si>
    <t>0183077304</t>
  </si>
  <si>
    <t>E.S. LLAGOSTERA I</t>
  </si>
  <si>
    <t>CR C-250 24,3</t>
  </si>
  <si>
    <t>2.94775, 41.826639</t>
  </si>
  <si>
    <t>Parking turismos, Zona de descanso, Waylet pago en caja</t>
  </si>
  <si>
    <t>34173</t>
  </si>
  <si>
    <t>0063193908</t>
  </si>
  <si>
    <t>E.S. CASO MARTINEZ, S.L</t>
  </si>
  <si>
    <t>DELTEBRE</t>
  </si>
  <si>
    <t>AV GENERALITAT, 44</t>
  </si>
  <si>
    <t>0.725333, 40.718556</t>
  </si>
  <si>
    <t>43580</t>
  </si>
  <si>
    <t>Box presión, Solred cheque lavado, Waylet pago en surtidor, Waylet pago en caja, Punto recarga eléctrico Repsol</t>
  </si>
  <si>
    <t>96819</t>
  </si>
  <si>
    <t>0183115971</t>
  </si>
  <si>
    <t>ES INVERSIONES SANCHITA SL</t>
  </si>
  <si>
    <t>CR  A-44 P.K. 123 D</t>
  </si>
  <si>
    <t>-3.644806, 37.23425</t>
  </si>
  <si>
    <t>13395</t>
  </si>
  <si>
    <t>0183075787</t>
  </si>
  <si>
    <t>-8.636361, 42.398417</t>
  </si>
  <si>
    <t>Parking turismos, Parking camiones, Box presión, Waylet pago en caja</t>
  </si>
  <si>
    <t>33343</t>
  </si>
  <si>
    <t>0183109487</t>
  </si>
  <si>
    <t>E.S. GTA ENERGIA DEL FUTURO, S.L.</t>
  </si>
  <si>
    <t>CR N-321, P.K. 60,3</t>
  </si>
  <si>
    <t>-3.826611, 37.784361</t>
  </si>
  <si>
    <t>23001</t>
  </si>
  <si>
    <t>L-S: 06:30-22:00; D: 07:30-22:00</t>
  </si>
  <si>
    <t>34535</t>
  </si>
  <si>
    <t>0183054592</t>
  </si>
  <si>
    <t>E.S. VERDECEDO 2, S.L.</t>
  </si>
  <si>
    <t>PINO BORA</t>
  </si>
  <si>
    <t>CR PO-542 ,P.K. 3</t>
  </si>
  <si>
    <t>-8.600306, 42.422333</t>
  </si>
  <si>
    <t>36154</t>
  </si>
  <si>
    <t>L-V: 07:00-22:30; S: 07:30-22:30; D: 09:30-22:00</t>
  </si>
  <si>
    <t>33365</t>
  </si>
  <si>
    <t>0183006915</t>
  </si>
  <si>
    <t>ESTACION DE SERVICIO EL RETIRO SL</t>
  </si>
  <si>
    <t>TORRE PACHECO</t>
  </si>
  <si>
    <t>CL AVENIDA GENERALISIMO, S.N.</t>
  </si>
  <si>
    <t>-0.949083, 37.741972</t>
  </si>
  <si>
    <t>30700</t>
  </si>
  <si>
    <t>L-V: 06:30-22:00; S-D: 07:00-16:00</t>
  </si>
  <si>
    <t>34907</t>
  </si>
  <si>
    <t>0183080290</t>
  </si>
  <si>
    <t>ES CARBURANTES ALRONAY SL</t>
  </si>
  <si>
    <t>QUATRETONDA</t>
  </si>
  <si>
    <t>CR C-322 AYORA-C-320, 81,2</t>
  </si>
  <si>
    <t>-0.404528, 38.947778</t>
  </si>
  <si>
    <t>46837</t>
  </si>
  <si>
    <t>L-S: 07:00-21:00; D: 08:00-21:00</t>
  </si>
  <si>
    <t>00240</t>
  </si>
  <si>
    <t>0183014984</t>
  </si>
  <si>
    <t>ES PUERTA DE TOLEDO</t>
  </si>
  <si>
    <t>CL RONDA PUERTA TOLEDO, S.N.</t>
  </si>
  <si>
    <t>-3.928111, 38.996083</t>
  </si>
  <si>
    <t>13003</t>
  </si>
  <si>
    <t>L-V: 07:00-22:00; S-D: 08:00-16:00</t>
  </si>
  <si>
    <t>34609</t>
  </si>
  <si>
    <t>0183062371</t>
  </si>
  <si>
    <t>E.S. SERVEI BRUNYOLA SL</t>
  </si>
  <si>
    <t>BRUNYOLA</t>
  </si>
  <si>
    <t>CR COMARCAL 152, KM 5,7</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</si>
  <si>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</si>
  <si>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</si>
  <si>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</si>
  <si>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</si>
  <si>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</si>
  <si>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96219</t>
  </si>
  <si>
    <t>0183077262</t>
  </si>
  <si>
    <t>E.S. LLOANA ESTACIONES DE SERVICIO</t>
  </si>
  <si>
    <t>URDULIZ</t>
  </si>
  <si>
    <t>CL MUNGUIA BI-3121, 24,2</t>
  </si>
  <si>
    <t>-2.930028, 43.366194</t>
  </si>
  <si>
    <t>48610</t>
  </si>
  <si>
    <t>Lavado cepillos, Parking turismos, Zona de descanso, Aspiradores, Solred cheque lavado, Waylet pago en caja, Adblue Envasado</t>
  </si>
  <si>
    <t>33318</t>
  </si>
  <si>
    <t>0183002021</t>
  </si>
  <si>
    <t>E.S. GRUPO MAICAS SOT DE FERRER</t>
  </si>
  <si>
    <t>SOT DE FERRER</t>
  </si>
  <si>
    <t>CR N-234, 19,6</t>
  </si>
  <si>
    <t>-0.39375, 39.782917</t>
  </si>
  <si>
    <t>12489</t>
  </si>
  <si>
    <t>Restaurante, Cafetería/Bar, Parking turismos, Parking camiones, Waylet pago en caja, Adblue Envasado</t>
  </si>
  <si>
    <t>31061</t>
  </si>
  <si>
    <t>0183013903</t>
  </si>
  <si>
    <t>E.S. O PICATO</t>
  </si>
  <si>
    <t>CR N-540, KM 10,5 (Sta. Mª Magdalen</t>
  </si>
  <si>
    <t>-7.63475, 42.931694</t>
  </si>
  <si>
    <t>27210</t>
  </si>
  <si>
    <t>L-S: 07:00-23:00; D: 08:00-23:00</t>
  </si>
  <si>
    <t>Restaurante, Cafetería/Bar, Parking turismos, Box presión, Aspiradores, Waylet pago en caja, Punto recarga eléctrico Repsol</t>
  </si>
  <si>
    <t>06070</t>
  </si>
  <si>
    <t>0183063320</t>
  </si>
  <si>
    <t>US COMBUSTIBLES JOPAN SL</t>
  </si>
  <si>
    <t>SAN COSME DE ANTES</t>
  </si>
  <si>
    <t>CR LC-443, 34</t>
  </si>
  <si>
    <t>-8.911611, 42.995944</t>
  </si>
  <si>
    <t>15837</t>
  </si>
  <si>
    <t>EFITEC 95 N - España, DIESEL E+ NEO - España, DIESEL NEXA 100% RENOVABLE - Esp, GO-B BONIF - España, Propano 11 Kg</t>
  </si>
  <si>
    <t>Taller neumáticos, Box presión, Waylet pago en caja</t>
  </si>
  <si>
    <t>33740</t>
  </si>
  <si>
    <t>0183008960</t>
  </si>
  <si>
    <t>E.S. CARO CUMPLIDO ,S.L.</t>
  </si>
  <si>
    <t>PALMA DEL RIO</t>
  </si>
  <si>
    <t>CL AV DIPUTACION ,85</t>
  </si>
  <si>
    <t>-5.284556, 37.708861</t>
  </si>
  <si>
    <t>14700</t>
  </si>
  <si>
    <t>EFITEC 95 N - España, Efitec 95 Premium, Butano 12,5 Kg, DIESEL E+ NEO - España, DIESEL E+10 NEO - España, GO-B BONIF - España, Propano 11 Kg, BLUE+GRANEL - España, Butano 12 Kg (NEL)</t>
  </si>
  <si>
    <t>96487</t>
  </si>
  <si>
    <t>0183107861</t>
  </si>
  <si>
    <t>ES OFE SA</t>
  </si>
  <si>
    <t>CAMPANILLAS</t>
  </si>
  <si>
    <t>CL GRAHAM BELL, S.N.</t>
  </si>
  <si>
    <t>-4.549861, 36.731222</t>
  </si>
  <si>
    <t>29590</t>
  </si>
  <si>
    <t>Cafetería/Bar, Lavado cepillos, Parking turismos, Box presión, Aspiradores, Solred cheque lavado, Lavandería, Waylet pago en caja, Adblue Envasado, Punto recarga eléctrico Repsol</t>
  </si>
  <si>
    <t>33694</t>
  </si>
  <si>
    <t>0183004308</t>
  </si>
  <si>
    <t>E.S. HERRERO, S.L.</t>
  </si>
  <si>
    <t>CR N-240, 156,3</t>
  </si>
  <si>
    <t>0.140056, 42.005694</t>
  </si>
  <si>
    <t>L-V: 06:00-20:00; S: 08:00-13:00</t>
  </si>
  <si>
    <t>34455</t>
  </si>
  <si>
    <t>0183011733</t>
  </si>
  <si>
    <t>GASVIVE S.L.</t>
  </si>
  <si>
    <t>CL AVENIDA DE MADRID, 66</t>
  </si>
  <si>
    <t>-8.711444, 42.224583</t>
  </si>
  <si>
    <t>36204</t>
  </si>
  <si>
    <t>06615</t>
  </si>
  <si>
    <t>0183059476</t>
  </si>
  <si>
    <t>E.S FRANCISCO JESUS GONZALEZ LUNA</t>
  </si>
  <si>
    <t>AROCHE</t>
  </si>
  <si>
    <t>CR  N-433 , P.K. 94,2</t>
  </si>
  <si>
    <t>-6.954194, 37.955472</t>
  </si>
  <si>
    <t>21240</t>
  </si>
  <si>
    <t>96121</t>
  </si>
  <si>
    <t>0183080332</t>
  </si>
  <si>
    <t>E.S. ES RIU (IBIZA)</t>
  </si>
  <si>
    <t>CAN FURNET-SANTA EULALIA</t>
  </si>
  <si>
    <t>CR PM-810 STA.EULALIA-S.CARLOS, 0</t>
  </si>
  <si>
    <t>1.538861, 38.987917</t>
  </si>
  <si>
    <t>07840</t>
  </si>
  <si>
    <t>EFITEC 95 N - España, EFITEC 98 N - España, DIESEL E+ NEO - España, Butano 6 Kg (K6), Autogás, Butano 12 Kg (NEL)</t>
  </si>
  <si>
    <t>07309</t>
  </si>
  <si>
    <t>0183051374</t>
  </si>
  <si>
    <t>E.S. LANJARON</t>
  </si>
  <si>
    <t>LANJARON</t>
  </si>
  <si>
    <t>CL SEÑOR DE LA EXPIRACION, S.N.</t>
  </si>
  <si>
    <t>-3.473056, 36.920667</t>
  </si>
  <si>
    <t>18420</t>
  </si>
  <si>
    <t>34315</t>
  </si>
  <si>
    <t>0183006212</t>
  </si>
  <si>
    <t>ES EJEA</t>
  </si>
  <si>
    <t>EJEA DE LOS CABALLER</t>
  </si>
  <si>
    <t>CL PASEO DE LA CONSTITUCION, S.N</t>
  </si>
  <si>
    <t>-1.130389, 42.127861</t>
  </si>
  <si>
    <t>50600</t>
  </si>
  <si>
    <t>33479</t>
  </si>
  <si>
    <t>0183016112</t>
  </si>
  <si>
    <t>E.S. EL PERAL</t>
  </si>
  <si>
    <t>COLOMBRES</t>
  </si>
  <si>
    <t>CR N-634, 283,8</t>
  </si>
  <si>
    <t>-4.557444, 43.381722</t>
  </si>
  <si>
    <t>33590</t>
  </si>
  <si>
    <t>33007</t>
  </si>
  <si>
    <t>0183000066</t>
  </si>
  <si>
    <t>LEGESTIONA, SOCIEDAD LIMITADA</t>
  </si>
  <si>
    <t>ESCORIAL, EL</t>
  </si>
  <si>
    <t>AV FELIPE II, 2-3</t>
  </si>
  <si>
    <t>-4.129167, 40.588222</t>
  </si>
  <si>
    <t>28280</t>
  </si>
  <si>
    <t>Lavado cepillos, Box presión, Aspiradores, Solred cheque lavado, Waylet pago en caja, Adblue Envasado, Lavados Klin</t>
  </si>
  <si>
    <t>04294</t>
  </si>
  <si>
    <t>0183001197</t>
  </si>
  <si>
    <t>EXPLOTACION CARBURANTES CANIDO, SL</t>
  </si>
  <si>
    <t>AVENIDA GALICIA, 41</t>
  </si>
  <si>
    <t>-7.513056, 42.51975</t>
  </si>
  <si>
    <t>Cafetería/Bar, Waylet pago en caja, Adblue Envasado, Punto recarga eléctrico Repsol</t>
  </si>
  <si>
    <t>13087</t>
  </si>
  <si>
    <t>0183076124</t>
  </si>
  <si>
    <t>CAUDETE</t>
  </si>
  <si>
    <t>AUTOVIA A-31 KM. 167,50</t>
  </si>
  <si>
    <t>-0.955833, 38.756417</t>
  </si>
  <si>
    <t>02660</t>
  </si>
  <si>
    <t>33961</t>
  </si>
  <si>
    <t>0183054253</t>
  </si>
  <si>
    <t>E.S. LAS CIGÜEÑAS</t>
  </si>
  <si>
    <t>CR N-4, 394</t>
  </si>
  <si>
    <t>-4.703583, 37.91625</t>
  </si>
  <si>
    <t>L-D: 06:00-20:00</t>
  </si>
  <si>
    <t>Lavado cepillos, Parking turismos, Parking camiones, Box presión, Aspiradores, Solred cheque lavado, Waylet pago en surtidor, Waylet pago en caja</t>
  </si>
  <si>
    <t>34380</t>
  </si>
  <si>
    <t>0183054642</t>
  </si>
  <si>
    <t>CONSORCIO DOMON,S.L.</t>
  </si>
  <si>
    <t>CR VP-3061, 4</t>
  </si>
  <si>
    <t>-0.61075, 39.445917</t>
  </si>
  <si>
    <t>34100</t>
  </si>
  <si>
    <t>0183059278</t>
  </si>
  <si>
    <t>ES PUIGFEL SENTMENAT</t>
  </si>
  <si>
    <t>SENTMENAT</t>
  </si>
  <si>
    <t>CR C-1413, 32,7</t>
  </si>
  <si>
    <t>2.137083, 41.615528</t>
  </si>
  <si>
    <t>08181</t>
  </si>
  <si>
    <t>31481</t>
  </si>
  <si>
    <t>0022080782</t>
  </si>
  <si>
    <t>ESTACIO SERVEI MONTSERRAT SL</t>
  </si>
  <si>
    <t>OLESA DE MONTSERRAT</t>
  </si>
  <si>
    <t>CR C-55, 6,39</t>
  </si>
  <si>
    <t>1.880222, 41.552278</t>
  </si>
  <si>
    <t>08640</t>
  </si>
  <si>
    <t>Restaurante, Cafetería/Bar, Parking turismos, Parking camiones, Zona de descanso, Box presión, Waylet pago en surtidor, Waylet pago en caja, Punto recarga eléctrico Repsol, Lavados Klin</t>
  </si>
  <si>
    <t>94105</t>
  </si>
  <si>
    <t>0183129824</t>
  </si>
  <si>
    <t>E.S. COMBUSTIBLES GUTIERREZ</t>
  </si>
  <si>
    <t>MADRIDEJOS</t>
  </si>
  <si>
    <t>CTRA A4 KM 113</t>
  </si>
  <si>
    <t>-3.523694, 39.516028</t>
  </si>
  <si>
    <t>45710</t>
  </si>
  <si>
    <t>33728</t>
  </si>
  <si>
    <t>0183050913</t>
  </si>
  <si>
    <t>ES CAP DESARROLLO DE INVERSIONES Y</t>
  </si>
  <si>
    <t>CABIA</t>
  </si>
  <si>
    <t>CR A-62, 16,7</t>
  </si>
  <si>
    <t>-3.8465, 42.294444</t>
  </si>
  <si>
    <t>09239</t>
  </si>
  <si>
    <t>Rest. Autoservicio, Restaurante, Cafetería/Bar, Waylet pago en surtidor, Waylet pago en caja</t>
  </si>
  <si>
    <t>15603</t>
  </si>
  <si>
    <t>0183057256</t>
  </si>
  <si>
    <t>ES COMBUSTIBLES Y SERVICIO VINROMA</t>
  </si>
  <si>
    <t>BENLLOCH</t>
  </si>
  <si>
    <t>CR CV-10  P.K. 46,70 I</t>
  </si>
  <si>
    <t>0.044556, 40.186583</t>
  </si>
  <si>
    <t>12181</t>
  </si>
  <si>
    <t>EFITEC 95 N - España, Butano 12,5 Kg, DIESEL E+ NEO - España, GO-B BONIF - España</t>
  </si>
  <si>
    <t>34063</t>
  </si>
  <si>
    <t>0183101088</t>
  </si>
  <si>
    <t>ES GUTIERREZ RUEDA SL</t>
  </si>
  <si>
    <t>ALCALA LA REAL</t>
  </si>
  <si>
    <t>CL AVDA ANDALUCIA, S.N.</t>
  </si>
  <si>
    <t>-3.920639, 37.451</t>
  </si>
  <si>
    <t>23680</t>
  </si>
  <si>
    <t>04192</t>
  </si>
  <si>
    <t>0183007434</t>
  </si>
  <si>
    <t>ES CALATAYUD</t>
  </si>
  <si>
    <t>AV AUGUSTA BILBILIS, 15</t>
  </si>
  <si>
    <t>-1.646528, 41.352139</t>
  </si>
  <si>
    <t>11425</t>
  </si>
  <si>
    <t>0183077023</t>
  </si>
  <si>
    <t>ALCANTARILLA</t>
  </si>
  <si>
    <t>AVDA. REGIMIENTO ZARAGOZA PARACAIDI</t>
  </si>
  <si>
    <t>-1.218972, 37.977028</t>
  </si>
  <si>
    <t>30820</t>
  </si>
  <si>
    <t>Zona de descanso, Box presión, Aspiradores, Waylet pago en surtidor, Waylet pago en caja</t>
  </si>
  <si>
    <t>15162</t>
  </si>
  <si>
    <t>0183059245</t>
  </si>
  <si>
    <t>ES SAN BLAS PETROL SL</t>
  </si>
  <si>
    <t>BREA DE ARAGON</t>
  </si>
  <si>
    <t>CL ORIENTE, 22</t>
  </si>
  <si>
    <t>-1.599833, 41.521917</t>
  </si>
  <si>
    <t>50246</t>
  </si>
  <si>
    <t>L-V: 07:30-21:00; S-D: 08:00-14:00</t>
  </si>
  <si>
    <t>Cafetería/Bar, Box presión, Aspiradores, Solred cheque lavado, Waylet pago en surtidor, Waylet pago en caja, Adblue Envasado</t>
  </si>
  <si>
    <t>34306</t>
  </si>
  <si>
    <t>0063166730</t>
  </si>
  <si>
    <t>ES Puigfel Lliçà</t>
  </si>
  <si>
    <t>LLICA DE VALL</t>
  </si>
  <si>
    <t>CTRA C-155  P.K 10,5</t>
  </si>
  <si>
    <t>2.222583, 41.576194</t>
  </si>
  <si>
    <t>08185</t>
  </si>
  <si>
    <t>34012</t>
  </si>
  <si>
    <t>0183105204</t>
  </si>
  <si>
    <t>CENTRO ESPECIAL DE EMPLEO ASPACE-RI</t>
  </si>
  <si>
    <t>AGONCILLO</t>
  </si>
  <si>
    <t>CR N-232, 393,1</t>
  </si>
  <si>
    <t>-2.280028, 42.431389</t>
  </si>
  <si>
    <t>26509</t>
  </si>
  <si>
    <t>EFITEC 95 N - España, Butano 12,5 Kg, DIESEL E+ NEO - España, DIESEL E+10 NEO - España, GO-B BONIF - España, Propano 11 Kg, BLUE+GRANEL - España</t>
  </si>
  <si>
    <t>97123</t>
  </si>
  <si>
    <t>0183132158</t>
  </si>
  <si>
    <t>ES ESTACIO SERVEI BUGANTO SL</t>
  </si>
  <si>
    <t>CASSA DE LA SELVA</t>
  </si>
  <si>
    <t>CR C-65, km 22,2</t>
  </si>
  <si>
    <t>2.853861, 41.906917</t>
  </si>
  <si>
    <t>17244</t>
  </si>
  <si>
    <t>33663</t>
  </si>
  <si>
    <t>0183007558</t>
  </si>
  <si>
    <t>HOYA, LA-LORCA-ALCAN</t>
  </si>
  <si>
    <t>CR N-340  A (LA HOYA), 606,5</t>
  </si>
  <si>
    <t>-1.590833, 37.712917</t>
  </si>
  <si>
    <t>30816</t>
  </si>
  <si>
    <t>Lavado cepillos, Lavado camiones, Parking turismos, Parking camiones, Zona de descanso, Box presión, Aspiradores, Waylet pago en caja, Adblue Envasado, Punto recarga eléctrico Repsol</t>
  </si>
  <si>
    <t>33476</t>
  </si>
  <si>
    <t>0183012954</t>
  </si>
  <si>
    <t>E.S. ROSA MARIA FOLLA FERNANDEZ</t>
  </si>
  <si>
    <t>PUENTE DE DOMINGO FL</t>
  </si>
  <si>
    <t>CR N-536, 30,5</t>
  </si>
  <si>
    <t>-6.823944, 42.417889</t>
  </si>
  <si>
    <t>24380</t>
  </si>
  <si>
    <t>L: 06:30-22:30</t>
  </si>
  <si>
    <t>Box presión, Waylet pago en caja, Adblue Envasado, Punto recarga eléctrico Repsol</t>
  </si>
  <si>
    <t>33839</t>
  </si>
  <si>
    <t>0183006535</t>
  </si>
  <si>
    <t>ESTACION SERVICIO VAZQUEZ, SL</t>
  </si>
  <si>
    <t>CR T-200, PK. 2,5</t>
  </si>
  <si>
    <t>1.258472, 41.298361</t>
  </si>
  <si>
    <t>33027</t>
  </si>
  <si>
    <t>0063167845</t>
  </si>
  <si>
    <t>E.S. PARAYAS ATEDENA COMUNICACIÓN S</t>
  </si>
  <si>
    <t>AU A-10, 3</t>
  </si>
  <si>
    <t>-3.835611, 43.425278</t>
  </si>
  <si>
    <t>31413</t>
  </si>
  <si>
    <t>0183055763</t>
  </si>
  <si>
    <t>E.S.PEREZ Y CARVAJAL</t>
  </si>
  <si>
    <t>CR A-5, 123,7</t>
  </si>
  <si>
    <t>-4.913194, 39.961111</t>
  </si>
  <si>
    <t>Parking turismos, Parking camiones, Zona de descanso, Waylet pago en caja, Adblue Envasado</t>
  </si>
  <si>
    <t>96129</t>
  </si>
  <si>
    <t>0183100072</t>
  </si>
  <si>
    <t>E.S. LA GRANADINA</t>
  </si>
  <si>
    <t>SAN ISIDRO DE ALBATE</t>
  </si>
  <si>
    <t>CR CV-909 P.K. 4,2 (CATRAL-ALBATERA</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</si>
  <si>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</si>
  <si>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</si>
  <si>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</si>
  <si>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</si>
  <si>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11768</t>
  </si>
  <si>
    <t>0183059013</t>
  </si>
  <si>
    <t>E.S. GARCIA SALAMANCA, SL</t>
  </si>
  <si>
    <t>FERIA</t>
  </si>
  <si>
    <t>CR N-432, 57</t>
  </si>
  <si>
    <t>-6.533306, 38.517944</t>
  </si>
  <si>
    <t>06390</t>
  </si>
  <si>
    <t>34031</t>
  </si>
  <si>
    <t>0183008671</t>
  </si>
  <si>
    <t>CEBLAN S.L..</t>
  </si>
  <si>
    <t>DERRASA, LA</t>
  </si>
  <si>
    <t>CR OR-536 OURENSE-RUA, 7,9  D</t>
  </si>
  <si>
    <t>-7.790167, 42.322889</t>
  </si>
  <si>
    <t>32792</t>
  </si>
  <si>
    <t>96036</t>
  </si>
  <si>
    <t>0183077098</t>
  </si>
  <si>
    <t>ES MOSYPER GESTION S.L.</t>
  </si>
  <si>
    <t>CL LUIS LOPEZ CASANEGRA, Nº 1</t>
  </si>
  <si>
    <t>-8.389778, 43.328528</t>
  </si>
  <si>
    <t>15006</t>
  </si>
  <si>
    <t>Waylet pago en caja, Punto recarga eléctrico Repsol, Recarga eléctrica</t>
  </si>
  <si>
    <t>34120</t>
  </si>
  <si>
    <t>0183019231</t>
  </si>
  <si>
    <t>E.S. GASOGAS CALEFACCION SLU</t>
  </si>
  <si>
    <t>PUERTO LAPICE</t>
  </si>
  <si>
    <t>CR N-4, 134,8</t>
  </si>
  <si>
    <t>-3.483361, 39.333222</t>
  </si>
  <si>
    <t>13650</t>
  </si>
  <si>
    <t>Restaurante, Cafetería/Bar, Parking turismos, Parking camiones, Zona de descanso, Box presión, Aspiradores, Waylet pago en caja, Adblue Envasado</t>
  </si>
  <si>
    <t>31615</t>
  </si>
  <si>
    <t>0183054485</t>
  </si>
  <si>
    <t>E.S. JC GESTION 2015</t>
  </si>
  <si>
    <t>BARRIO PERAL</t>
  </si>
  <si>
    <t>CL PROLONG. C/ JUAN FERNANDEZ, 4</t>
  </si>
  <si>
    <t>-0.988333, 37.620194</t>
  </si>
  <si>
    <t>30300</t>
  </si>
  <si>
    <t>EFITEC 95 N - España, Efitec 95 Premium, Butano 12,5 Kg, DIESEL E+ NEO - España, DIESEL NEXA 100% RENOVABLE - Esp, Propano 11 Kg</t>
  </si>
  <si>
    <t>33771</t>
  </si>
  <si>
    <t>0183053909</t>
  </si>
  <si>
    <t>UTRERA</t>
  </si>
  <si>
    <t>CR N-333, 75</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</si>
  <si>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</si>
  <si>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</si>
  <si>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</si>
  <si>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</si>
  <si>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33899</t>
  </si>
  <si>
    <t>0183005545</t>
  </si>
  <si>
    <t>ES ANA MARIA ARNAL MARTI, SL</t>
  </si>
  <si>
    <t>CR N-2A,  PK.335</t>
  </si>
  <si>
    <t>-0.756556, 41.633611</t>
  </si>
  <si>
    <t>L: 06:30-22:30; M-S: 06:30-22:30; D: 09:00-20:00</t>
  </si>
  <si>
    <t>Restaurante, Cafetería/Bar, Parking turismos, Parking camiones, Box presión, Aspiradores, Solred cheque lavado, Waylet pago en surtidor, Waylet pago en caja</t>
  </si>
  <si>
    <t>33703</t>
  </si>
  <si>
    <t>0183014828</t>
  </si>
  <si>
    <t>SERVEIS LA PERA S.L.</t>
  </si>
  <si>
    <t>PERA, LA</t>
  </si>
  <si>
    <t>CR C-66, 18,8</t>
  </si>
  <si>
    <t>2.983472, 42.025278</t>
  </si>
  <si>
    <t>17120</t>
  </si>
  <si>
    <t>L-D: 07:00-20:00</t>
  </si>
  <si>
    <t>33951</t>
  </si>
  <si>
    <t>0183053339</t>
  </si>
  <si>
    <t>E.S. UTGES, S.L.</t>
  </si>
  <si>
    <t>CR LL-11  P.K. 9,00</t>
  </si>
  <si>
    <t>0.652472, 41.61475</t>
  </si>
  <si>
    <t>25191</t>
  </si>
  <si>
    <t>Cafetería/Bar, Parking turismos, Parking camiones, Zona de descanso, Waylet pago en caja, Adblue Envasado, Punto recarga eléctrico Repsol, Lavados Klin</t>
  </si>
  <si>
    <t>96593</t>
  </si>
  <si>
    <t>0183108166</t>
  </si>
  <si>
    <t>ES GERNILAN SA AMOREBIETA M IZDO</t>
  </si>
  <si>
    <t>AMOREBIETA-ATEGORRI</t>
  </si>
  <si>
    <t>CR BI-635, 20</t>
  </si>
  <si>
    <t>-2.729861, 43.229472</t>
  </si>
  <si>
    <t>L-V: 06:00-20:30; S: 08:00-14:00</t>
  </si>
  <si>
    <t>34910</t>
  </si>
  <si>
    <t>0183100221</t>
  </si>
  <si>
    <t>E.S. RABANALES</t>
  </si>
  <si>
    <t>CR N-4, 394 - M.DCHO</t>
  </si>
  <si>
    <t>-4.703917, 37.918583</t>
  </si>
  <si>
    <t>L-V: 07:00-20:00</t>
  </si>
  <si>
    <t>33067</t>
  </si>
  <si>
    <t>0063212393</t>
  </si>
  <si>
    <t>E.S. PETRO-CARIBA S.L.</t>
  </si>
  <si>
    <t>FONTCALENT - REBOLLE</t>
  </si>
  <si>
    <t>CR N-330    A 401</t>
  </si>
  <si>
    <t>null, null</t>
  </si>
  <si>
    <t>03113</t>
  </si>
  <si>
    <t>S/D</t>
  </si>
  <si>
    <t>0183011246</t>
  </si>
  <si>
    <t>E.S. RED AZUL,S.A.</t>
  </si>
  <si>
    <t>PERELLO, EL</t>
  </si>
  <si>
    <t>CR VP-1041, PK 21 M.D.</t>
  </si>
  <si>
    <t>-0.278194, 39.275972</t>
  </si>
  <si>
    <t>46420</t>
  </si>
  <si>
    <t>Aspiradores, Waylet pago en caja</t>
  </si>
  <si>
    <t>34026</t>
  </si>
  <si>
    <t>0183006899</t>
  </si>
  <si>
    <t>E.S.   FDEZ.-HENAREJOS</t>
  </si>
  <si>
    <t>DOLORES DE PACHECO</t>
  </si>
  <si>
    <t>CR F-27, 4</t>
  </si>
  <si>
    <t>-0.872833, 37.783</t>
  </si>
  <si>
    <t>30739</t>
  </si>
  <si>
    <t>EFITEC 95 N - España, EFITEC 98 N - España, Butano 12,5 Kg, DIESEL E+ NEO - España, DIESEL NEXA 100% RENOVABLE - Esp, GO-B BONIF - España</t>
  </si>
  <si>
    <t>Parking turismos, Box presión, Aspiradores, Solred cheque lavado, Waylet pago en surtidor, Waylet pago en caja</t>
  </si>
  <si>
    <t>34383</t>
  </si>
  <si>
    <t>0183017920</t>
  </si>
  <si>
    <t>MIFAMI IV GASOLINERAS,S.L.</t>
  </si>
  <si>
    <t>CAMBRILS</t>
  </si>
  <si>
    <t>Autovia A-7 P.K.1148</t>
  </si>
  <si>
    <t>1.094639, 41.090167</t>
  </si>
  <si>
    <t>43850</t>
  </si>
  <si>
    <t>EFITEC 95 N - España, EFITEC 98 N - España, DIESEL E+ NEO - España, DIESEL E+10 NEO - España, GO-B BONIF - España, Butano 6 Kg (K6), BLUE+GRANEL - España, Butano 12 Kg (NEL)</t>
  </si>
  <si>
    <t>34003</t>
  </si>
  <si>
    <t>0183001015</t>
  </si>
  <si>
    <t>E.S. EUROPA (SERVIBAYO, SL)</t>
  </si>
  <si>
    <t>CTRA N 232, 246</t>
  </si>
  <si>
    <t>-0.957889, 41.677167</t>
  </si>
  <si>
    <t>50011</t>
  </si>
  <si>
    <t>34045</t>
  </si>
  <si>
    <t>0183004043</t>
  </si>
  <si>
    <t>E.S. LA SENIA</t>
  </si>
  <si>
    <t>SENIA, LA</t>
  </si>
  <si>
    <t>CL TARRAGONA, 33</t>
  </si>
  <si>
    <t>0.284361, 40.634667</t>
  </si>
  <si>
    <t>43560</t>
  </si>
  <si>
    <t>Taller neumáticos, Waylet pago en caja, Adblue Envasado</t>
  </si>
  <si>
    <t>33757</t>
  </si>
  <si>
    <t>0183004035</t>
  </si>
  <si>
    <t>RED   LAS VEGAS S.L.</t>
  </si>
  <si>
    <t>OSUNA</t>
  </si>
  <si>
    <t>CR N-334, 85</t>
  </si>
  <si>
    <t>-5.127833, 37.237056</t>
  </si>
  <si>
    <t>41640</t>
  </si>
  <si>
    <t>EFITEC 95 N - España, Efitec 95 Premium, Butano 12,5 Kg, DIESEL E+ NEO - España, DIESEL NEXA 100% RENOVABLE - Esp, GO-B BONIF - España</t>
  </si>
  <si>
    <t>Aspiradores, Solred cheque lavado, Waylet pago en caja</t>
  </si>
  <si>
    <t>34486</t>
  </si>
  <si>
    <t>0183053867</t>
  </si>
  <si>
    <t>ES JUAN DIEGO ARAGON G.,SL</t>
  </si>
  <si>
    <t>CHIPIONA</t>
  </si>
  <si>
    <t>CR A480 CHIPIONA JEREZ KM 1,2</t>
  </si>
  <si>
    <t>-6.405556, 36.742722</t>
  </si>
  <si>
    <t>11550</t>
  </si>
  <si>
    <t>96040</t>
  </si>
  <si>
    <t>0183076991</t>
  </si>
  <si>
    <t>COMBUSTIBLES SIGLO XXI SL.</t>
  </si>
  <si>
    <t>CR A-44 P.K. 97</t>
  </si>
  <si>
    <t>-3.567444, 37.405083</t>
  </si>
  <si>
    <t>33662</t>
  </si>
  <si>
    <t>0183052513</t>
  </si>
  <si>
    <t>E.S. CHANTADA,S.L.</t>
  </si>
  <si>
    <t>CHANTADA</t>
  </si>
  <si>
    <t>CR N-540, 56,3</t>
  </si>
  <si>
    <t>-7.766, 42.612528</t>
  </si>
  <si>
    <t>27500</t>
  </si>
  <si>
    <t>04074</t>
  </si>
  <si>
    <t>0183006527</t>
  </si>
  <si>
    <t>ES ALTABIX</t>
  </si>
  <si>
    <t>CL AVENIDA DE ALICANTE, 72</t>
  </si>
  <si>
    <t>-0.682194, 38.269472</t>
  </si>
  <si>
    <t>03202</t>
  </si>
  <si>
    <t>EFITEC 95 N - España, Efitec 95 Premium, EFITEC 98 N - España, DIESEL E+ NEO - España, Diésel e+5, DIESEL E+10 NEO - España, Butano 6 Kg (K6), Propano 11 Kg, Butano 12 Kg (NEL)</t>
  </si>
  <si>
    <t>96071</t>
  </si>
  <si>
    <t>0183078070</t>
  </si>
  <si>
    <t>CARBURANTES LA ROTONDA, S.L.</t>
  </si>
  <si>
    <t>CL CAMINO CABAÑAL, 25</t>
  </si>
  <si>
    <t>-0.336528, 39.473694</t>
  </si>
  <si>
    <t>46022</t>
  </si>
  <si>
    <t>33943</t>
  </si>
  <si>
    <t>0183007749</t>
  </si>
  <si>
    <t>HNOS GASQUET LARRAMONA,S.L.</t>
  </si>
  <si>
    <t>CAMPO</t>
  </si>
  <si>
    <t>CR N-260, 405,2</t>
  </si>
  <si>
    <t>0.396917, 42.402417</t>
  </si>
  <si>
    <t>22450</t>
  </si>
  <si>
    <t>L-D: 08:00-21:00</t>
  </si>
  <si>
    <t>Zona de descanso, Waylet pago en caja</t>
  </si>
  <si>
    <t>01129</t>
  </si>
  <si>
    <t>0183078096</t>
  </si>
  <si>
    <t>US LLENO NENO SL</t>
  </si>
  <si>
    <t>C/ PLAZA DEL PARQUE, S.N.</t>
  </si>
  <si>
    <t>-8.398472, 43.378917</t>
  </si>
  <si>
    <t>15002</t>
  </si>
  <si>
    <t>L-S: 07:30-22:00; D: 09:00-15:00</t>
  </si>
  <si>
    <t>33518</t>
  </si>
  <si>
    <t>0183000967</t>
  </si>
  <si>
    <t>E.S. ROBLEGAS,S.A.</t>
  </si>
  <si>
    <t>CL ALFREDO ATIENZA, 156</t>
  </si>
  <si>
    <t>-2.149, 39.201667</t>
  </si>
  <si>
    <t>L-D: 06:00-22:55</t>
  </si>
  <si>
    <t>Cafetería/Bar, Lavado cepillos, Parking turismos, Parking camiones, Zona de descanso, Box presión, Solred cheque lavado, Waylet pago en caja, Lavados Klin</t>
  </si>
  <si>
    <t>96279</t>
  </si>
  <si>
    <t>0183100437</t>
  </si>
  <si>
    <t>ES SALAS GESTIÓN DE CARBURANTES SAN</t>
  </si>
  <si>
    <t>CR M-203, 0.28</t>
  </si>
  <si>
    <t>-3.597667, 40.38025</t>
  </si>
  <si>
    <t>L-V: 07:00-14:00; S: 09:00-14:00</t>
  </si>
  <si>
    <t>Cafetería/Bar, Parking turismos, Box presión, Aspiradores, Waylet pago en surtidor, Waylet pago en caja, Adblue Envasado, Punto recarga eléctrico Repsol</t>
  </si>
  <si>
    <t>96235</t>
  </si>
  <si>
    <t>0183107044</t>
  </si>
  <si>
    <t>ES SALAS GESTION DE CARBURANTES,</t>
  </si>
  <si>
    <t>CR A-4, 33,7</t>
  </si>
  <si>
    <t>-3.655917, 40.124139</t>
  </si>
  <si>
    <t>45224</t>
  </si>
  <si>
    <t>L-V: 07:00-22:00; S: 09:00-14:00</t>
  </si>
  <si>
    <t>Lavado cepillos, Parking turismos, Zona de descanso, Box presión, Aspiradores, Waylet pago en surtidor, Waylet pago en caja, Adblue Envasado</t>
  </si>
  <si>
    <t>96136</t>
  </si>
  <si>
    <t>0183080183</t>
  </si>
  <si>
    <t>ES CRIVERGI  REUS</t>
  </si>
  <si>
    <t>AVDA. S.BERNAT CALBO, 26.28</t>
  </si>
  <si>
    <t>1.103556, 41.144556</t>
  </si>
  <si>
    <t>Cafetería/Bar, Lavado cepillos, Parking turismos, Box presión, Aspiradores, Lavandería, Waylet pago en surtidor, Waylet pago en caja, Punto recarga eléctrico Repsol, Lavados Klin</t>
  </si>
  <si>
    <t>12144</t>
  </si>
  <si>
    <t>0183135789</t>
  </si>
  <si>
    <t>E.S. GARCERAN MAZARRON</t>
  </si>
  <si>
    <t>MAZARRON</t>
  </si>
  <si>
    <t>CR N-332  KM 36</t>
  </si>
  <si>
    <t>-1.293028, 37.586917</t>
  </si>
  <si>
    <t>30870</t>
  </si>
  <si>
    <t>13334</t>
  </si>
  <si>
    <t>0183063585</t>
  </si>
  <si>
    <t>E.S. JAVIER POYATOS FRANCOLÍ</t>
  </si>
  <si>
    <t>PG POLIGONO FRANCOLI PARC. 1, S.N.</t>
  </si>
  <si>
    <t>1.222444, 41.113944</t>
  </si>
  <si>
    <t>L-V: 05:00-21:00</t>
  </si>
  <si>
    <t>33629</t>
  </si>
  <si>
    <t>0183010016</t>
  </si>
  <si>
    <t>E.S. CENTRO</t>
  </si>
  <si>
    <t>CL AVENIDA SAGUNTO, 5</t>
  </si>
  <si>
    <t>-1.104944, 40.336611</t>
  </si>
  <si>
    <t>34238</t>
  </si>
  <si>
    <t>0183014869</t>
  </si>
  <si>
    <t>CIERCO CARRERA,S.L.</t>
  </si>
  <si>
    <t>VILALLER</t>
  </si>
  <si>
    <t>CR N-230, 129</t>
  </si>
  <si>
    <t>0.70925, 42.4525</t>
  </si>
  <si>
    <t>25552</t>
  </si>
  <si>
    <t>L-D: 08:00-14:00 y 16:00-20:00</t>
  </si>
  <si>
    <t>96079</t>
  </si>
  <si>
    <t>0183101013</t>
  </si>
  <si>
    <t>-3.2975, 37.320972</t>
  </si>
  <si>
    <t>Cafetería/Bar, Parking turismos, Parking camiones, Zona de descanso, Waylet pago en caja, Punto recarga eléctrico Repsol</t>
  </si>
  <si>
    <t>33923</t>
  </si>
  <si>
    <t>0183000272</t>
  </si>
  <si>
    <t>DIBLAN MARCENADO</t>
  </si>
  <si>
    <t>MARCENADO</t>
  </si>
  <si>
    <t>CR N-634, 386</t>
  </si>
  <si>
    <t>-5.621083, 43.391056</t>
  </si>
  <si>
    <t>33519</t>
  </si>
  <si>
    <t>12701</t>
  </si>
  <si>
    <t>0183061639</t>
  </si>
  <si>
    <t>COMBUSTIBLES SALCEDO SL</t>
  </si>
  <si>
    <t>NEDA</t>
  </si>
  <si>
    <t>CR AC-115 P.K. 1,80 D</t>
  </si>
  <si>
    <t>-8.161806, 43.490028</t>
  </si>
  <si>
    <t>15510</t>
  </si>
  <si>
    <t>L-V: 07:00-23:00; S-D: 08:00-23:00</t>
  </si>
  <si>
    <t>04150</t>
  </si>
  <si>
    <t>0183055060</t>
  </si>
  <si>
    <t>A.S. GESTORES GONZALEZ SANJUAN SL</t>
  </si>
  <si>
    <t>CL ANCORA 39</t>
  </si>
  <si>
    <t>-3.689556, 40.402944</t>
  </si>
  <si>
    <t>L-V: 07:00-21:00</t>
  </si>
  <si>
    <t>34121</t>
  </si>
  <si>
    <t>0183007046</t>
  </si>
  <si>
    <t>E.S. COGULLADA S.A.U.</t>
  </si>
  <si>
    <t>AVENIDA ALCALDE CABALLERO, 22</t>
  </si>
  <si>
    <t>-0.861139, 41.670917</t>
  </si>
  <si>
    <t>50014</t>
  </si>
  <si>
    <t>05361</t>
  </si>
  <si>
    <t>0183010933</t>
  </si>
  <si>
    <t>ES EL RETIRO SL</t>
  </si>
  <si>
    <t>SANTIAGO DE LA RIBERA</t>
  </si>
  <si>
    <t>CL AVENIDA MAR MENOR, 2</t>
  </si>
  <si>
    <t>-0.809528, 37.798861</t>
  </si>
  <si>
    <t>30720</t>
  </si>
  <si>
    <t>10291</t>
  </si>
  <si>
    <t>0183134907</t>
  </si>
  <si>
    <t>CARBURANTES Y SERVICIOS GARCERAN S.</t>
  </si>
  <si>
    <t>AVENIDA RONDA SUR, SN</t>
  </si>
  <si>
    <t>-1.11375, 37.979778</t>
  </si>
  <si>
    <t>30010</t>
  </si>
  <si>
    <t>15957</t>
  </si>
  <si>
    <t>0183060581</t>
  </si>
  <si>
    <t>DOMIPETROL,S.L.</t>
  </si>
  <si>
    <t>AGUILAR DE LA FRONTERA</t>
  </si>
  <si>
    <t>CR N-331, 51,3</t>
  </si>
  <si>
    <t>-4.65425, 37.524778</t>
  </si>
  <si>
    <t>14920</t>
  </si>
  <si>
    <t>L-D: 05:30-22:30</t>
  </si>
  <si>
    <t>Cafetería/Bar, Lavado cepillos, Parking turismos, Parking camiones, Zona de descanso, Box presión, Aspiradores, Solred cheque lavado, Waylet pago en caja, Adblue Envasado</t>
  </si>
  <si>
    <t>15254</t>
  </si>
  <si>
    <t>0183053271</t>
  </si>
  <si>
    <t>E.S. PUENTE BESÓS</t>
  </si>
  <si>
    <t>SANT ADRIA DE BESOS</t>
  </si>
  <si>
    <t>CL GUIPUZCOA ESQ.PEDRO IV, S.N.</t>
  </si>
  <si>
    <t>2.2115, 41.427056</t>
  </si>
  <si>
    <t>08930</t>
  </si>
  <si>
    <t>34212</t>
  </si>
  <si>
    <t>0183010651</t>
  </si>
  <si>
    <t>E.S. PUERTOLLANO S.A.</t>
  </si>
  <si>
    <t>CL ASDRUBAL S.N.</t>
  </si>
  <si>
    <t>-4.109361, 38.678778</t>
  </si>
  <si>
    <t>Taller mecánico, Taller eléctrico, Parking turismos, Zona de descanso, Box presión, Aspiradores, Solred cheque lavado, Waylet pago en caja, Adblue Envasado, Punto recarga eléctrico Repsol</t>
  </si>
  <si>
    <t>07560</t>
  </si>
  <si>
    <t>0202052403</t>
  </si>
  <si>
    <t>ES JC GESTION 2015 SL</t>
  </si>
  <si>
    <t>ALJORRA, LA</t>
  </si>
  <si>
    <t>CR CARTAGENA- LA ALJORRA, PK. 7</t>
  </si>
  <si>
    <t>-1.06625, 37.686361</t>
  </si>
  <si>
    <t>30390</t>
  </si>
  <si>
    <t>Restaurante, Cafetería/Bar, Taller mecánico, Lavado cepillos, Parking turismos, Parking camiones, Box presión, Waylet pago en surtidor, Waylet pago en caja</t>
  </si>
  <si>
    <t>96363</t>
  </si>
  <si>
    <t>0183104868</t>
  </si>
  <si>
    <t>ES SAN JUAN BOSCO</t>
  </si>
  <si>
    <t>GURREA DE GALLEGO</t>
  </si>
  <si>
    <t>CR A-23, 332,8</t>
  </si>
  <si>
    <t>-0.667444, 41.992</t>
  </si>
  <si>
    <t>22280</t>
  </si>
  <si>
    <t>07134</t>
  </si>
  <si>
    <t>0183052653</t>
  </si>
  <si>
    <t>E.S. LAGUNA SC</t>
  </si>
  <si>
    <t>PINA DE EBRO</t>
  </si>
  <si>
    <t>CL FERNANDO EL CATOLICO, 78</t>
  </si>
  <si>
    <t>-0.520222, 41.492778</t>
  </si>
  <si>
    <t>50750</t>
  </si>
  <si>
    <t>L-V: 07:00-21:00; S: 08:00-14:00; D: 08:00-13:00</t>
  </si>
  <si>
    <t>93479</t>
  </si>
  <si>
    <t>0183125525</t>
  </si>
  <si>
    <t>ES GESINSA CARBURANTES SL</t>
  </si>
  <si>
    <t>VILLARREAL</t>
  </si>
  <si>
    <t>AVDA. DE FRANCIA 62-66</t>
  </si>
  <si>
    <t>-0.091583, 39.938611</t>
  </si>
  <si>
    <t>12540</t>
  </si>
  <si>
    <t>EFITEC 95 N - España, Efitec 95 Premium, EFITEC 98 N - España, DIESEL E+ NEO - España, DIESEL E+10 NEO - España, BLUE+GRANEL - España, Butano 12 Kg (NEL)</t>
  </si>
  <si>
    <t>96695</t>
  </si>
  <si>
    <t>0183112275</t>
  </si>
  <si>
    <t>E.S. HUENEJA S.L.</t>
  </si>
  <si>
    <t>HUENEJA</t>
  </si>
  <si>
    <t>CR  A-92  SUR P.K. 321 M.I.</t>
  </si>
  <si>
    <t>-2.954833, 37.18925</t>
  </si>
  <si>
    <t>18512</t>
  </si>
  <si>
    <t>Cafetería/Bar, Taller mecánico, Lavado camiones, Parking turismos, Parking camiones, Zona de descanso, Box presión, Aspiradores, Waylet pago en caja, Adblue Envasado</t>
  </si>
  <si>
    <t>02710</t>
  </si>
  <si>
    <t>0183017367</t>
  </si>
  <si>
    <t>US AMPUERO</t>
  </si>
  <si>
    <t>AMPUERO</t>
  </si>
  <si>
    <t>CR N-629, PK.79,7</t>
  </si>
  <si>
    <t>-3.418167, 43.341889</t>
  </si>
  <si>
    <t>39840</t>
  </si>
  <si>
    <t>L-S: 07:30-21:30; D: 08:30-21:30</t>
  </si>
  <si>
    <t>96816</t>
  </si>
  <si>
    <t>0183115914</t>
  </si>
  <si>
    <t>E.S. HERMANOS ESPINO ES SL</t>
  </si>
  <si>
    <t>CR  GI-2132 P.K. 0,4 M.I.</t>
  </si>
  <si>
    <t>-2.001361, 43.278056</t>
  </si>
  <si>
    <t>34341</t>
  </si>
  <si>
    <t>0183008937</t>
  </si>
  <si>
    <t>ES COMBUSTIBLES SALCEDO</t>
  </si>
  <si>
    <t>MEICENDE-E.S.</t>
  </si>
  <si>
    <t>CR CORUÑA-FINISTERRE AC-415</t>
  </si>
  <si>
    <t>-8.456333, 43.340389</t>
  </si>
  <si>
    <t>34386</t>
  </si>
  <si>
    <t>0183007723</t>
  </si>
  <si>
    <t>O,SEIXO S.L.</t>
  </si>
  <si>
    <t>SAN PEDRO-EL SEIJAL</t>
  </si>
  <si>
    <t>CR N-6, 589</t>
  </si>
  <si>
    <t>-8.362417, 43.324361</t>
  </si>
  <si>
    <t>15176</t>
  </si>
  <si>
    <t>EFITEC 95 N - España, EFITEC 98 N - España, Butano 12,5 Kg, DIESEL E+ NEO - España, DIESEL NEXA 100% RENOVABLE - Esp, Butano 6 Kg (K6), Propano 11 Kg, Autogás, Butano 12 Kg (NEL)</t>
  </si>
  <si>
    <t>15981</t>
  </si>
  <si>
    <t>0183055714</t>
  </si>
  <si>
    <t>E.S. G DE RECURSOS ENERGETICOS GUIL</t>
  </si>
  <si>
    <t>UBRIQUE</t>
  </si>
  <si>
    <t>CR C-3331, 20</t>
  </si>
  <si>
    <t>-5.452056, 36.68325</t>
  </si>
  <si>
    <t>11600</t>
  </si>
  <si>
    <t>Cafetería/Bar, Parking turismos, Zona de descanso, Box presión, Aspiradores, Solred cheque lavado, Waylet pago en surtidor, Waylet pago en caja, Punto recarga eléctrico Repsol</t>
  </si>
  <si>
    <t>06725</t>
  </si>
  <si>
    <t>0183017359</t>
  </si>
  <si>
    <t>U.S. ALAGON</t>
  </si>
  <si>
    <t>CL CARRERA DE CABALLOS, 46</t>
  </si>
  <si>
    <t>-1.1265, 41.766806</t>
  </si>
  <si>
    <t>L-S: 08:00-20:00; D: 08:00-14:00</t>
  </si>
  <si>
    <t>07045</t>
  </si>
  <si>
    <t>0008325409</t>
  </si>
  <si>
    <t>E.S. AUPASA,S.L.</t>
  </si>
  <si>
    <t>CL AVENIDA MADRID, 2</t>
  </si>
  <si>
    <t>-4.51975, 41.992639</t>
  </si>
  <si>
    <t>34004</t>
  </si>
  <si>
    <t>Restaurante, Cafetería/Bar, Taller mecánico, Taller neumáticos, Taller eléctrico, Lavado cepillos, Parking turismos, Aspiradores, Solred cheque lavado, Waylet pago en caja, Adblue Envasado</t>
  </si>
  <si>
    <t>12065</t>
  </si>
  <si>
    <t>0183062058</t>
  </si>
  <si>
    <t>E.S. DIEGO GIL PINO</t>
  </si>
  <si>
    <t>MONTEMAYOR</t>
  </si>
  <si>
    <t>CR N-331, 38</t>
  </si>
  <si>
    <t>-4.699583, 37.62625</t>
  </si>
  <si>
    <t>14530</t>
  </si>
  <si>
    <t>Cafetería/Bar, Parking turismos, Parking camiones, Zona de descanso, Duchas, Waylet pago en surtidor, Waylet pago en caja</t>
  </si>
  <si>
    <t>33924</t>
  </si>
  <si>
    <t>0183002062</t>
  </si>
  <si>
    <t>GLEM,S.L.-AUTOVIA R-2A</t>
  </si>
  <si>
    <t>VILLENA</t>
  </si>
  <si>
    <t>CR A-31 , P.K.53 M.IZQ</t>
  </si>
  <si>
    <t>-0.848972, 38.618083</t>
  </si>
  <si>
    <t>03400</t>
  </si>
  <si>
    <t>Box presión, Duchas, Aspiradores, Waylet pago en surtidor, Waylet pago en caja</t>
  </si>
  <si>
    <t>33435</t>
  </si>
  <si>
    <t>0183008440</t>
  </si>
  <si>
    <t>ES GRUPO ELECTROCHIMPO S.L.</t>
  </si>
  <si>
    <t>VILLACAÑAS</t>
  </si>
  <si>
    <t>CR C-402, 106,3</t>
  </si>
  <si>
    <t>-3.34575, 39.616333</t>
  </si>
  <si>
    <t>45860</t>
  </si>
  <si>
    <t>L-V: 06:30-22:00; S-D: 07:00-22:00</t>
  </si>
  <si>
    <t>Cafetería/Bar, Lavado camiones, Box presión, Aspiradores, Waylet pago en caja, Adblue Envasado, Punto recarga eléctrico Repsol</t>
  </si>
  <si>
    <t>34157</t>
  </si>
  <si>
    <t>0063192611</t>
  </si>
  <si>
    <t>E.S. EL PRADO DE GOMEZSERRACIN,S.L.</t>
  </si>
  <si>
    <t>GOMEZSERRACIN</t>
  </si>
  <si>
    <t>CR CL-601, 62,9</t>
  </si>
  <si>
    <t>-4.299639, 41.291694</t>
  </si>
  <si>
    <t>40240</t>
  </si>
  <si>
    <t>L-S: 07:00-22:00; D: 09:00-22:00</t>
  </si>
  <si>
    <t>Lavado cepillos, Lavado camiones, Parking turismos, Parking camiones, Zona de descanso, Box presión, Aspiradores, Waylet pago en caja</t>
  </si>
  <si>
    <t>33540</t>
  </si>
  <si>
    <t>0183055730</t>
  </si>
  <si>
    <t>E.S. CASTRO RIBERAS DE LEA, S.L.</t>
  </si>
  <si>
    <t>CASTRO-RIBERAS DE LE</t>
  </si>
  <si>
    <t>CR L-1101, 4,6</t>
  </si>
  <si>
    <t>-7.492611, 43.137833</t>
  </si>
  <si>
    <t>27260</t>
  </si>
  <si>
    <t>Parking turismos, Box presión, Aspiradores, Solred cheque lavado, Waylet pago en caja, Punto recarga eléctrico Repsol, Recarga eléctrica</t>
  </si>
  <si>
    <t>02709</t>
  </si>
  <si>
    <t>0183076959</t>
  </si>
  <si>
    <t>ES IMADI SERVIOIL SL</t>
  </si>
  <si>
    <t>CL APERRIBAY, 15</t>
  </si>
  <si>
    <t>-2.873056, 43.240111</t>
  </si>
  <si>
    <t>L-V: 06:30-21:30; S-D: 08:00-21:30</t>
  </si>
  <si>
    <t>33686</t>
  </si>
  <si>
    <t>0183000751</t>
  </si>
  <si>
    <t>E.S. LA PISTA, S.L.</t>
  </si>
  <si>
    <t>CR N-630  MIRABEL, 489,9</t>
  </si>
  <si>
    <t>-6.246806, 39.915806</t>
  </si>
  <si>
    <t>L-V: 06:30-23:00; S-D: 07:00-23:00</t>
  </si>
  <si>
    <t>Restaurante, Cafetería/Bar, Parking turismos, Parking camiones, Box presión, Duchas, Aspiradores, Waylet pago en caja</t>
  </si>
  <si>
    <t>04280</t>
  </si>
  <si>
    <t>0183017565</t>
  </si>
  <si>
    <t>E.S. PETRODIS SL</t>
  </si>
  <si>
    <t>ALBA DE TORMES</t>
  </si>
  <si>
    <t>CR C-510, 20  I</t>
  </si>
  <si>
    <t>-5.515056, 40.822417</t>
  </si>
  <si>
    <t>37800</t>
  </si>
  <si>
    <t>96102</t>
  </si>
  <si>
    <t>0183079599</t>
  </si>
  <si>
    <t>CL RIO BEMBEZAR-PARCELA 13</t>
  </si>
  <si>
    <t>-3.699444, 40.276389</t>
  </si>
  <si>
    <t>Restaurante, Cafetería/Bar, Parking turismos, Parking camiones, Duchas, Waylet pago en caja, Adblue Envasado, Punto recarga eléctrico Repsol</t>
  </si>
  <si>
    <t>34505</t>
  </si>
  <si>
    <t>0183000777</t>
  </si>
  <si>
    <t>ES GESGLOBAL DE ENERGIA SL</t>
  </si>
  <si>
    <t>CL AVENIDA CIRCUNVALACION, S.N.</t>
  </si>
  <si>
    <t>-6.964, 38.881694</t>
  </si>
  <si>
    <t>06007</t>
  </si>
  <si>
    <t>L-S: 06:00-23:00; D: 07:00-23:00</t>
  </si>
  <si>
    <t>Lavado cepillos, Parking turismos, Zona de descanso, Box presión, Aspiradores, Solred cheque lavado, Waylet pago en caja, Adblue Envasado, Punto recarga eléctrico Repsol, Lavados Klin</t>
  </si>
  <si>
    <t>33246</t>
  </si>
  <si>
    <t>0183014836</t>
  </si>
  <si>
    <t>ES PREMIRA ENERGIA</t>
  </si>
  <si>
    <t>PRATS I SAMPSOR</t>
  </si>
  <si>
    <t>CR LP-4033, 6,2</t>
  </si>
  <si>
    <t>1.845528, 42.368306</t>
  </si>
  <si>
    <t>25721</t>
  </si>
  <si>
    <t>L-V: 09:00-21:00; S-D: 09:00-17:00</t>
  </si>
  <si>
    <t>11310</t>
  </si>
  <si>
    <t>0183054410</t>
  </si>
  <si>
    <t>ES NUEVA CUATRO CAMINOS SL</t>
  </si>
  <si>
    <t>AVENIDA DEL FERROCARRIL, 79</t>
  </si>
  <si>
    <t>-8.418889, 43.347528</t>
  </si>
  <si>
    <t>Lavado cepillos, Aspiradores, Solred cheque lavado, Waylet pago en caja, Punto recarga eléctrico Repsol, Recarga eléctrica</t>
  </si>
  <si>
    <t>33660</t>
  </si>
  <si>
    <t>0183058460</t>
  </si>
  <si>
    <t>CARBURANTS ARTESA 2002,S.L.</t>
  </si>
  <si>
    <t>ARTESA DE LLEIDA</t>
  </si>
  <si>
    <t>CR CL-7020, 8,5</t>
  </si>
  <si>
    <t>0.706306, 41.553139</t>
  </si>
  <si>
    <t>25150</t>
  </si>
  <si>
    <t>Cafetería/Bar, Box presión, Aspiradores, Waylet pago en caja, Punto recarga eléctrico Repsol</t>
  </si>
  <si>
    <t>96153</t>
  </si>
  <si>
    <t>0183079649</t>
  </si>
  <si>
    <t>E.S. JOGONE</t>
  </si>
  <si>
    <t>MUNGIA</t>
  </si>
  <si>
    <t>CL MUNGUIA-PLENCIA BI-2120, 18</t>
  </si>
  <si>
    <t>-2.864861, 43.37725</t>
  </si>
  <si>
    <t>48100</t>
  </si>
  <si>
    <t>96361</t>
  </si>
  <si>
    <t>0183103894</t>
  </si>
  <si>
    <t>ES TALOIL INVERSIONES, S.L.</t>
  </si>
  <si>
    <t>CR A-5, 126.6</t>
  </si>
  <si>
    <t>-4.953139, 39.943778</t>
  </si>
  <si>
    <t>Restaurante, Cafetería/Bar, Lavado cepillos, Parking turismos, Parking camiones, Zona de descanso, Box presión, Aspiradores, Solred cheque lavado, Waylet pago en surtidor, Waylet pago en caja</t>
  </si>
  <si>
    <t>33722</t>
  </si>
  <si>
    <t>0183005859</t>
  </si>
  <si>
    <t>ES PRIBAYO SL</t>
  </si>
  <si>
    <t>EJIDO, EL</t>
  </si>
  <si>
    <t>AVDA. EL TREINTA 121</t>
  </si>
  <si>
    <t>-2.792222, 36.777611</t>
  </si>
  <si>
    <t>04700</t>
  </si>
  <si>
    <t>EFITEC 95 N - España, Butano 12,5 Kg, DIESEL E+ NEO - España, DIESEL E+10 NEO - España, GO-B BONIF - España, Butano 6 Kg (K6), Propano 11 Kg, BLUE+GRANEL - España, Butano 12 Kg (NEL)</t>
  </si>
  <si>
    <t>00162</t>
  </si>
  <si>
    <t>0183060235</t>
  </si>
  <si>
    <t>US NEVASOIL SL</t>
  </si>
  <si>
    <t>PINOS PUENTE</t>
  </si>
  <si>
    <t>CR N-432 P.K. 420</t>
  </si>
  <si>
    <t>-3.757417, 37.253722</t>
  </si>
  <si>
    <t>18240</t>
  </si>
  <si>
    <t>33088</t>
  </si>
  <si>
    <t>0183000900</t>
  </si>
  <si>
    <t>ES COMBUSTIBLES CAMPORROSO, S.L.</t>
  </si>
  <si>
    <t>A-31 PK. 86,4 DE</t>
  </si>
  <si>
    <t>-1.758, 38.937583</t>
  </si>
  <si>
    <t>Parking turismos, Parking camiones, Zona de descanso, Waylet pago en caja, Punto recarga eléctrico Repsol</t>
  </si>
  <si>
    <t>34190</t>
  </si>
  <si>
    <t>0183004068</t>
  </si>
  <si>
    <t>ES LLIRIA</t>
  </si>
  <si>
    <t>CL DUQUE DE LIRIA,132</t>
  </si>
  <si>
    <t>-0.602528, 39.630167</t>
  </si>
  <si>
    <t>02917</t>
  </si>
  <si>
    <t>0183003201</t>
  </si>
  <si>
    <t>E.PEIRO BONAFONTE,SL</t>
  </si>
  <si>
    <t>SARRION</t>
  </si>
  <si>
    <t>CR N-234, 83</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</si>
  <si>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</si>
  <si>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</si>
  <si>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</si>
  <si>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</si>
  <si>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33432</t>
  </si>
  <si>
    <t>0040127128</t>
  </si>
  <si>
    <t>EL MANCHEGO,S.L.</t>
  </si>
  <si>
    <t>CR N-340, 706,1</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</si>
  <si>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</si>
  <si>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</si>
  <si>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</si>
  <si>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11832</t>
  </si>
  <si>
    <t>0183056076</t>
  </si>
  <si>
    <t>E.S. K124, S.L.</t>
  </si>
  <si>
    <t>VILLARES DEL SAZ</t>
  </si>
  <si>
    <t>CL CAMINO CASALONGA, 0,1</t>
  </si>
  <si>
    <t>-2.577083, 39.864361</t>
  </si>
  <si>
    <t>16442</t>
  </si>
  <si>
    <t>Restaurante, Cafetería/Bar, Taller mecánico, Parking turismos, Parking camiones, Zona de descanso, Waylet pago en surtidor, Waylet pago en caja, Punto recarga eléctrico Repsol, Recarga eléctrica</t>
  </si>
  <si>
    <t>33651</t>
  </si>
  <si>
    <t>0183001429</t>
  </si>
  <si>
    <t>E.S. GUADIX</t>
  </si>
  <si>
    <t>GUADIX</t>
  </si>
  <si>
    <t>AV. BUENOS AIRES, S/N</t>
  </si>
  <si>
    <t>-3.132722, 37.306444</t>
  </si>
  <si>
    <t>18500</t>
  </si>
  <si>
    <t>Restaurante, Cafetería/Bar, Lavado cepillos, Parking turismos, Aspiradores, Waylet pago en caja, Adblue Envasado</t>
  </si>
  <si>
    <t>12135</t>
  </si>
  <si>
    <t>0183060821</t>
  </si>
  <si>
    <t>ES VIVEDA</t>
  </si>
  <si>
    <t>VIVEDA</t>
  </si>
  <si>
    <t>CR CA-131, 2</t>
  </si>
  <si>
    <t>-4.05975, 43.378278</t>
  </si>
  <si>
    <t>39314</t>
  </si>
  <si>
    <t>33126</t>
  </si>
  <si>
    <t>0183011709</t>
  </si>
  <si>
    <t>ES MYKE 22 SL</t>
  </si>
  <si>
    <t>CR CV-370 KM 6,8</t>
  </si>
  <si>
    <t>-0.51475, 39.51125</t>
  </si>
  <si>
    <t>33326</t>
  </si>
  <si>
    <t>0183055052</t>
  </si>
  <si>
    <t>ES SANDRA BURGUETE RODRIGUEZ</t>
  </si>
  <si>
    <t>VILAMOS</t>
  </si>
  <si>
    <t>CR N-230, 174,9</t>
  </si>
  <si>
    <t>0.700722, 42.7495</t>
  </si>
  <si>
    <t>25551</t>
  </si>
  <si>
    <t>L-D: 08:00-14:00</t>
  </si>
  <si>
    <t>EFITEC 95 N - España, EFITEC 98 N - España, Butano 12,5 Kg, DIESEL E+ NEO - España, Butano 6 Kg (K6), Propano 11 Kg, BLUE+GRANEL - España, Butano 12 Kg (NEL)</t>
  </si>
  <si>
    <t>Parking turismos, Parking camiones, Zona de descanso, Aspiradores, Waylet pago en caja</t>
  </si>
  <si>
    <t>15230</t>
  </si>
  <si>
    <t>0183055177</t>
  </si>
  <si>
    <t>ES CODISOIL SANTA MARTA</t>
  </si>
  <si>
    <t>SANTA MARTA DE TORME</t>
  </si>
  <si>
    <t>CR N-501, PK.89  MD</t>
  </si>
  <si>
    <t>-5.610278, 40.94975</t>
  </si>
  <si>
    <t>37900</t>
  </si>
  <si>
    <t>01857</t>
  </si>
  <si>
    <t>0183076298</t>
  </si>
  <si>
    <t>E.S. LEAL PAJUELO, S.L.</t>
  </si>
  <si>
    <t>ARROYO DE SAN SERVAN</t>
  </si>
  <si>
    <t>CL AVENIDA EXTREMADURA, S.N.</t>
  </si>
  <si>
    <t>-6.455306, 38.858139</t>
  </si>
  <si>
    <t>06850</t>
  </si>
  <si>
    <t>34913</t>
  </si>
  <si>
    <t>0183101096</t>
  </si>
  <si>
    <t>ES GRUPO MAICAS PEIRO SLU</t>
  </si>
  <si>
    <t>PEÑISCOLA</t>
  </si>
  <si>
    <t>CR CS-500  N-340 A PEÑISCOLA, 4,9</t>
  </si>
  <si>
    <t>0.397111, 40.361139</t>
  </si>
  <si>
    <t>12598</t>
  </si>
  <si>
    <t>EFITEC 95 N - España, DIESEL E+ NEO - España, DIESEL E+10 NEO - España, Butano 6 Kg (K6)</t>
  </si>
  <si>
    <t>33760</t>
  </si>
  <si>
    <t>0183003920</t>
  </si>
  <si>
    <t>ES GASOTO PALENCIA</t>
  </si>
  <si>
    <t>CL AVENIDA CAMPOS GOTICOS, S.N.</t>
  </si>
  <si>
    <t>-4.525417, 42.0135</t>
  </si>
  <si>
    <t>Parking turismos, Waylet pago en surtidor, Waylet pago en caja, Adblue Envasado, Punto recarga eléctrico Repsol, Recarga eléctrica</t>
  </si>
  <si>
    <t>33040</t>
  </si>
  <si>
    <t>0183001379</t>
  </si>
  <si>
    <t>CR BI-3704, PK. 5,5</t>
  </si>
  <si>
    <t>-2.960417, 43.291222</t>
  </si>
  <si>
    <t>33848</t>
  </si>
  <si>
    <t>0183003367</t>
  </si>
  <si>
    <t>E.S. ENERGIA SANTA ANA SL</t>
  </si>
  <si>
    <t>BONETE</t>
  </si>
  <si>
    <t>A-31 PK 126 M.DCHO</t>
  </si>
  <si>
    <t>-1.3315, 38.875861</t>
  </si>
  <si>
    <t>02691</t>
  </si>
  <si>
    <t>Restaurante, Cafetería/Bar, Parking turismos, Parking camiones, Box presión, Aspiradores, Waylet pago en caja</t>
  </si>
  <si>
    <t>06729</t>
  </si>
  <si>
    <t>0183063965</t>
  </si>
  <si>
    <t>ES MONTE RUZI ALICANTE</t>
  </si>
  <si>
    <t>CL AVENIDA PADRE ESPLA 36</t>
  </si>
  <si>
    <t>-0.47675, 38.357</t>
  </si>
  <si>
    <t>03013</t>
  </si>
  <si>
    <t>L-V: 07:30-21:00; S: 08:00-15:00; D: 09:30-14:30</t>
  </si>
  <si>
    <t>0183018290</t>
  </si>
  <si>
    <t>E.S. JOSE LUIS SOLER ACUÑA</t>
  </si>
  <si>
    <t>AMETLLA DE MAR</t>
  </si>
  <si>
    <t>CR N-340, 1110.0</t>
  </si>
  <si>
    <t>0.747833, 40.896611</t>
  </si>
  <si>
    <t>43860</t>
  </si>
  <si>
    <t>L-V: 06:00-21:00; S-D: 08:00-21:00</t>
  </si>
  <si>
    <t>34158</t>
  </si>
  <si>
    <t>0183018720</t>
  </si>
  <si>
    <t>E.S MUBA ZAFA, S.L (HORTA)</t>
  </si>
  <si>
    <t>HORTA DE SAN JUAN</t>
  </si>
  <si>
    <t>CR TA-330, PK. 16,5</t>
  </si>
  <si>
    <t>0.309417, 40.934639</t>
  </si>
  <si>
    <t>43596</t>
  </si>
  <si>
    <t>Parking turismos, Aspiradores, Waylet pago en caja</t>
  </si>
  <si>
    <t>33864</t>
  </si>
  <si>
    <t>0183018423</t>
  </si>
  <si>
    <t>ES. SERVEI MORER PUIGCERDA, S.L.</t>
  </si>
  <si>
    <t>CL AVENIDA CATALUNYA, 38</t>
  </si>
  <si>
    <t>1.930389, 42.431667</t>
  </si>
  <si>
    <t>11979</t>
  </si>
  <si>
    <t>0183062132</t>
  </si>
  <si>
    <t>ES ESTACION DE SERVICIO EL BRUCH SA</t>
  </si>
  <si>
    <t>EL MORELL</t>
  </si>
  <si>
    <t>CL AVENIDA LA PAU, S.N.</t>
  </si>
  <si>
    <t>1.20175, 41.192972</t>
  </si>
  <si>
    <t>43760</t>
  </si>
  <si>
    <t>Parking turismos, Box presión, Aspiradores, Waylet pago en surtidor, Waylet pago en caja, Punto recarga eléctrico Repsol</t>
  </si>
  <si>
    <t>04903</t>
  </si>
  <si>
    <t>0183117381</t>
  </si>
  <si>
    <t>U.S. LEGESTIONA, S.L.</t>
  </si>
  <si>
    <t>CL PRINCIPE DE VERGARA , 134</t>
  </si>
  <si>
    <t>-3.678194, 40.443611</t>
  </si>
  <si>
    <t>L-V: 07:00-22:00; S: 09:00-15:00</t>
  </si>
  <si>
    <t>96994</t>
  </si>
  <si>
    <t>0183123850</t>
  </si>
  <si>
    <t>ES PROMOCIONES INDUSTRIALES PIEDRAH</t>
  </si>
  <si>
    <t>SOLOSANCHO</t>
  </si>
  <si>
    <t>CTRA N-502 KM 22</t>
  </si>
  <si>
    <t>-4.909028, 40.55325</t>
  </si>
  <si>
    <t>05130</t>
  </si>
  <si>
    <t>33873</t>
  </si>
  <si>
    <t>0183051465</t>
  </si>
  <si>
    <t>ES SANTIAGO DEL ORBIGO, SL</t>
  </si>
  <si>
    <t>CUBILLOS DEL SIL</t>
  </si>
  <si>
    <t>CR CL-631, 8</t>
  </si>
  <si>
    <t>-6.589972, 42.615778</t>
  </si>
  <si>
    <t>24492</t>
  </si>
  <si>
    <t>L-V: 07:00-22:00; S: 07:00-15:00</t>
  </si>
  <si>
    <t>01625</t>
  </si>
  <si>
    <t>0183003599</t>
  </si>
  <si>
    <t>MOLLERUSA</t>
  </si>
  <si>
    <t>CL AVENIDA JAIME I, 24</t>
  </si>
  <si>
    <t>0.887778, 41.630056</t>
  </si>
  <si>
    <t>25230</t>
  </si>
  <si>
    <t>06397</t>
  </si>
  <si>
    <t>0183078740</t>
  </si>
  <si>
    <t>ES GESLAMA-PER SL</t>
  </si>
  <si>
    <t>BUSTARVIEJO</t>
  </si>
  <si>
    <t>CR M-631, PK. 5,3</t>
  </si>
  <si>
    <t>-3.676528, 40.839278</t>
  </si>
  <si>
    <t>28720</t>
  </si>
  <si>
    <t>L-V: 06:30-20:30; S-D: 08:00-20:00</t>
  </si>
  <si>
    <t>Cafetería/Bar, Zona de descanso, Waylet pago en caja, Adblue Envasado</t>
  </si>
  <si>
    <t>96858</t>
  </si>
  <si>
    <t>0183132141</t>
  </si>
  <si>
    <t>ES BISONTE ENERGY, SL</t>
  </si>
  <si>
    <t>AV DE LA ILUSTRACION S/N (BARRIO DE</t>
  </si>
  <si>
    <t>-6.268361, 36.508028</t>
  </si>
  <si>
    <t>34404</t>
  </si>
  <si>
    <t>0063141113</t>
  </si>
  <si>
    <t>CR CR-122, 26,1</t>
  </si>
  <si>
    <t>-3.012167, 39.175667</t>
  </si>
  <si>
    <t>33064</t>
  </si>
  <si>
    <t>0183001601</t>
  </si>
  <si>
    <t>ES HUMAVEVA SL</t>
  </si>
  <si>
    <t>TEMBLEQUE</t>
  </si>
  <si>
    <t>CR N-4A, 94</t>
  </si>
  <si>
    <t>-3.506583, 39.683</t>
  </si>
  <si>
    <t>45780</t>
  </si>
  <si>
    <t>34440</t>
  </si>
  <si>
    <t>0042146027</t>
  </si>
  <si>
    <t>ES COMBUSTIBLES VELEZ SL</t>
  </si>
  <si>
    <t>VELEZ DE BENAUDALLA</t>
  </si>
  <si>
    <t>CR N-323, 187,5</t>
  </si>
  <si>
    <t>-3.533417, 36.814333</t>
  </si>
  <si>
    <t>18670</t>
  </si>
  <si>
    <t>EFITEC 95 N - España, Efitec 95 Premium, EFITEC 98 N - España, DIESEL E+ NEO - España, DIESEL NEXA 100% RENOVABLE - Esp, Butano 12 Kg (NEL)</t>
  </si>
  <si>
    <t>33681</t>
  </si>
  <si>
    <t>0183015064</t>
  </si>
  <si>
    <t>ES SUMINISTROS SAN AGUSTIN, SOCIEDA</t>
  </si>
  <si>
    <t>ALBARREAL DE TAJO</t>
  </si>
  <si>
    <t>CR CM-4000  ,P.K. 16,4  M.I.</t>
  </si>
  <si>
    <t>-4.217389, 39.8755</t>
  </si>
  <si>
    <t>45519</t>
  </si>
  <si>
    <t>Parking turismos, Parking camiones, Waylet pago en caja, Adblue Envasado</t>
  </si>
  <si>
    <t>33647</t>
  </si>
  <si>
    <t>0063180061</t>
  </si>
  <si>
    <t>ES ORPINSOIL SL</t>
  </si>
  <si>
    <t>CL JARAMA (POLG. INDUST.PAR,22), SN</t>
  </si>
  <si>
    <t>-3.970306, 39.864972</t>
  </si>
  <si>
    <t>45007</t>
  </si>
  <si>
    <t>13035</t>
  </si>
  <si>
    <t>0183061852</t>
  </si>
  <si>
    <t>E.S. I.Y P.ES CODUL,SL</t>
  </si>
  <si>
    <t>PALMA</t>
  </si>
  <si>
    <t>CR C-711   (PALMA-SOLLER), 7</t>
  </si>
  <si>
    <t>2.663583, 39.629778</t>
  </si>
  <si>
    <t>07120</t>
  </si>
  <si>
    <t>Lavado camiones, Parking turismos, Box presión, Aspiradores, Waylet pago en caja</t>
  </si>
  <si>
    <t>34456</t>
  </si>
  <si>
    <t>0183016567</t>
  </si>
  <si>
    <t>E.S. CAMPOS S.L.</t>
  </si>
  <si>
    <t>DOZON</t>
  </si>
  <si>
    <t>CL MEDICO FDO. MTNEZ.IGLESIAS, S/N.</t>
  </si>
  <si>
    <t>-8.046056, 42.566222</t>
  </si>
  <si>
    <t>36518</t>
  </si>
  <si>
    <t>L-V: 07:00-22:30; S-D: 09:00-22:30</t>
  </si>
  <si>
    <t>Box presión, Waylet pago en caja, Adblue Envasado</t>
  </si>
  <si>
    <t>33880</t>
  </si>
  <si>
    <t>0095004107</t>
  </si>
  <si>
    <t>E.S. PETROBADALONA-BADALONA</t>
  </si>
  <si>
    <t>CL AVENIDA ALFONSO XIII, 628</t>
  </si>
  <si>
    <t>2.216861, 41.433361</t>
  </si>
  <si>
    <t>08913</t>
  </si>
  <si>
    <t>33252</t>
  </si>
  <si>
    <t>0183017136</t>
  </si>
  <si>
    <t>E.S. TRAMUNTANA (IBIZA)</t>
  </si>
  <si>
    <t>Cra IBIZA-SANTA EULALIA C-733 PK 1,</t>
  </si>
  <si>
    <t>1.440778, 38.922694</t>
  </si>
  <si>
    <t>07800</t>
  </si>
  <si>
    <t>Lavado camiones, Parking turismos, Box presión, Aspiradores, Waylet pago en caja, Adblue Envasado</t>
  </si>
  <si>
    <t>33803</t>
  </si>
  <si>
    <t>0002272722</t>
  </si>
  <si>
    <t>MONT-SACRO, S.A.</t>
  </si>
  <si>
    <t>ARGAME</t>
  </si>
  <si>
    <t>CR N-630, 36,7</t>
  </si>
  <si>
    <t>-5.881583, 43.301111</t>
  </si>
  <si>
    <t>33163</t>
  </si>
  <si>
    <t>Restaurante, Cafetería/Bar, Taller mecánico, Lavado cepillos, Parking turismos, Parking camiones, Zona de descanso, Box presión, Aspiradores, Solred cheque lavado, Waylet pago en caja</t>
  </si>
  <si>
    <t>33193</t>
  </si>
  <si>
    <t>0183061340</t>
  </si>
  <si>
    <t>GASOLINERA LA RED-3</t>
  </si>
  <si>
    <t>CR A-376, 8,7</t>
  </si>
  <si>
    <t>-5.889556, 37.308889</t>
  </si>
  <si>
    <t>EFITEC 95 N - España, Butano 12,5 Kg, DIESEL E+ NEO - España, DIESEL E+10 NEO - España, BLUE+GRANEL - España, Autogás</t>
  </si>
  <si>
    <t>33584</t>
  </si>
  <si>
    <t>0063212625</t>
  </si>
  <si>
    <t>ES FOOTWORK SL</t>
  </si>
  <si>
    <t>CR VV-6116, 1,1</t>
  </si>
  <si>
    <t>-0.468528, 39.4875</t>
  </si>
  <si>
    <t>L-V: 06:00-22:00; S-D: 08:00-20:00</t>
  </si>
  <si>
    <t>Cafetería/Bar, Lavado cepillos, Parking turismos, Aspiradores, Solred cheque lavado, Waylet pago en surtidor, Waylet pago en caja, Punto recarga eléctrico Repsol</t>
  </si>
  <si>
    <t>34454</t>
  </si>
  <si>
    <t>0183105238</t>
  </si>
  <si>
    <t>E.S.CARMINA - II, SL</t>
  </si>
  <si>
    <t>ARNEDO</t>
  </si>
  <si>
    <t>CR LR-115, 26,5</t>
  </si>
  <si>
    <t>-2.085306, 42.230167</t>
  </si>
  <si>
    <t>26580</t>
  </si>
  <si>
    <t>04054</t>
  </si>
  <si>
    <t>0183129873</t>
  </si>
  <si>
    <t>ES TALLER Y AUTOS JOSE MIGUEL, S.L.</t>
  </si>
  <si>
    <t>CR N-4 P.K. 294.00  D</t>
  </si>
  <si>
    <t>-3.76675, 38.097944</t>
  </si>
  <si>
    <t>Restaurante, Cafetería/Bar, Parking turismos, Zona de descanso, Box presión, Aspiradores, Waylet pago en caja</t>
  </si>
  <si>
    <t>33496</t>
  </si>
  <si>
    <t>0002283232</t>
  </si>
  <si>
    <t>BALLUS, S.A.</t>
  </si>
  <si>
    <t>GIRONELLA</t>
  </si>
  <si>
    <t>CR C-16, 88,32</t>
  </si>
  <si>
    <t>1.884444, 42.016639</t>
  </si>
  <si>
    <t>08680</t>
  </si>
  <si>
    <t>Restaurante, Cafetería/Bar, Lavado cepillos, Parking turismos, Box presión, Aspiradores, Waylet pago en caja</t>
  </si>
  <si>
    <t>00389</t>
  </si>
  <si>
    <t>0183010206</t>
  </si>
  <si>
    <t>E.S.  LOS GALLARDOS SL</t>
  </si>
  <si>
    <t>GALLARDOS, LOS</t>
  </si>
  <si>
    <t>CR N-340, 520</t>
  </si>
  <si>
    <t>-1.932611, 37.168139</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</si>
  <si>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</si>
  <si>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</si>
  <si>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33096</t>
  </si>
  <si>
    <t>0120006226</t>
  </si>
  <si>
    <t>E.S. SAN VICENTE S.L.</t>
  </si>
  <si>
    <t>SAN VICENTE DE CERPONZONES</t>
  </si>
  <si>
    <t>CL HERMIDA (CERPONZONES), 2</t>
  </si>
  <si>
    <t>-8.641306, 42.488667</t>
  </si>
  <si>
    <t>36152</t>
  </si>
  <si>
    <t>96731</t>
  </si>
  <si>
    <t>0183114610</t>
  </si>
  <si>
    <t>E.S. CANIVELL P.E.P.A.</t>
  </si>
  <si>
    <t>AVILES-ACERALIA</t>
  </si>
  <si>
    <t>CR  AS-238 P.K. 0,8 (PARQUE EMPRESA</t>
  </si>
  <si>
    <t>-5.911, 43.560056</t>
  </si>
  <si>
    <t>03537</t>
  </si>
  <si>
    <t>0183052968</t>
  </si>
  <si>
    <t>BALSAPINTADA</t>
  </si>
  <si>
    <t>CR A-30, 423</t>
  </si>
  <si>
    <t>-1.068806, 37.769</t>
  </si>
  <si>
    <t>30332</t>
  </si>
  <si>
    <t>Restaurante, Cafetería/Bar, Lavado camiones, Parking turismos, Parking camiones, Duchas, Waylet pago en caja, Recarga eléctrica</t>
  </si>
  <si>
    <t>12851</t>
  </si>
  <si>
    <t>0183062728</t>
  </si>
  <si>
    <t>CR A-62, PK. 98,9</t>
  </si>
  <si>
    <t>-4.564028, 41.835389</t>
  </si>
  <si>
    <t>34655</t>
  </si>
  <si>
    <t>0183061357</t>
  </si>
  <si>
    <t>Ripoll Albuixech</t>
  </si>
  <si>
    <t>ALBUIXECH</t>
  </si>
  <si>
    <t>CL AVENIDA MEDITERRANEO, 12</t>
  </si>
  <si>
    <t>-0.309556, 39.536889</t>
  </si>
  <si>
    <t>46550</t>
  </si>
  <si>
    <t>EFITEC 95 N - España, Efitec 95 Premium, Butano 12,5 Kg, DIESEL E+ NEO - España, DIESEL E+10 NEO - España, GO-B BONIF - España, Propano 11 Kg, BLUE+GRANEL - España</t>
  </si>
  <si>
    <t>Cafetería/Bar, Lavado camiones, Parking turismos, Parking camiones, Box presión, Aspiradores, Solred cheque lavado, Waylet pago en caja</t>
  </si>
  <si>
    <t>96305</t>
  </si>
  <si>
    <t>0183100874</t>
  </si>
  <si>
    <t>E.S. GERNILAN,S.A.  GERNIKA Y LUNO</t>
  </si>
  <si>
    <t>GERNIKA Y LUNO</t>
  </si>
  <si>
    <t>PG P.IND.TXAPORTA, S.N.</t>
  </si>
  <si>
    <t>-2.678222, 43.304944</t>
  </si>
  <si>
    <t>48300</t>
  </si>
  <si>
    <t>15868</t>
  </si>
  <si>
    <t>0183005750</t>
  </si>
  <si>
    <t>E.S. HUESCAR</t>
  </si>
  <si>
    <t>HUESCAR</t>
  </si>
  <si>
    <t>CL BARROETA, S.N.</t>
  </si>
  <si>
    <t>-2.532583, 37.810611</t>
  </si>
  <si>
    <t>18830</t>
  </si>
  <si>
    <t>L-D: 7:00-22:00</t>
  </si>
  <si>
    <t>Lavado cepillos, Parking turismos, Box presión, Waylet pago en caja, Punto recarga eléctrico Repsol</t>
  </si>
  <si>
    <t>07567</t>
  </si>
  <si>
    <t>0183002583</t>
  </si>
  <si>
    <t>E.S. RAUSAN S.A.</t>
  </si>
  <si>
    <t>ALFAJARIN</t>
  </si>
  <si>
    <t>CR N-2, 341</t>
  </si>
  <si>
    <t>-0.691639, 41.606417</t>
  </si>
  <si>
    <t>50172</t>
  </si>
  <si>
    <t>Rest. Autoservicio, Restaurante, Cafetería/Bar, Parking turismos, Parking camiones, Zona de descanso, Duchas, Lavandería, Waylet pago en caja</t>
  </si>
  <si>
    <t>34251</t>
  </si>
  <si>
    <t>0183002237</t>
  </si>
  <si>
    <t>PORTELA DE LAMAS,S.L</t>
  </si>
  <si>
    <t>PORTELA DE LAMAS</t>
  </si>
  <si>
    <t>CR N-541, 51,5</t>
  </si>
  <si>
    <t>-8.273944, 42.517833</t>
  </si>
  <si>
    <t>36556</t>
  </si>
  <si>
    <t>L: 00:07-23:00</t>
  </si>
  <si>
    <t>Restaurante, Taller mecánico, Lavado cepillos, Parking camiones, Box presión, Waylet pago en caja, Adblue Envasado</t>
  </si>
  <si>
    <t>33796</t>
  </si>
  <si>
    <t>0183011212</t>
  </si>
  <si>
    <t>ES FOOTWEAR PLANET S.L.</t>
  </si>
  <si>
    <t>COX</t>
  </si>
  <si>
    <t>CL AVENIDA DEL CARMEN, 94</t>
  </si>
  <si>
    <t>-0.889278, 38.147139</t>
  </si>
  <si>
    <t>03350</t>
  </si>
  <si>
    <t>Lavado cepillos, Box presión, Aspiradores, Waylet pago en surtidor, Waylet pago en caja, Adblue Envasado, Punto recarga eléctrico Repsol, Lavados Klin</t>
  </si>
  <si>
    <t>02216</t>
  </si>
  <si>
    <t>0183018399</t>
  </si>
  <si>
    <t>ESTACIÓN DE SERVICIO MONDARIZ, S.L.</t>
  </si>
  <si>
    <t>MONDARIZ</t>
  </si>
  <si>
    <t>CL CONSTITUCION, S.N.</t>
  </si>
  <si>
    <t>-8.473917, 42.223889</t>
  </si>
  <si>
    <t>36890</t>
  </si>
  <si>
    <t>07088</t>
  </si>
  <si>
    <t>0183059435</t>
  </si>
  <si>
    <t>ES ROA SA</t>
  </si>
  <si>
    <t>CR N-1, 318,8</t>
  </si>
  <si>
    <t>-2.9375, 42.692944</t>
  </si>
  <si>
    <t>L-V: 06:00-21:00</t>
  </si>
  <si>
    <t>33535</t>
  </si>
  <si>
    <t>0183003615</t>
  </si>
  <si>
    <t>ES EDGAR POYATOS REUS</t>
  </si>
  <si>
    <t>AV MONTBLANC, 16</t>
  </si>
  <si>
    <t>1.117194, 41.161139</t>
  </si>
  <si>
    <t>43203</t>
  </si>
  <si>
    <t>L-S: 06:00-22:00; D: 06:00-14:00</t>
  </si>
  <si>
    <t>Cafetería/Bar, Lavado cepillos, Parking turismos, Aspiradores, Waylet pago en caja, Punto recarga eléctrico Repsol</t>
  </si>
  <si>
    <t>93638</t>
  </si>
  <si>
    <t>0183120120</t>
  </si>
  <si>
    <t>ES GRUPO VILCOGAS SL</t>
  </si>
  <si>
    <t>AVDA. TERRA CHA, 164</t>
  </si>
  <si>
    <t>-7.670639, 43.294139</t>
  </si>
  <si>
    <t>Cafetería/Bar, Lavado cepillos, Parking turismos, Box presión, Aspiradores, Solred cheque lavado, Waylet pago en caja, Punto recarga eléctrico Repsol</t>
  </si>
  <si>
    <t>0063224539</t>
  </si>
  <si>
    <t>E.S. GEMMA RIVERA MORE</t>
  </si>
  <si>
    <t>CASTEJON DE SOS</t>
  </si>
  <si>
    <t>CR N-260  EJE PIRENAICO, 385,5</t>
  </si>
  <si>
    <t>0.482389, 42.513</t>
  </si>
  <si>
    <t>22466</t>
  </si>
  <si>
    <t>33013</t>
  </si>
  <si>
    <t>0063167852</t>
  </si>
  <si>
    <t>ES INGENIUS DEVELOPMENT SL</t>
  </si>
  <si>
    <t>CL PADRE MENDEZ, S.N.</t>
  </si>
  <si>
    <t>-2.446722, 36.839444</t>
  </si>
  <si>
    <t>04006</t>
  </si>
  <si>
    <t>Cafetería/Bar, Lavado cepillos, Parking turismos, Box presión, Aspiradores, Solred cheque lavado, Waylet pago en caja, Adblue Envasado, Punto recarga eléctrico Repsol, Lavados Klin</t>
  </si>
  <si>
    <t>34569</t>
  </si>
  <si>
    <t>0183058924</t>
  </si>
  <si>
    <t>E.S. CORTES DAVILA MIGUEL ANGEL</t>
  </si>
  <si>
    <t>LA MELGOSA</t>
  </si>
  <si>
    <t>CR N-320, 131,4</t>
  </si>
  <si>
    <t>-2.107139, 40.011694</t>
  </si>
  <si>
    <t>16193</t>
  </si>
  <si>
    <t>37004</t>
  </si>
  <si>
    <t>0183102284</t>
  </si>
  <si>
    <t>ES CATOALC CARBURANTES SOCIEDAD LIM</t>
  </si>
  <si>
    <t>CANALS</t>
  </si>
  <si>
    <t>CL AVDA. CORTES VALENCIANAS, S.N.</t>
  </si>
  <si>
    <t>-0.588222, 38.959</t>
  </si>
  <si>
    <t>46650</t>
  </si>
  <si>
    <t>L-V: 07:00-21:00; S: 08:00-21:00; D: 08:00-14:00 y 16:00-21:00</t>
  </si>
  <si>
    <t>97175</t>
  </si>
  <si>
    <t>0183135235</t>
  </si>
  <si>
    <t>ES ALMURADIEL DE</t>
  </si>
  <si>
    <t>ALMURADIEL</t>
  </si>
  <si>
    <t>CR N-4, 232,5 M.D.</t>
  </si>
  <si>
    <t>-3.497778, 38.508444</t>
  </si>
  <si>
    <t>13760</t>
  </si>
  <si>
    <t>Restaurante, Cafetería/Bar, Parking turismos, Zona de descanso, Waylet pago en caja</t>
  </si>
  <si>
    <t>33841</t>
  </si>
  <si>
    <t>0063192694</t>
  </si>
  <si>
    <t>E.S. MOSYPER GESTION SL</t>
  </si>
  <si>
    <t>PONTE CARREIRAS</t>
  </si>
  <si>
    <t>CR N-634, 688</t>
  </si>
  <si>
    <t>-8.237417, 43.028083</t>
  </si>
  <si>
    <t>15686</t>
  </si>
  <si>
    <t>33758</t>
  </si>
  <si>
    <t>0183009513</t>
  </si>
  <si>
    <t>PAREDES DE NAVA</t>
  </si>
  <si>
    <t>CR CIRCUNVALACION, S.N.</t>
  </si>
  <si>
    <t>-4.692333, 42.156778</t>
  </si>
  <si>
    <t>34300</t>
  </si>
  <si>
    <t>L-V: 07:00-20:00; S: 08:00-15:00</t>
  </si>
  <si>
    <t>Taller mecánico, Taller neumáticos, Taller eléctrico, Waylet pago en surtidor, Waylet pago en caja</t>
  </si>
  <si>
    <t>33666</t>
  </si>
  <si>
    <t>0063204739</t>
  </si>
  <si>
    <t>E.S. C.E.EMPL. ASPACE-RIOJA,S.L.</t>
  </si>
  <si>
    <t>CENICERO</t>
  </si>
  <si>
    <t>CR N-232, 429,2</t>
  </si>
  <si>
    <t>-2.652472, 42.483194</t>
  </si>
  <si>
    <t>26350</t>
  </si>
  <si>
    <t>Restaurante, Cafetería/Bar, Aspiradores, Waylet pago en caja</t>
  </si>
  <si>
    <t>04191</t>
  </si>
  <si>
    <t>0183055995</t>
  </si>
  <si>
    <t>ES EL CARPIO</t>
  </si>
  <si>
    <t>CARPIO, EL</t>
  </si>
  <si>
    <t>CR N-4, 372</t>
  </si>
  <si>
    <t>-4.492167, 37.943</t>
  </si>
  <si>
    <t>14620</t>
  </si>
  <si>
    <t>EFITEC 95 N - España, Efitec 95 Premium, DIESEL E+ NEO - España, DIESEL E+10 NEO - España, BLUE+GRANEL - España</t>
  </si>
  <si>
    <t>33919</t>
  </si>
  <si>
    <t>0183002450</t>
  </si>
  <si>
    <t>E.S. JAIME I, SA.</t>
  </si>
  <si>
    <t>MONZON</t>
  </si>
  <si>
    <t>CL AVENIDA LERIDA, 31</t>
  </si>
  <si>
    <t>0.19675, 41.911056</t>
  </si>
  <si>
    <t>22400</t>
  </si>
  <si>
    <t>Restaurante, Cafetería/Bar, Box presión, Aspiradores, Solred cheque lavado, Waylet pago en caja</t>
  </si>
  <si>
    <t>96592</t>
  </si>
  <si>
    <t>0183108158</t>
  </si>
  <si>
    <t>E.S. IMADI SERVIOIL SL</t>
  </si>
  <si>
    <t>BARACALDO</t>
  </si>
  <si>
    <t>CL MUNOA  SN</t>
  </si>
  <si>
    <t>-2.978861, 43.280083</t>
  </si>
  <si>
    <t>48903</t>
  </si>
  <si>
    <t>33807</t>
  </si>
  <si>
    <t>0183016435</t>
  </si>
  <si>
    <t>E.S.COLMENAR</t>
  </si>
  <si>
    <t>COLMENAR</t>
  </si>
  <si>
    <t>CR A-7204 P.K. 29,600 I</t>
  </si>
  <si>
    <t>-4.344694, 36.910944</t>
  </si>
  <si>
    <t>29170</t>
  </si>
  <si>
    <t>L-V: 07:00-20:00; S-D: 08:30-14:00 y 15:30-19:00</t>
  </si>
  <si>
    <t>03768</t>
  </si>
  <si>
    <t>0108006008</t>
  </si>
  <si>
    <t>ALCORA</t>
  </si>
  <si>
    <t>CL CARRETERA DE CASTELLON, Nº 60</t>
  </si>
  <si>
    <t>-0.204972, 40.07075</t>
  </si>
  <si>
    <t>12110</t>
  </si>
  <si>
    <t>L-S: 07:00-22:00; D: 07:00-15:00</t>
  </si>
  <si>
    <t>96614</t>
  </si>
  <si>
    <t>0183107879</t>
  </si>
  <si>
    <t>ESTACIONES DE SERVICIO GIL LOPEZ SL</t>
  </si>
  <si>
    <t>-4.810028, 37.797833</t>
  </si>
  <si>
    <t>15077</t>
  </si>
  <si>
    <t>0183004621</t>
  </si>
  <si>
    <t>ES VILLAMAYOR</t>
  </si>
  <si>
    <t>VILLAMAYOR DE GALLEGO</t>
  </si>
  <si>
    <t>CR A-129, PK. 4,1</t>
  </si>
  <si>
    <t>-0.780861, 41.681361</t>
  </si>
  <si>
    <t>50162</t>
  </si>
  <si>
    <t>Parking turismos, Zona de descanso, Aspiradores, Waylet pago en surtidor, Waylet pago en caja</t>
  </si>
  <si>
    <t>12045</t>
  </si>
  <si>
    <t>0183075274</t>
  </si>
  <si>
    <t>JABALI NUEVO</t>
  </si>
  <si>
    <t>CR N-344, 4</t>
  </si>
  <si>
    <t>-1.222556, 38.0095</t>
  </si>
  <si>
    <t>30832</t>
  </si>
  <si>
    <t>97122</t>
  </si>
  <si>
    <t>0183132216</t>
  </si>
  <si>
    <t>ES ZAISA II SL</t>
  </si>
  <si>
    <t>CALLE COMETE SAREA NUM 1</t>
  </si>
  <si>
    <t>-1.753694, 43.338528</t>
  </si>
  <si>
    <t>Cafetería/Bar, Duchas, Lavandería, Waylet pago en caja, Adblue Envasado, Punto recarga eléctrico Repsol</t>
  </si>
  <si>
    <t>33271</t>
  </si>
  <si>
    <t>0063212427</t>
  </si>
  <si>
    <t>ES ALHANDIGA GAS STATIONSS S.L.</t>
  </si>
  <si>
    <t>CL AVENIDA MIRAT, 40</t>
  </si>
  <si>
    <t>-5.662806, 40.969917</t>
  </si>
  <si>
    <t>33551</t>
  </si>
  <si>
    <t>0183015494</t>
  </si>
  <si>
    <t>E.S.  ARDANTZA S.A.</t>
  </si>
  <si>
    <t>PLENTZIA</t>
  </si>
  <si>
    <t>CR BI-110, 23</t>
  </si>
  <si>
    <t>-2.943917, 43.390333</t>
  </si>
  <si>
    <t>48620</t>
  </si>
  <si>
    <t>15095</t>
  </si>
  <si>
    <t>0183018654</t>
  </si>
  <si>
    <t>ES JOSE LUIS CASALEIRO ACOSTA</t>
  </si>
  <si>
    <t>CL PASEO DE LAS DELICIAS, 1</t>
  </si>
  <si>
    <t>-6.125417, 36.681028</t>
  </si>
  <si>
    <t>15941</t>
  </si>
  <si>
    <t>0183054477</t>
  </si>
  <si>
    <t>ES DEL REY GONZALEZ SL</t>
  </si>
  <si>
    <t>JARDIN, EL</t>
  </si>
  <si>
    <t>CR N-322, 302,8</t>
  </si>
  <si>
    <t>-2.327639, 38.808528</t>
  </si>
  <si>
    <t>02340</t>
  </si>
  <si>
    <t>L-V: 07:00-17:00</t>
  </si>
  <si>
    <t>EFITEC 95 N - España, Efitec 95 Premium, Butano 12,5 Kg, DIESEL E+ NEO - España, DIESEL E+10 NEO - España, Propano 11 Kg</t>
  </si>
  <si>
    <t>04969</t>
  </si>
  <si>
    <t>0183108968</t>
  </si>
  <si>
    <t>E.S. URBICAIN, S.L.</t>
  </si>
  <si>
    <t>VERA DE BIDASOA</t>
  </si>
  <si>
    <t>CR N-121, 75</t>
  </si>
  <si>
    <t>-1.687167, 43.270833</t>
  </si>
  <si>
    <t>L-S: 07:00-22:00; D: 08:00-14:00</t>
  </si>
  <si>
    <t>07150</t>
  </si>
  <si>
    <t>0183054121</t>
  </si>
  <si>
    <t>ES ENIGMA ENERGIA 4.0, S.L.</t>
  </si>
  <si>
    <t>SOSES</t>
  </si>
  <si>
    <t>CR A-2, 447</t>
  </si>
  <si>
    <t>0.475611, 41.544528</t>
  </si>
  <si>
    <t>25181</t>
  </si>
  <si>
    <t>Restaurante, Cafetería/Bar, Lavado camiones, Parking turismos, Parking camiones, Duchas, Waylet pago en caja</t>
  </si>
  <si>
    <t>34037</t>
  </si>
  <si>
    <t>0183129907</t>
  </si>
  <si>
    <t>ES TIERRAS DE ESPAÑA SLU</t>
  </si>
  <si>
    <t>CR N-340 PK 105,00</t>
  </si>
  <si>
    <t>-5.453278, 36.118194</t>
  </si>
  <si>
    <t>11203</t>
  </si>
  <si>
    <t>L-V: 07:00-19:00; S-D: 08:00-14:00</t>
  </si>
  <si>
    <t>34287</t>
  </si>
  <si>
    <t>0063212583</t>
  </si>
  <si>
    <t>E.S. SANTA ANA</t>
  </si>
  <si>
    <t>AV. MEDINA OLMOS, 50</t>
  </si>
  <si>
    <t>-3.129389, 37.298194</t>
  </si>
  <si>
    <t>Lavado cepillos, Solred cheque lavado, Waylet pago en caja, Punto recarga eléctrico Repsol</t>
  </si>
  <si>
    <t>33045</t>
  </si>
  <si>
    <t>0183004316</t>
  </si>
  <si>
    <t>E.S. VALCARCE S.L.</t>
  </si>
  <si>
    <t>PORTELA DE VALCARCE, LA</t>
  </si>
  <si>
    <t>CR N-6, 418</t>
  </si>
  <si>
    <t>-6.921639, 42.660583</t>
  </si>
  <si>
    <t>24524</t>
  </si>
  <si>
    <t>03544</t>
  </si>
  <si>
    <t>0183058031</t>
  </si>
  <si>
    <t>ES DERIVADOS SANTA CRUZ SL</t>
  </si>
  <si>
    <t>AGREDA</t>
  </si>
  <si>
    <t>CR N-122, 102</t>
  </si>
  <si>
    <t>-1.926472, 41.853917</t>
  </si>
  <si>
    <t>42100</t>
  </si>
  <si>
    <t>96067</t>
  </si>
  <si>
    <t>0183077866</t>
  </si>
  <si>
    <t>A.S. EL ROSARIO</t>
  </si>
  <si>
    <t>VILLANUEVA DEL ROSARIO</t>
  </si>
  <si>
    <t>AT A92-M p.k. 16,7 M.D.</t>
  </si>
  <si>
    <t>-4.391583, 37.022389</t>
  </si>
  <si>
    <t>29312</t>
  </si>
  <si>
    <t>Restaurante, Cafetería/Bar, Parking turismos, Parking camiones, Zona de descanso, Box presión, Duchas, Aspiradores, Solred cheque lavado, Waylet pago en surtidor, Waylet pago en caja, Punto recarga eléctrico Repsol</t>
  </si>
  <si>
    <t>12356</t>
  </si>
  <si>
    <t>0183060706</t>
  </si>
  <si>
    <t>HIJOS DE NAVARRO ROBLES,S.L.</t>
  </si>
  <si>
    <t>JUMILLA</t>
  </si>
  <si>
    <t>CR N-344, 73,3</t>
  </si>
  <si>
    <t>-1.318139, 38.506139</t>
  </si>
  <si>
    <t>30520</t>
  </si>
  <si>
    <t>L-V: 06:00-20:00; S: 07:00-20:00; D: 08:00-20:00</t>
  </si>
  <si>
    <t>Restaurante, Cafetería/Bar, Waylet pago en caja</t>
  </si>
  <si>
    <t>97168</t>
  </si>
  <si>
    <t>0183135417</t>
  </si>
  <si>
    <t>ES ALQUERIAS</t>
  </si>
  <si>
    <t>ALQUERIAS</t>
  </si>
  <si>
    <t>CALLE CARRER MIGJORN Nº 4</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</si>
  <si>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</si>
  <si>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</si>
  <si>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</si>
  <si>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</si>
  <si>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33716</t>
  </si>
  <si>
    <t>0183004290</t>
  </si>
  <si>
    <t>ES PETROSEGRE, S.L.</t>
  </si>
  <si>
    <t>ALCOLETGE</t>
  </si>
  <si>
    <t>CR C-13, 11</t>
  </si>
  <si>
    <t>0.738083, 41.694667</t>
  </si>
  <si>
    <t>25660</t>
  </si>
  <si>
    <t>Parking turismos, Zona de descanso, Box presión, Aspiradores, Waylet pago en caja</t>
  </si>
  <si>
    <t>96052</t>
  </si>
  <si>
    <t>0183078195</t>
  </si>
  <si>
    <t>CARLOTA, LA</t>
  </si>
  <si>
    <t>CR N-4   ENLACE, 432</t>
  </si>
  <si>
    <t>-4.928111, 37.678611</t>
  </si>
  <si>
    <t>14100</t>
  </si>
  <si>
    <t>L-V: 07:00-22:00; S-D: 08:00-20:00</t>
  </si>
  <si>
    <t>Cafetería/Bar, Parking turismos, Parking camiones, Waylet pago en caja, Adblue Envasado</t>
  </si>
  <si>
    <t>96931</t>
  </si>
  <si>
    <t>0183121326</t>
  </si>
  <si>
    <t>E.S. BORAGO IZDO</t>
  </si>
  <si>
    <t>DOSBARRIOS</t>
  </si>
  <si>
    <t>CR A-4, 72 M.IZDO</t>
  </si>
  <si>
    <t>-3.477056, 39.868861</t>
  </si>
  <si>
    <t>45311</t>
  </si>
  <si>
    <t>12040</t>
  </si>
  <si>
    <t>0183060359</t>
  </si>
  <si>
    <t>E.S. ZAISA</t>
  </si>
  <si>
    <t>CL TERMINAL DE ZAISA-BEHOBIA, S.N.</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</si>
  <si>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</si>
  <si>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</si>
  <si>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</si>
  <si>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34328</t>
  </si>
  <si>
    <t>0183129949</t>
  </si>
  <si>
    <t>ES ONDA</t>
  </si>
  <si>
    <t>ONDA</t>
  </si>
  <si>
    <t>CR  CV-20  P.K. 4,9</t>
  </si>
  <si>
    <t>-0.186056, 39.952167</t>
  </si>
  <si>
    <t>12200</t>
  </si>
  <si>
    <t>33750</t>
  </si>
  <si>
    <t>0183012715</t>
  </si>
  <si>
    <t>E.S.  EL MAÑO</t>
  </si>
  <si>
    <t>CASTRIL</t>
  </si>
  <si>
    <t>CR C-330, 29,9</t>
  </si>
  <si>
    <t>-2.756306, 37.817444</t>
  </si>
  <si>
    <t>18816</t>
  </si>
  <si>
    <t>Parking turismos, Parking camiones, Zona de descanso, Box presión, Waylet pago en caja</t>
  </si>
  <si>
    <t>33866</t>
  </si>
  <si>
    <t>0183010628</t>
  </si>
  <si>
    <t>ES LAS GLORIAS E.S.P.J.</t>
  </si>
  <si>
    <t>TORRE DE SANTA MARIA</t>
  </si>
  <si>
    <t>CR EX-206, 34,7</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</si>
  <si>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</si>
  <si>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</si>
  <si>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</si>
  <si>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34472</t>
  </si>
  <si>
    <t>0183006519</t>
  </si>
  <si>
    <t>E.S. LA QUINTA PROVINCIA SCP</t>
  </si>
  <si>
    <t>ULLDECONA</t>
  </si>
  <si>
    <t>CR T-332 ULLDECONA-VINAROS S/N</t>
  </si>
  <si>
    <t>0.44275, 40.587778</t>
  </si>
  <si>
    <t>43550</t>
  </si>
  <si>
    <t>Cafetería/Bar, Parking turismos, Parking camiones, Zona de descanso, Waylet pago en caja, Adblue Envasado</t>
  </si>
  <si>
    <t>33514</t>
  </si>
  <si>
    <t>0183011055</t>
  </si>
  <si>
    <t>ES GASMOR E HIJOS S.L.</t>
  </si>
  <si>
    <t>CR C-3211, 64,8</t>
  </si>
  <si>
    <t>-1.670111, 37.622361</t>
  </si>
  <si>
    <t>L-V: 07:00-22:00; S: 07:00-14:00</t>
  </si>
  <si>
    <t>Taller eléctrico, Parking turismos, Parking camiones, Box presión, Waylet pago en caja</t>
  </si>
  <si>
    <t>33516</t>
  </si>
  <si>
    <t>0183118561</t>
  </si>
  <si>
    <t>CALLOSA DE SEGURA</t>
  </si>
  <si>
    <t>CR N-340, 692,9</t>
  </si>
  <si>
    <t>-0.927583, 38.143139</t>
  </si>
  <si>
    <t>03360</t>
  </si>
  <si>
    <t>L-V: 06:00-22:00; S: 07:00-15:00; D: 08:00-14:00</t>
  </si>
  <si>
    <t>96228</t>
  </si>
  <si>
    <t>0183059567</t>
  </si>
  <si>
    <t>E.S VIRGEN DE LA ESTRELLA,S.L.</t>
  </si>
  <si>
    <t>NAVAS DE SAN JUAN</t>
  </si>
  <si>
    <t>CL CRTA. NAVAS A PTE. ARIZA, S.N.</t>
  </si>
  <si>
    <t>-3.321861, 38.183722</t>
  </si>
  <si>
    <t>23240</t>
  </si>
  <si>
    <t>L-J: 07:00-21:00; S: 07:00-21:00; D: 07:00-14:00</t>
  </si>
  <si>
    <t>Cafetería/Bar, Box presión, Aspiradores, Waylet pago en caja</t>
  </si>
  <si>
    <t>12680</t>
  </si>
  <si>
    <t>0183076934</t>
  </si>
  <si>
    <t>E.S. ALZ BUÑOL</t>
  </si>
  <si>
    <t>AT A-3, 322</t>
  </si>
  <si>
    <t>-0.754528, 39.444778</t>
  </si>
  <si>
    <t>03973</t>
  </si>
  <si>
    <t>0183054360</t>
  </si>
  <si>
    <t>E.S. ALBERTO ANTONIO VAL MARZO</t>
  </si>
  <si>
    <t>CR N-240, 141,4</t>
  </si>
  <si>
    <t>0.205889, 41.901222</t>
  </si>
  <si>
    <t>L-S: 06:00-22:00; D: 07:00-21:00</t>
  </si>
  <si>
    <t>33431</t>
  </si>
  <si>
    <t>0183108612</t>
  </si>
  <si>
    <t>E.S. FAVIA,S.L.</t>
  </si>
  <si>
    <t>PEAL DE BECERRO</t>
  </si>
  <si>
    <t>CR JA-3120 TORREPEROGIL-PEAL, 21,6</t>
  </si>
  <si>
    <t>-3.131639, 37.915722</t>
  </si>
  <si>
    <t>23460</t>
  </si>
  <si>
    <t>Taller eléctrico, Waylet pago en caja</t>
  </si>
  <si>
    <t>11696</t>
  </si>
  <si>
    <t>0183058965</t>
  </si>
  <si>
    <t>E.S. JOMISOLEO HOSTALGAS SL</t>
  </si>
  <si>
    <t>CR A-4, 106,9</t>
  </si>
  <si>
    <t>-3.516861, 39.572333</t>
  </si>
  <si>
    <t>10993</t>
  </si>
  <si>
    <t>0183058189</t>
  </si>
  <si>
    <t>E.S. VAZQUEZ,S.L.</t>
  </si>
  <si>
    <t>CL CTRA. DE TARRAGONA, 32</t>
  </si>
  <si>
    <t>1.246944, 41.278583</t>
  </si>
  <si>
    <t>EFITEC 95 N - España, EFITEC 98 N - España, Butano 12,5 Kg, DIESEL E+ NEO - España, DIESEL E+10 NEO - España, GO-B BONIF - España, Butano 12 Kg (NEL)</t>
  </si>
  <si>
    <t>33661</t>
  </si>
  <si>
    <t>0183014927</t>
  </si>
  <si>
    <t>ES FEROSAN, SL</t>
  </si>
  <si>
    <t>PUEBLA DE DON FADRIQUE</t>
  </si>
  <si>
    <t>CR C-330, PK. 76,4</t>
  </si>
  <si>
    <t>-2.434444, 37.957222</t>
  </si>
  <si>
    <t>18820</t>
  </si>
  <si>
    <t>Restaurante, Cafetería/Bar, Aspiradores, Waylet pago en caja, Adblue Envasado, Punto recarga eléctrico Repsol</t>
  </si>
  <si>
    <t>12649</t>
  </si>
  <si>
    <t>0183118652</t>
  </si>
  <si>
    <t>E.S. GRUPO MAICAS PEIRO SLU</t>
  </si>
  <si>
    <t>SEGORBE</t>
  </si>
  <si>
    <t>CL AVENIDA MEDITERRANEO, S.N.</t>
  </si>
  <si>
    <t>-0.475833, 39.84175</t>
  </si>
  <si>
    <t>Lavado cepillos, Lavado camiones, Parking turismos, Parking camiones, Box presión, Aspiradores, Waylet pago en caja, Adblue Envasado</t>
  </si>
  <si>
    <t>34204</t>
  </si>
  <si>
    <t>0183015049</t>
  </si>
  <si>
    <t>E.S. COMBUSTIBLES PICASSENT</t>
  </si>
  <si>
    <t>PICASSENT</t>
  </si>
  <si>
    <t>CL ABADIA, 13</t>
  </si>
  <si>
    <t>-0.456472, 39.361833</t>
  </si>
  <si>
    <t>46220</t>
  </si>
  <si>
    <t>EFITEC 95 N - España, Butano 12,5 Kg, DIESEL E+ NEO - España, DIESEL NEXA 100% RENOVABLE - Esp, BLUE+GRANEL - España, Butano 12 Kg (NEL)</t>
  </si>
  <si>
    <t>33823</t>
  </si>
  <si>
    <t>0183004282</t>
  </si>
  <si>
    <t>ALBALATE DE CINCA</t>
  </si>
  <si>
    <t>CR A-1234, 28</t>
  </si>
  <si>
    <t>0.146667, 41.721833</t>
  </si>
  <si>
    <t>22534</t>
  </si>
  <si>
    <t>31312</t>
  </si>
  <si>
    <t>0183015460</t>
  </si>
  <si>
    <t>CARBURANTES GOSUPLA, S.L.</t>
  </si>
  <si>
    <t>MORON DE LA FRONTERA</t>
  </si>
  <si>
    <t>AV ALAMEDA, 49</t>
  </si>
  <si>
    <t>-5.460222, 37.121083</t>
  </si>
  <si>
    <t>41530</t>
  </si>
  <si>
    <t>96173</t>
  </si>
  <si>
    <t>0183102987</t>
  </si>
  <si>
    <t>E.S. BUENOS AIRES S.A.</t>
  </si>
  <si>
    <t>CR M-506, PK. 24,5</t>
  </si>
  <si>
    <t>-3.721639, 40.251</t>
  </si>
  <si>
    <t>Lavado camiones, Parking turismos, Box presión, Aspiradores, Waylet pago en surtidor, Waylet pago en caja</t>
  </si>
  <si>
    <t>33867</t>
  </si>
  <si>
    <t>0183011832</t>
  </si>
  <si>
    <t>ES LOS BARREROS</t>
  </si>
  <si>
    <t>LOS BARREROS</t>
  </si>
  <si>
    <t>CR MU-36F, 1,5</t>
  </si>
  <si>
    <t>-0.988278, 37.639333</t>
  </si>
  <si>
    <t>31137</t>
  </si>
  <si>
    <t>0183057447</t>
  </si>
  <si>
    <t>E.S. PUERTO LOPE GESTIONES SL</t>
  </si>
  <si>
    <t>MOCLIN</t>
  </si>
  <si>
    <t>CR N-432, 407,5</t>
  </si>
  <si>
    <t>-3.832139, 37.332944</t>
  </si>
  <si>
    <t>18247</t>
  </si>
  <si>
    <t>33345</t>
  </si>
  <si>
    <t>0183011600</t>
  </si>
  <si>
    <t>ES LA BARCA</t>
  </si>
  <si>
    <t>PEDRO MUÑOZ</t>
  </si>
  <si>
    <t>CR N-420, 311</t>
  </si>
  <si>
    <t>-2.950889, 39.406639</t>
  </si>
  <si>
    <t>13620</t>
  </si>
  <si>
    <t>96790</t>
  </si>
  <si>
    <t>0183118298</t>
  </si>
  <si>
    <t>AREA DE SERVICIO EL TOLL</t>
  </si>
  <si>
    <t>CR. CV 405 P.K. 3,5 POL.IND. TOLL D</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</si>
  <si>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</si>
  <si>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</si>
  <si>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</si>
  <si>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33078</t>
  </si>
  <si>
    <t>0183017045</t>
  </si>
  <si>
    <t>E.S. . EUMOGAS SL-TEJ.</t>
  </si>
  <si>
    <t>AV LASALLE (TEJARES), 200</t>
  </si>
  <si>
    <t>-5.693806, 40.955306</t>
  </si>
  <si>
    <t>Taller mecánico, Lavado cepillos, Box presión, Aspiradores, Solred cheque lavado, Waylet pago en caja</t>
  </si>
  <si>
    <t>93748</t>
  </si>
  <si>
    <t>0183138023</t>
  </si>
  <si>
    <t>ES  MACEIROA S.L.</t>
  </si>
  <si>
    <t>CORISTANCO</t>
  </si>
  <si>
    <t>CR C-552 P.K. 37,10 D</t>
  </si>
  <si>
    <t>-8.728639, 43.193167</t>
  </si>
  <si>
    <t>15147</t>
  </si>
  <si>
    <t>31533</t>
  </si>
  <si>
    <t>0183056993</t>
  </si>
  <si>
    <t>ES LA PALMA LLJ, S.L.</t>
  </si>
  <si>
    <t>PALMA DE CERVELLO, LA</t>
  </si>
  <si>
    <t>CR BV-2421, 2,9</t>
  </si>
  <si>
    <t>1.962917, 41.414028</t>
  </si>
  <si>
    <t>08756</t>
  </si>
  <si>
    <t>33862</t>
  </si>
  <si>
    <t>0183002666</t>
  </si>
  <si>
    <t>E.S. SURIA</t>
  </si>
  <si>
    <t>SURIA</t>
  </si>
  <si>
    <t>CR C-1410, 14</t>
  </si>
  <si>
    <t>1.756083, 41.827361</t>
  </si>
  <si>
    <t>08260</t>
  </si>
  <si>
    <t>Lavado cepillos, Parking turismos, Aspiradores, Waylet pago en caja</t>
  </si>
  <si>
    <t>96033</t>
  </si>
  <si>
    <t>0183078625</t>
  </si>
  <si>
    <t>ES CHOUSAL, SL</t>
  </si>
  <si>
    <t>SOMESO</t>
  </si>
  <si>
    <t>AVENIDA GARCIA SABELL, Nº 12 (GASOL</t>
  </si>
  <si>
    <t>-8.416333, 43.336528</t>
  </si>
  <si>
    <t>06751</t>
  </si>
  <si>
    <t>0183016559</t>
  </si>
  <si>
    <t>E.S. HIDROC.CACABELOS,S.L.</t>
  </si>
  <si>
    <t>CACABELOS</t>
  </si>
  <si>
    <t>CR N-6, 401</t>
  </si>
  <si>
    <t>-6.720333, 42.594917</t>
  </si>
  <si>
    <t>24540</t>
  </si>
  <si>
    <t>33930</t>
  </si>
  <si>
    <t>0183014877</t>
  </si>
  <si>
    <t>MIRALLES D., JOSE</t>
  </si>
  <si>
    <t>CANTAVIEJA</t>
  </si>
  <si>
    <t>CR A-227, 1,1</t>
  </si>
  <si>
    <t>-0.407417, 40.508333</t>
  </si>
  <si>
    <t>44140</t>
  </si>
  <si>
    <t>Restaurante, Cafetería/Bar, Duchas, Waylet pago en caja</t>
  </si>
  <si>
    <t>06734</t>
  </si>
  <si>
    <t>0183062918</t>
  </si>
  <si>
    <t>ES GARCIA SALAMANCA, SL</t>
  </si>
  <si>
    <t>PUEBLA DE LA CALZADA</t>
  </si>
  <si>
    <t>CL TORREMAYOR-ESTACION TALAVERA</t>
  </si>
  <si>
    <t>-6.623833, 38.891306</t>
  </si>
  <si>
    <t>06490</t>
  </si>
  <si>
    <t>33916</t>
  </si>
  <si>
    <t>0063207336</t>
  </si>
  <si>
    <t>E.S. DE GUITIRIZ</t>
  </si>
  <si>
    <t>GUITIRIZ</t>
  </si>
  <si>
    <t>CR N-6, 539,6</t>
  </si>
  <si>
    <t>-7.879917, 43.179167</t>
  </si>
  <si>
    <t>27300</t>
  </si>
  <si>
    <t>96582</t>
  </si>
  <si>
    <t>0183107895</t>
  </si>
  <si>
    <t>ES AGP BOLSKAN</t>
  </si>
  <si>
    <t>CL AVDA MARTINEZ VELASCO, 53</t>
  </si>
  <si>
    <t>-0.418944, 42.131139</t>
  </si>
  <si>
    <t>Restaurante, Cafetería/Bar, Lavandería, Waylet pago en caja</t>
  </si>
  <si>
    <t>12975</t>
  </si>
  <si>
    <t>0183063874</t>
  </si>
  <si>
    <t>ES ALCARRIA BUEDO, S.L.</t>
  </si>
  <si>
    <t>POZO AMARGO</t>
  </si>
  <si>
    <t>CR A-31  SALIDA 19 , P.K. 19,5</t>
  </si>
  <si>
    <t>-2.200972, 39.361667</t>
  </si>
  <si>
    <t>16708</t>
  </si>
  <si>
    <t>33793</t>
  </si>
  <si>
    <t>0183054220</t>
  </si>
  <si>
    <t>E.S. GASOMANCHUELA SL</t>
  </si>
  <si>
    <t>VILLAMALEA</t>
  </si>
  <si>
    <t>CR CM-3201, 22,7</t>
  </si>
  <si>
    <t>-1.592778, 39.366861</t>
  </si>
  <si>
    <t>02270</t>
  </si>
  <si>
    <t>Lavado cepillos, Parking turismos, Box presión, Aspiradores, Waylet pago en surtidor, Waylet pago en caja, Punto recarga eléctrico Repsol</t>
  </si>
  <si>
    <t>01130</t>
  </si>
  <si>
    <t>0183060003</t>
  </si>
  <si>
    <t>ES RIAZOIL SL</t>
  </si>
  <si>
    <t>CL AVENIDA LA HABANA PZ.PORTU, S.</t>
  </si>
  <si>
    <t>-8.414722, 43.368194</t>
  </si>
  <si>
    <t>15011</t>
  </si>
  <si>
    <t>L-S: 08:00-22:00</t>
  </si>
  <si>
    <t>34118</t>
  </si>
  <si>
    <t>0202076949</t>
  </si>
  <si>
    <t>E.S. VALMOTOR,S.A.</t>
  </si>
  <si>
    <t>ALDAYA</t>
  </si>
  <si>
    <t>CL COLAORS - SAN ONOFRE, S.N.</t>
  </si>
  <si>
    <t>-0.458472, 39.469528</t>
  </si>
  <si>
    <t>46960</t>
  </si>
  <si>
    <t>Lavado cepillos, Parking turismos, Aspiradores, Solred cheque lavado, Waylet pago en caja, Adblue Envasado, Punto recarga eléctrico Repsol, Lavados Klin</t>
  </si>
  <si>
    <t>06130</t>
  </si>
  <si>
    <t>0183059583</t>
  </si>
  <si>
    <t>GASOLINERA AUTOL, S.L.</t>
  </si>
  <si>
    <t>AUTOL</t>
  </si>
  <si>
    <t>CR LR-115, 35,4</t>
  </si>
  <si>
    <t>-1.990472, 42.213722</t>
  </si>
  <si>
    <t>26560</t>
  </si>
  <si>
    <t>L-V: 07:00-21:00; S: 08:00-14:00 y 16:30-20:30</t>
  </si>
  <si>
    <t>96615</t>
  </si>
  <si>
    <t>0183108091</t>
  </si>
  <si>
    <t>ES TALLUNTXE GUREAK SLU</t>
  </si>
  <si>
    <t>-1.634722, 42.776111</t>
  </si>
  <si>
    <t>Zona de descanso, Waylet pago en caja, Punto recarga eléctrico Repsol</t>
  </si>
  <si>
    <t>34250</t>
  </si>
  <si>
    <t>0183012392</t>
  </si>
  <si>
    <t>ES.CUATRO CAMINOS,SA</t>
  </si>
  <si>
    <t>CL RONDA REUS, 31</t>
  </si>
  <si>
    <t>0.522667, 40.808083</t>
  </si>
  <si>
    <t>33513</t>
  </si>
  <si>
    <t>0183052869</t>
  </si>
  <si>
    <t>FUENTE CASAMAYOR, SL</t>
  </si>
  <si>
    <t>ALBERCA DE ZANCARA</t>
  </si>
  <si>
    <t>CR CM-3110, 30,6</t>
  </si>
  <si>
    <t>-2.487694, 39.520639</t>
  </si>
  <si>
    <t>16620</t>
  </si>
  <si>
    <t>L-S: 08:00-14:00 y 15:00-20:00; D: 08:00-14:00</t>
  </si>
  <si>
    <t>33985</t>
  </si>
  <si>
    <t>0183004357</t>
  </si>
  <si>
    <t>RALLY S.A. ESTE</t>
  </si>
  <si>
    <t>CR C-260, 28</t>
  </si>
  <si>
    <t>2.951028, 42.279278</t>
  </si>
  <si>
    <t>34218</t>
  </si>
  <si>
    <t>0183012046</t>
  </si>
  <si>
    <t>ES NACIMIENTO</t>
  </si>
  <si>
    <t>NACIMIENTO</t>
  </si>
  <si>
    <t>CR A-92  P.K. 356,2 (SALIDA 354)</t>
  </si>
  <si>
    <t>-2.618361, 37.112528</t>
  </si>
  <si>
    <t>04540</t>
  </si>
  <si>
    <t>13393</t>
  </si>
  <si>
    <t>0183076074</t>
  </si>
  <si>
    <t>ES PETRODIS S.L.</t>
  </si>
  <si>
    <t>VILLAMAYOR</t>
  </si>
  <si>
    <t>CR C-300, PK. 5,4</t>
  </si>
  <si>
    <t>-5.687889, 40.989583</t>
  </si>
  <si>
    <t>37185</t>
  </si>
  <si>
    <t>0183056340</t>
  </si>
  <si>
    <t>GR-30 SALIDA 4 MARGEN IZDO</t>
  </si>
  <si>
    <t>-3.643444, 37.235583</t>
  </si>
  <si>
    <t>Lavado cepillos, Parking turismos, Parking camiones, Box presión, Aspiradores, Solred cheque lavado, Waylet pago en surtidor, Waylet pago en caja, Adblue Envasado</t>
  </si>
  <si>
    <t>34201</t>
  </si>
  <si>
    <t>0183011394</t>
  </si>
  <si>
    <t>E.S.  MEDINA Y VALERO</t>
  </si>
  <si>
    <t>AYORA</t>
  </si>
  <si>
    <t>CL VIRGEN DEL ROSARIO, S.N.</t>
  </si>
  <si>
    <t>-1.053306, 39.059722</t>
  </si>
  <si>
    <t>46620</t>
  </si>
  <si>
    <t>Lavado cepillos, Box presión, Aspiradores, Solred cheque lavado, Waylet pago en caja, Adblue Envasado, Punto recarga eléctrico Repsol</t>
  </si>
  <si>
    <t>31010</t>
  </si>
  <si>
    <t>0183017250</t>
  </si>
  <si>
    <t>ES ADRIA SOLE GIRALT</t>
  </si>
  <si>
    <t>SANT LLORENÇ DE MORU</t>
  </si>
  <si>
    <t>CR L-4241, 32</t>
  </si>
  <si>
    <t>1.591778, 42.136056</t>
  </si>
  <si>
    <t>25282</t>
  </si>
  <si>
    <t>11675</t>
  </si>
  <si>
    <t>0183056803</t>
  </si>
  <si>
    <t>ES GRUPO MAICAS PEIRO</t>
  </si>
  <si>
    <t>MONTESA</t>
  </si>
  <si>
    <t>CR NACIONAL 430 SDO VALENCIA KM, 35</t>
  </si>
  <si>
    <t>-0.662611, 38.929444</t>
  </si>
  <si>
    <t>46692</t>
  </si>
  <si>
    <t>96528</t>
  </si>
  <si>
    <t>0183107796</t>
  </si>
  <si>
    <t>GLEM S.L SAX</t>
  </si>
  <si>
    <t>SAX</t>
  </si>
  <si>
    <t>PJ DE LAS SUERTES, S</t>
  </si>
  <si>
    <t>-0.810722, 38.535</t>
  </si>
  <si>
    <t>03630</t>
  </si>
  <si>
    <t>34231</t>
  </si>
  <si>
    <t>0183017896</t>
  </si>
  <si>
    <t>ES GEX SL</t>
  </si>
  <si>
    <t>CR N-340, 1167</t>
  </si>
  <si>
    <t>1.296972, 41.128778</t>
  </si>
  <si>
    <t>Restaurante, Cafetería/Bar, Parking turismos, Waylet pago en surtidor, Waylet pago en caja, Adblue Envasado</t>
  </si>
  <si>
    <t>00974</t>
  </si>
  <si>
    <t>0183106434</t>
  </si>
  <si>
    <t>A.S. AREA DE SERVICIO EL CUERVO</t>
  </si>
  <si>
    <t>CUERVO, EL</t>
  </si>
  <si>
    <t>CR N-4, 615,9</t>
  </si>
  <si>
    <t>-6.040611, 36.853167</t>
  </si>
  <si>
    <t>41749</t>
  </si>
  <si>
    <t>L-S: 06:00-22:00; D: 08:00-14:00</t>
  </si>
  <si>
    <t>31076</t>
  </si>
  <si>
    <t>0132001850</t>
  </si>
  <si>
    <t>ES BISONTENERGY CHICLANA</t>
  </si>
  <si>
    <t>CHICLANA DE LA FRONT</t>
  </si>
  <si>
    <t>AVDA REYES CATOLICOS Nº 16</t>
  </si>
  <si>
    <t>-6.143028, 36.415417</t>
  </si>
  <si>
    <t>Lavado cepillos, Parking turismos, Box presión, Aspiradores, Solred cheque lavado, Waylet pago en caja, Adblue Envasado, Punto recarga eléctrico Repsol, Lavados Klin</t>
  </si>
  <si>
    <t>31000</t>
  </si>
  <si>
    <t>0183054600</t>
  </si>
  <si>
    <t>E.S. SANTA ANNA.</t>
  </si>
  <si>
    <t>SANT FRUITOS DE BAGES</t>
  </si>
  <si>
    <t>CR C-1411, 35,6</t>
  </si>
  <si>
    <t>1.881472, 41.773139</t>
  </si>
  <si>
    <t>05949</t>
  </si>
  <si>
    <t>0183003425</t>
  </si>
  <si>
    <t>E.S. NAVAS AGUEDA S.L.</t>
  </si>
  <si>
    <t>CR N-122, 146</t>
  </si>
  <si>
    <t>-2.404778, 41.761917</t>
  </si>
  <si>
    <t>42005</t>
  </si>
  <si>
    <t>L-V: 08:00-21:00</t>
  </si>
  <si>
    <t>34112</t>
  </si>
  <si>
    <t>0183008499</t>
  </si>
  <si>
    <t>ES CODISOIL TORDESILLAS</t>
  </si>
  <si>
    <t>TORDESILLAS-ES</t>
  </si>
  <si>
    <t>AV DE PORTUGAL, 7</t>
  </si>
  <si>
    <t>-5.004333, 41.501278</t>
  </si>
  <si>
    <t>47100</t>
  </si>
  <si>
    <t>EFITEC 95 N - España, Efitec 95 Premium, EFITEC 98 N - España, DIESEL E+ NEO - España, Diésel e+5, DIESEL E+10 NEO - España, Propano 11 Kg, BLUE+GRANEL - España, Butano 12 Kg (NEL)</t>
  </si>
  <si>
    <t>33849</t>
  </si>
  <si>
    <t>0183004407</t>
  </si>
  <si>
    <t>CURRO</t>
  </si>
  <si>
    <t>CR PO-531 P.K. 8,3 MD</t>
  </si>
  <si>
    <t>-8.656444, 42.501889</t>
  </si>
  <si>
    <t>36692</t>
  </si>
  <si>
    <t>Box presión, Aspiradores, Solred cheque lavado, Waylet pago en caja, Adblue Envasado</t>
  </si>
  <si>
    <t>06738</t>
  </si>
  <si>
    <t>0183063304</t>
  </si>
  <si>
    <t>ES GRC INTEGRA SL</t>
  </si>
  <si>
    <t>VILLACARRILLO</t>
  </si>
  <si>
    <t>CL GOMEZ DE LLANO, SN.</t>
  </si>
  <si>
    <t>-3.077972, 38.119306</t>
  </si>
  <si>
    <t>23300</t>
  </si>
  <si>
    <t>L-V: 07:30-14:30 y 17:00-21:00; S: 08:00-14:00</t>
  </si>
  <si>
    <t>34515</t>
  </si>
  <si>
    <t>0183014315</t>
  </si>
  <si>
    <t>ES LEGESTIONA SL</t>
  </si>
  <si>
    <t>COLMENAR DE OREJA</t>
  </si>
  <si>
    <t>CL MADRID, 1</t>
  </si>
  <si>
    <t>-3.391, 40.11225</t>
  </si>
  <si>
    <t>28380</t>
  </si>
  <si>
    <t>05877</t>
  </si>
  <si>
    <t>0183050897</t>
  </si>
  <si>
    <t>E.S. JAVIER POYATOS PERAFORT</t>
  </si>
  <si>
    <t>PERAFORT</t>
  </si>
  <si>
    <t>CR N-240, 7</t>
  </si>
  <si>
    <t>1.242806, 41.189361</t>
  </si>
  <si>
    <t>43152</t>
  </si>
  <si>
    <t>L-V: 07:00-19:00; S: 09:00-14:00</t>
  </si>
  <si>
    <t>EFITEC 95 N - España, EFITEC 98 N - España, Butano 12,5 Kg, DIESEL E+ NEO - España, Diésel e+5, DIESEL NEXA 100% RENOVABLE - Esp, GO-B BONIF - España, Propano 11 Kg</t>
  </si>
  <si>
    <t>92229</t>
  </si>
  <si>
    <t>0183137918</t>
  </si>
  <si>
    <t>ES BISONTE ENERGY ALCOY</t>
  </si>
  <si>
    <t>CALLE ALACANT, Nº 62</t>
  </si>
  <si>
    <t>-0.479611, 38.688639</t>
  </si>
  <si>
    <t>33072</t>
  </si>
  <si>
    <t>0183006576</t>
  </si>
  <si>
    <t>E.S. SALMIGAS LEVANTE SL</t>
  </si>
  <si>
    <t>CL PASEO ALFONSO XIII, S.N.</t>
  </si>
  <si>
    <t>-0.971861, 37.607639</t>
  </si>
  <si>
    <t>30203</t>
  </si>
  <si>
    <t>Lavado cepillos, Parking turismos, Box presión, Aspiradores, Waylet pago en surtidor, Waylet pago en caja, Lavados Klin</t>
  </si>
  <si>
    <t>11376</t>
  </si>
  <si>
    <t>0183019249</t>
  </si>
  <si>
    <t>ESTACIONES DE SERVICIO EL BRUCH S.A</t>
  </si>
  <si>
    <t>POBLA DE MAFUMET, LA</t>
  </si>
  <si>
    <t>CL TA-750, 1,9</t>
  </si>
  <si>
    <t>1.219806, 41.186194</t>
  </si>
  <si>
    <t>43140</t>
  </si>
  <si>
    <t>L: 00:05-23:00</t>
  </si>
  <si>
    <t>Cafetería/Bar, Lavado cepillos, Parking turismos, Zona de descanso, Aspiradores, Waylet pago en surtidor, Waylet pago en caja, Punto recarga eléctrico Repsol</t>
  </si>
  <si>
    <t>11277</t>
  </si>
  <si>
    <t>0183105188</t>
  </si>
  <si>
    <t>ES CENTRO ESPECIAL EMPLEO ASPACE-RI</t>
  </si>
  <si>
    <t>PRADEJON</t>
  </si>
  <si>
    <t>CR LR-280, 0,8</t>
  </si>
  <si>
    <t>-2.050417, 42.325472</t>
  </si>
  <si>
    <t>26510</t>
  </si>
  <si>
    <t>97065</t>
  </si>
  <si>
    <t>0183128149</t>
  </si>
  <si>
    <t>E.S. FATINAFAR</t>
  </si>
  <si>
    <t>CTRA MALAGA KM 142</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</si>
  <si>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</si>
  <si>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</si>
  <si>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</si>
  <si>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</si>
  <si>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07432</t>
  </si>
  <si>
    <t>0183011352</t>
  </si>
  <si>
    <t>ES GALURESA LA TABLILLA</t>
  </si>
  <si>
    <t>TORDOYA</t>
  </si>
  <si>
    <t>CR AC-413, 13</t>
  </si>
  <si>
    <t>-8.533417, 43.130278</t>
  </si>
  <si>
    <t>15683</t>
  </si>
  <si>
    <t>11375</t>
  </si>
  <si>
    <t>0183137348</t>
  </si>
  <si>
    <t>CARBURANTES Y SERVICIOS GARCERAN.</t>
  </si>
  <si>
    <t>PLAZA INGENIERO JUAN DE LA CIERVA,</t>
  </si>
  <si>
    <t>-1.133472, 37.976583</t>
  </si>
  <si>
    <t>30002</t>
  </si>
  <si>
    <t>02315</t>
  </si>
  <si>
    <t>0183050814</t>
  </si>
  <si>
    <t>E.S. SANTIAGO GARCIA CARLOS</t>
  </si>
  <si>
    <t>OLMEDO</t>
  </si>
  <si>
    <t>CR N-601, 149</t>
  </si>
  <si>
    <t>-4.681167, 41.287889</t>
  </si>
  <si>
    <t>47410</t>
  </si>
  <si>
    <t>96648</t>
  </si>
  <si>
    <t>0183111319</t>
  </si>
  <si>
    <t>ES CODISOIL ALDEANUEVA</t>
  </si>
  <si>
    <t>ALDEANUEVA DE FIGUEROA</t>
  </si>
  <si>
    <t>CR  A-62 , P.K. 214 MD</t>
  </si>
  <si>
    <t>-5.488667, 41.138028</t>
  </si>
  <si>
    <t>37429</t>
  </si>
  <si>
    <t>06741</t>
  </si>
  <si>
    <t>0183055136</t>
  </si>
  <si>
    <t>ES Mª ANGELES ALONSO PERTIERRA</t>
  </si>
  <si>
    <t>TINEO</t>
  </si>
  <si>
    <t>CL GONZALEZ MAYO S.N.</t>
  </si>
  <si>
    <t>-6.4175, 43.335</t>
  </si>
  <si>
    <t>33870</t>
  </si>
  <si>
    <t>07641</t>
  </si>
  <si>
    <t>0063224513</t>
  </si>
  <si>
    <t>AGP BARBASTRO</t>
  </si>
  <si>
    <t>CR N-240, 161,1</t>
  </si>
  <si>
    <t>0.105583, 42.033972</t>
  </si>
  <si>
    <t>12560</t>
  </si>
  <si>
    <t>0183059104</t>
  </si>
  <si>
    <t>ES CAÑO DORADO S.L.</t>
  </si>
  <si>
    <t>LA PEDRAJA DE PORTILLO</t>
  </si>
  <si>
    <t>CR N-601, PK. 173,8</t>
  </si>
  <si>
    <t>-4.690083, 41.508972</t>
  </si>
  <si>
    <t>47196</t>
  </si>
  <si>
    <t>Restaurante, Cafetería/Bar, Lavado cepillos, Lavado camiones, Parking camiones, Box presión, Aspiradores, Solred cheque lavado, Waylet pago en caja, Adblue Envasado</t>
  </si>
  <si>
    <t>15592</t>
  </si>
  <si>
    <t>0041137548</t>
  </si>
  <si>
    <t>E.S. AMPEMAR 2014 SL</t>
  </si>
  <si>
    <t>CR N-301, 441,2</t>
  </si>
  <si>
    <t>-0.997917, 37.621028</t>
  </si>
  <si>
    <t>30205</t>
  </si>
  <si>
    <t>96249</t>
  </si>
  <si>
    <t>0183079391</t>
  </si>
  <si>
    <t>E.S. GUREAK ZERBITZUGUNEAK MIRAMON</t>
  </si>
  <si>
    <t>PG MIRAMON P.K.1200-GI3401 DCHA, SN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</si>
  <si>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</si>
  <si>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</si>
  <si>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</si>
  <si>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</si>
  <si>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13396</t>
  </si>
  <si>
    <t>0183017474</t>
  </si>
  <si>
    <t>E.S. MAGDALENA C.B.</t>
  </si>
  <si>
    <t>OÑATI</t>
  </si>
  <si>
    <t>CR GI-2630, 19,8</t>
  </si>
  <si>
    <t>-2.435417, 43.053583</t>
  </si>
  <si>
    <t>20560</t>
  </si>
  <si>
    <t>Lavado cepillos, Lavado camiones, Parking turismos, Box presión, Aspiradores, Solred cheque lavado, Waylet pago en caja, Adblue Envasado</t>
  </si>
  <si>
    <t>34027</t>
  </si>
  <si>
    <t>0183058890</t>
  </si>
  <si>
    <t>E.S. CHOUSAL SL</t>
  </si>
  <si>
    <t>CR C-646, 3  D</t>
  </si>
  <si>
    <t>-8.2195, 43.512167</t>
  </si>
  <si>
    <t>34537</t>
  </si>
  <si>
    <t>0183053743</t>
  </si>
  <si>
    <t>RAMIBEN SADAD COOP</t>
  </si>
  <si>
    <t>CASTIBLANCO DE LOS A</t>
  </si>
  <si>
    <t>CR SE-433, 35</t>
  </si>
  <si>
    <t>-5.988222, 37.669889</t>
  </si>
  <si>
    <t>41230</t>
  </si>
  <si>
    <t>L: 06:00-21:00</t>
  </si>
  <si>
    <t>97180</t>
  </si>
  <si>
    <t>0183136373</t>
  </si>
  <si>
    <t>ES LA RAMBLA</t>
  </si>
  <si>
    <t>RAMBLA, LA</t>
  </si>
  <si>
    <t>A-45 PK 21,6</t>
  </si>
  <si>
    <t>-4.73775, 37.643111</t>
  </si>
  <si>
    <t>14540</t>
  </si>
  <si>
    <t>04991</t>
  </si>
  <si>
    <t>0183004167</t>
  </si>
  <si>
    <t>ES CARAMANZANA MARKETING Y MEDIOAMB</t>
  </si>
  <si>
    <t>CAÑIZAL</t>
  </si>
  <si>
    <t>CR N-620, 203  D</t>
  </si>
  <si>
    <t>-5.368611, 41.171389</t>
  </si>
  <si>
    <t>49440</t>
  </si>
  <si>
    <t>L-V: 07:00-19:00; S-D: 09:00-19:00</t>
  </si>
  <si>
    <t>12593</t>
  </si>
  <si>
    <t>0183060557</t>
  </si>
  <si>
    <t>ES ALARCOS</t>
  </si>
  <si>
    <t>CR N-430, PK 304,4</t>
  </si>
  <si>
    <t>-3.958361, 38.9745</t>
  </si>
  <si>
    <t>L-V: 07:00-21:00; S-D: 08:00-16:00</t>
  </si>
  <si>
    <t>Box presión, Duchas, Waylet pago en caja</t>
  </si>
  <si>
    <t>02348</t>
  </si>
  <si>
    <t>0183017029</t>
  </si>
  <si>
    <t>ES ARISTOIL GLOBAL, SL</t>
  </si>
  <si>
    <t>VILLALON DE CAMPOS</t>
  </si>
  <si>
    <t>CR N-610, 44,7</t>
  </si>
  <si>
    <t>-5.032389, 42.098056</t>
  </si>
  <si>
    <t>47600</t>
  </si>
  <si>
    <t>L-V: 07:30-21:30; S: 08:00-15:00</t>
  </si>
  <si>
    <t>96624</t>
  </si>
  <si>
    <t>0183108687</t>
  </si>
  <si>
    <t>ES VIRGEN DE LA PEÑA SANTIAGO DE CA</t>
  </si>
  <si>
    <t>CARTES</t>
  </si>
  <si>
    <t>CR N-611 ANTIGUA CTRA 182</t>
  </si>
  <si>
    <t>-4.0655, 43.331556</t>
  </si>
  <si>
    <t>39311</t>
  </si>
  <si>
    <t>L-V: 07:30-22:00; S-D: 08:00-22:00</t>
  </si>
  <si>
    <t>Parking turismos, Waylet pago en surtidor, Waylet pago en caja, Adblue Envasado</t>
  </si>
  <si>
    <t>34049</t>
  </si>
  <si>
    <t>0183007335</t>
  </si>
  <si>
    <t>E.S. EL JARDIN S.L.</t>
  </si>
  <si>
    <t>RIBADEO</t>
  </si>
  <si>
    <t>CR N-642, 10</t>
  </si>
  <si>
    <t>-7.05425, 43.538333</t>
  </si>
  <si>
    <t>27700</t>
  </si>
  <si>
    <t>96059</t>
  </si>
  <si>
    <t>0183077908</t>
  </si>
  <si>
    <t>E.S. LA GLORIA S.L.</t>
  </si>
  <si>
    <t>CHURRIANA DE LA VEGA</t>
  </si>
  <si>
    <t>GR SO-10  SURRIANA DE LA VEGA, 2</t>
  </si>
  <si>
    <t>-3.651306, 37.146639</t>
  </si>
  <si>
    <t>18194</t>
  </si>
  <si>
    <t>33212</t>
  </si>
  <si>
    <t>0183055284</t>
  </si>
  <si>
    <t>CR A-4, 23,3 MD</t>
  </si>
  <si>
    <t>-3.685278, 40.218333</t>
  </si>
  <si>
    <t>33809</t>
  </si>
  <si>
    <t>0183055250</t>
  </si>
  <si>
    <t>ESTACIONES DE SERVICIO IGLESIAS, SL</t>
  </si>
  <si>
    <t>VILLA DE CRUCES</t>
  </si>
  <si>
    <t>CL VAZQUEZ , 39</t>
  </si>
  <si>
    <t>-8.166444, 42.793361</t>
  </si>
  <si>
    <t>36590</t>
  </si>
  <si>
    <t>Taller mecánico, Taller neumáticos, Box presión, Aspiradores, Waylet pago en surtidor, Waylet pago en caja, Punto recarga eléctrico Repsol</t>
  </si>
  <si>
    <t>00331</t>
  </si>
  <si>
    <t>0183012475</t>
  </si>
  <si>
    <t>U.S. PAROSTOIL SL</t>
  </si>
  <si>
    <t>CL PASEO DE LAS ROSA S/N</t>
  </si>
  <si>
    <t>-4.016667, 39.860944</t>
  </si>
  <si>
    <t>45006</t>
  </si>
  <si>
    <t>02616</t>
  </si>
  <si>
    <t>0183053891</t>
  </si>
  <si>
    <t>ES CUATRO CAMINOS SA</t>
  </si>
  <si>
    <t>CL AVENIDA DE LA RAPITA, 141</t>
  </si>
  <si>
    <t>0.579861, 40.705944</t>
  </si>
  <si>
    <t>L: 08:00-13:30 y 16:30-20:00</t>
  </si>
  <si>
    <t>Lavado cepillos, Lavado camiones, Waylet pago en caja, Punto recarga eléctrico Repsol</t>
  </si>
  <si>
    <t>03579</t>
  </si>
  <si>
    <t>0183056324</t>
  </si>
  <si>
    <t>ES CALAMOCHA</t>
  </si>
  <si>
    <t>CALAMOCHA</t>
  </si>
  <si>
    <t>AVENIDA ESTACION NUEVA, 2</t>
  </si>
  <si>
    <t>-1.298306, 40.913361</t>
  </si>
  <si>
    <t>44200</t>
  </si>
  <si>
    <t>X-J: 07:00-08:00 y 19:00-23:00; V: 07:00-08:00 y 13:00-23:00</t>
  </si>
  <si>
    <t>Lavado cepillos, Aspiradores, Waylet pago en surtidor, Waylet pago en caja, Adblue Envasado, Punto recarga eléctrico Repsol</t>
  </si>
  <si>
    <t>31347</t>
  </si>
  <si>
    <t>0183054915</t>
  </si>
  <si>
    <t>E.S. ESTACIONES CONVENIENCE Y SERVI</t>
  </si>
  <si>
    <t>PUENTE TOCINO</t>
  </si>
  <si>
    <t>CR L-2F *PUENTE TOCINOS*, 5</t>
  </si>
  <si>
    <t>-1.082, 37.999806</t>
  </si>
  <si>
    <t>30006</t>
  </si>
  <si>
    <t>34410</t>
  </si>
  <si>
    <t>0183013556</t>
  </si>
  <si>
    <t>E.S JUAN VICTOR CIVANTOS ALCAZAR</t>
  </si>
  <si>
    <t>ZUBIA, LA</t>
  </si>
  <si>
    <t>CR GR-0  GRANADA-LA ZUBIA, 2</t>
  </si>
  <si>
    <t>-3.586694, 37.132028</t>
  </si>
  <si>
    <t>18140</t>
  </si>
  <si>
    <t>34064</t>
  </si>
  <si>
    <t>0183014281</t>
  </si>
  <si>
    <t>GASOLINERA SESTAO,S.L.</t>
  </si>
  <si>
    <t>CL GRUPO LA PAZ, 1</t>
  </si>
  <si>
    <t>-3.0105, 43.313194</t>
  </si>
  <si>
    <t>L-D: 07:00-20:30</t>
  </si>
  <si>
    <t>Taller mecánico, Taller neumáticos, Lavado cepillos, Aspiradores, Solred cheque lavado, Waylet pago en caja</t>
  </si>
  <si>
    <t>06430</t>
  </si>
  <si>
    <t>0183008119</t>
  </si>
  <si>
    <t>E.S. EL PARETON,S.L.</t>
  </si>
  <si>
    <t>PARETON, EL</t>
  </si>
  <si>
    <t>CR MU-3315 EL PARETON, 9</t>
  </si>
  <si>
    <t>-1.415639, 37.717639</t>
  </si>
  <si>
    <t>30858</t>
  </si>
  <si>
    <t>Lavado camiones, Parking turismos, Parking camiones, Box presión, Aspiradores, Solred cheque lavado, Waylet pago en caja, Lavados Klin</t>
  </si>
  <si>
    <t>33308</t>
  </si>
  <si>
    <t>0183019199</t>
  </si>
  <si>
    <t>ENERGIA VERDE EN RUTA, S.L.</t>
  </si>
  <si>
    <t>AV. CONSTITUCIÓN S/N ESQ AV. M. LLA</t>
  </si>
  <si>
    <t>-5.668472, 43.534333</t>
  </si>
  <si>
    <t>33208</t>
  </si>
  <si>
    <t>34628</t>
  </si>
  <si>
    <t>0183057603</t>
  </si>
  <si>
    <t>E.S. AS NEVES, S.L.</t>
  </si>
  <si>
    <t>AS NEVES</t>
  </si>
  <si>
    <t>CL CRTA. ENTRECINES-LAREDO, S.N.</t>
  </si>
  <si>
    <t>-8.422778, 42.092083</t>
  </si>
  <si>
    <t>36440</t>
  </si>
  <si>
    <t>34129</t>
  </si>
  <si>
    <t>0183004688</t>
  </si>
  <si>
    <t>CR GI-2132, 0,4 M.D.</t>
  </si>
  <si>
    <t>-2.000944, 43.277667</t>
  </si>
  <si>
    <t>Cafetería/Bar, Box presión, Aspiradores, Solred cheque lavado, Waylet pago en caja</t>
  </si>
  <si>
    <t>33801</t>
  </si>
  <si>
    <t>0063201438</t>
  </si>
  <si>
    <t>E.S. AMADO,S.L.</t>
  </si>
  <si>
    <t>CASINOS</t>
  </si>
  <si>
    <t>CR CV-35 ,P.K. 38</t>
  </si>
  <si>
    <t>-0.712083, 39.697056</t>
  </si>
  <si>
    <t>46171</t>
  </si>
  <si>
    <t>L-V: 07:00-19:00</t>
  </si>
  <si>
    <t>Restaurante, Taller mecánico, Taller neumáticos, Parking turismos, Parking camiones, Box presión, Aspiradores, Waylet pago en caja</t>
  </si>
  <si>
    <t>12563</t>
  </si>
  <si>
    <t>0183061118</t>
  </si>
  <si>
    <t>E.S. SAN ELOY</t>
  </si>
  <si>
    <t>GUADALCACIN</t>
  </si>
  <si>
    <t>CR P-0435, 0.5</t>
  </si>
  <si>
    <t>-6.089194, 36.711556</t>
  </si>
  <si>
    <t>11591</t>
  </si>
  <si>
    <t>EFITEC 95 N - España, Efitec 95 Premium, Butano 12,5 Kg, DIESEL E+ NEO - España, DIESEL NEXA 100% RENOVABLE - Esp, GO-B BONIF - España, Propano 11 Kg, BLUE+GRANEL - España</t>
  </si>
  <si>
    <t>96061</t>
  </si>
  <si>
    <t>0183079623</t>
  </si>
  <si>
    <t>E.S. ROMEU-REIXACH SL</t>
  </si>
  <si>
    <t>CR C-153 PGNO. MALLOLES 2,7</t>
  </si>
  <si>
    <t>2.277472, 41.952222</t>
  </si>
  <si>
    <t>L-V: 05:00-21:00; S-D: 06:00-21:00</t>
  </si>
  <si>
    <t>Cafetería/Bar, Parking turismos, Box presión, Aspiradores, Waylet pago en caja, Punto recarga eléctrico Repsol, Recarga eléctrica</t>
  </si>
  <si>
    <t>33616</t>
  </si>
  <si>
    <t>0063193528</t>
  </si>
  <si>
    <t>E.S. HERRERO, S. L.</t>
  </si>
  <si>
    <t>CL CORONA DE ARAGON, 52</t>
  </si>
  <si>
    <t>0.128194, 42.034694</t>
  </si>
  <si>
    <t>92552</t>
  </si>
  <si>
    <t>0183136506</t>
  </si>
  <si>
    <t>ES CASTELL DE FERRO</t>
  </si>
  <si>
    <t>CASTELL DE FERRO</t>
  </si>
  <si>
    <t>CTRA NACIONAL 340 KM 352</t>
  </si>
  <si>
    <t>-3.364639, 36.720528</t>
  </si>
  <si>
    <t>18740</t>
  </si>
  <si>
    <t>L-S: 07:00-22:30; D: 08:00-22:30</t>
  </si>
  <si>
    <t>34145</t>
  </si>
  <si>
    <t>0183129923</t>
  </si>
  <si>
    <t>E.S. LORETO SL</t>
  </si>
  <si>
    <t>CR A-92    P.K. 210,00</t>
  </si>
  <si>
    <t>-3.95875, 37.184944</t>
  </si>
  <si>
    <t>Cafetería/Bar, Box presión, Waylet pago en surtidor, Waylet pago en caja, Punto recarga eléctrico Repsol</t>
  </si>
  <si>
    <t>11443</t>
  </si>
  <si>
    <t>0183060565</t>
  </si>
  <si>
    <t>E.S. TRAEXSA</t>
  </si>
  <si>
    <t>VALDESALOR</t>
  </si>
  <si>
    <t>CR N-630, 564,5 M.D.</t>
  </si>
  <si>
    <t>-6.348778, 39.38325</t>
  </si>
  <si>
    <t>10164</t>
  </si>
  <si>
    <t>34180</t>
  </si>
  <si>
    <t>0183080092</t>
  </si>
  <si>
    <t>E.S. PICA,S.L.</t>
  </si>
  <si>
    <t>TIJOLA</t>
  </si>
  <si>
    <t>CL AVENIDA JOSE ANTONIO, 18</t>
  </si>
  <si>
    <t>-2.432222, 37.347722</t>
  </si>
  <si>
    <t>04880</t>
  </si>
  <si>
    <t>Cafetería/Bar, Taller mecánico, Lavado cepillos, Box presión, Aspiradores, Waylet pago en caja</t>
  </si>
  <si>
    <t>11194</t>
  </si>
  <si>
    <t>0183002880</t>
  </si>
  <si>
    <t>ES RIVACOBA SALINILLAS</t>
  </si>
  <si>
    <t>SALINILLAS DE BURADO</t>
  </si>
  <si>
    <t>CR N-124, PK. 35</t>
  </si>
  <si>
    <t>-2.849833, 42.635194</t>
  </si>
  <si>
    <t>01212</t>
  </si>
  <si>
    <t>L-V: 07:00-21:45; S-D: 08:00-21:45</t>
  </si>
  <si>
    <t>15179</t>
  </si>
  <si>
    <t>0063196992</t>
  </si>
  <si>
    <t>ROLDAN</t>
  </si>
  <si>
    <t>CL AVENIDA MURCIA, 26</t>
  </si>
  <si>
    <t>-1.010111, 37.798722</t>
  </si>
  <si>
    <t>30709</t>
  </si>
  <si>
    <t>04063</t>
  </si>
  <si>
    <t>0183110238</t>
  </si>
  <si>
    <t>E.S. GARCIA MERODIO,L.</t>
  </si>
  <si>
    <t>-3.765222, 40.66175</t>
  </si>
  <si>
    <t>33754</t>
  </si>
  <si>
    <t>0183014935</t>
  </si>
  <si>
    <t>ES COMBUSTIBLES Y SERVICIOS VINROMA</t>
  </si>
  <si>
    <t>CUEVAS DE VINROMA</t>
  </si>
  <si>
    <t>CR C-238, 45,7</t>
  </si>
  <si>
    <t>0.115194, 40.307222</t>
  </si>
  <si>
    <t>12185</t>
  </si>
  <si>
    <t>Restaurante, Cafetería/Bar, Waylet pago en surtidor, Waylet pago en caja, Adblue Envasado</t>
  </si>
  <si>
    <t>96989</t>
  </si>
  <si>
    <t>0183124643</t>
  </si>
  <si>
    <t>E.S. VEC RIOS SL</t>
  </si>
  <si>
    <t>RI0S</t>
  </si>
  <si>
    <t>A-52 PK. 143 (MD)</t>
  </si>
  <si>
    <t>-7.285694, 41.982722</t>
  </si>
  <si>
    <t>32611</t>
  </si>
  <si>
    <t>Restaurante, Cafetería/Bar, Parking turismos, Parking camiones, Zona de descanso, Duchas, Waylet pago en caja, Punto recarga eléctrico Repsol</t>
  </si>
  <si>
    <t>04279</t>
  </si>
  <si>
    <t>0183018407</t>
  </si>
  <si>
    <t>ES GESTIÓN DE ESTACIONES DE GALICIA</t>
  </si>
  <si>
    <t>VILLAGARCIA DE AROSA</t>
  </si>
  <si>
    <t>CL SAN ROQUE/J.CARLOS I, S.N.</t>
  </si>
  <si>
    <t>-8.763056, 42.594583</t>
  </si>
  <si>
    <t>36600</t>
  </si>
  <si>
    <t>96314</t>
  </si>
  <si>
    <t>0183101922</t>
  </si>
  <si>
    <t>AREA LA TORRETA S.L</t>
  </si>
  <si>
    <t>CASTILLEJO DE INIESTA</t>
  </si>
  <si>
    <t>CR A-3, 225</t>
  </si>
  <si>
    <t>-1.752472, 39.519389</t>
  </si>
  <si>
    <t>16250</t>
  </si>
  <si>
    <t>Rest. Autoservicio, Restaurante, Cafetería/Bar, Parking turismos, Parking camiones, Zona de descanso, Waylet pago en caja, Punto recarga eléctrico Repsol</t>
  </si>
  <si>
    <t>12206</t>
  </si>
  <si>
    <t>0183075936</t>
  </si>
  <si>
    <t>ES ESTACION DE SERVICIO HELLIN, SL</t>
  </si>
  <si>
    <t>HOYA GONZALO</t>
  </si>
  <si>
    <t>CR A-31 PK 103</t>
  </si>
  <si>
    <t>-1.583389, 38.921833</t>
  </si>
  <si>
    <t>02696</t>
  </si>
  <si>
    <t>94037</t>
  </si>
  <si>
    <t>0183135722</t>
  </si>
  <si>
    <t>E.S. ALHENDIN-OTURA</t>
  </si>
  <si>
    <t>ALHEDIN</t>
  </si>
  <si>
    <t>AVDA ANDALUCIA, NÚM 31</t>
  </si>
  <si>
    <t>-3.637444, 37.103556</t>
  </si>
  <si>
    <t>18620</t>
  </si>
  <si>
    <t>Box presión, Aspiradores, Lavandería, Waylet pago en caja</t>
  </si>
  <si>
    <t>33566</t>
  </si>
  <si>
    <t>0183058940</t>
  </si>
  <si>
    <t>E.S.  RUTAMUR,SA.</t>
  </si>
  <si>
    <t>CL AVENIDA MIGUEL DE CERVANTES, 50</t>
  </si>
  <si>
    <t>-1.142528, 37.996361</t>
  </si>
  <si>
    <t>33971</t>
  </si>
  <si>
    <t>0183019165</t>
  </si>
  <si>
    <t>RIPOLL ALBALAT</t>
  </si>
  <si>
    <t>ALBALAT DEL SORELLS</t>
  </si>
  <si>
    <t>V-21, P.K. 11,5</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</si>
  <si>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</si>
  <si>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</si>
  <si>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</si>
  <si>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</si>
  <si>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33606</t>
  </si>
  <si>
    <t>0183018266</t>
  </si>
  <si>
    <t>ARAMPE, S.A.</t>
  </si>
  <si>
    <t>BUITRAGO DEL LOZOYA</t>
  </si>
  <si>
    <t>CL AVENIDA MADRID, S.N.</t>
  </si>
  <si>
    <t>-3.638056, 40.987</t>
  </si>
  <si>
    <t>28730</t>
  </si>
  <si>
    <t>EFITEC 95 N - España, Efitec 95 Premium, Butano 12,5 Kg, DIESEL E+ NEO - España, DIESEL NEXA 100% RENOVABLE - Esp, Propano 11 Kg, BLUE+GRANEL - España</t>
  </si>
  <si>
    <t>96644</t>
  </si>
  <si>
    <t>0183110568</t>
  </si>
  <si>
    <t>ES GIL LOPEZ S.L.</t>
  </si>
  <si>
    <t>CL LA VIÑUELA, 2 (INTERS. CRTA CABR</t>
  </si>
  <si>
    <t>-4.482278, 37.418833</t>
  </si>
  <si>
    <t>33487</t>
  </si>
  <si>
    <t>0183019397</t>
  </si>
  <si>
    <t>LA ENCRUCIJADA</t>
  </si>
  <si>
    <t>CORRAL DE CALATRAVA</t>
  </si>
  <si>
    <t>CR N-420, 183</t>
  </si>
  <si>
    <t>-4.042861, 38.873278</t>
  </si>
  <si>
    <t>13190</t>
  </si>
  <si>
    <t>L-V: 07:00-22:00; S: 08:00-13:00</t>
  </si>
  <si>
    <t>34476</t>
  </si>
  <si>
    <t>0183004266</t>
  </si>
  <si>
    <t>CR C-336, 1</t>
  </si>
  <si>
    <t>-3.554611, 37.400722</t>
  </si>
  <si>
    <t>S-D: 06:00-19:30</t>
  </si>
  <si>
    <t>Lavado cepillos, Box presión, Waylet pago en caja</t>
  </si>
  <si>
    <t>34559</t>
  </si>
  <si>
    <t>0183062843</t>
  </si>
  <si>
    <t>E.S. MAÑAN S.L.U</t>
  </si>
  <si>
    <t>MONOVAR</t>
  </si>
  <si>
    <t>CR C-3213, 12</t>
  </si>
  <si>
    <t>-0.940028, 38.424667</t>
  </si>
  <si>
    <t>03640</t>
  </si>
  <si>
    <t>06314</t>
  </si>
  <si>
    <t>0183050418</t>
  </si>
  <si>
    <t>ES SOPUROIL SL</t>
  </si>
  <si>
    <t>SOPUERTA</t>
  </si>
  <si>
    <t>CL BARRIO MERCADILLO, S.N.</t>
  </si>
  <si>
    <t>-3.152944, 43.267</t>
  </si>
  <si>
    <t>48190</t>
  </si>
  <si>
    <t>33778</t>
  </si>
  <si>
    <t>0183012830</t>
  </si>
  <si>
    <t>ES PAYMAR COMBUSTIBLES</t>
  </si>
  <si>
    <t>CL POL.GUADALHORCE C/A P.U-6-2, S.N</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</si>
  <si>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</si>
  <si>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</si>
  <si>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</si>
  <si>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03365</t>
  </si>
  <si>
    <t>0183057694</t>
  </si>
  <si>
    <t>MONTERREY ENERGY, SL</t>
  </si>
  <si>
    <t>VERIN</t>
  </si>
  <si>
    <t>CL SAN LAZARO, 81  I</t>
  </si>
  <si>
    <t>-7.445944, 41.939472</t>
  </si>
  <si>
    <t>32600</t>
  </si>
  <si>
    <t>07147</t>
  </si>
  <si>
    <t>0183051085</t>
  </si>
  <si>
    <t xml:space="preserve"> ES AUT. LOS PANTANOS DIREC. CHAPIN</t>
  </si>
  <si>
    <t>-4.170167, 40.382444</t>
  </si>
  <si>
    <t>L-V: 06:00-22:00; S: 07:00-22:00; D: 07:00-17:30</t>
  </si>
  <si>
    <t>33243</t>
  </si>
  <si>
    <t>0183112598</t>
  </si>
  <si>
    <t>ES PICA, S.L.</t>
  </si>
  <si>
    <t>SAN ISIDRO DE NIJAR</t>
  </si>
  <si>
    <t>CR AL-1008 (CRTA DE IRYDA), PK.5,2</t>
  </si>
  <si>
    <t>-2.178361, 36.904333</t>
  </si>
  <si>
    <t>96940</t>
  </si>
  <si>
    <t>0183121920</t>
  </si>
  <si>
    <t>ES STIGLER 2012 SL</t>
  </si>
  <si>
    <t>POLG.CAMI DEIS FRARES</t>
  </si>
  <si>
    <t>N-240 ESQ C/COGULL</t>
  </si>
  <si>
    <t>0.655417, 41.613611</t>
  </si>
  <si>
    <t>25190</t>
  </si>
  <si>
    <t>Restaurante, Cafetería/Bar, Box presión, Aspiradores, Waylet pago en caja, Punto recarga eléctrico Repsol</t>
  </si>
  <si>
    <t>34090</t>
  </si>
  <si>
    <t>0183055698</t>
  </si>
  <si>
    <t>CORONIL, EL</t>
  </si>
  <si>
    <t>CR SE-424, 16,9</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</si>
  <si>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</si>
  <si>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</si>
  <si>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</si>
  <si>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</si>
  <si>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</si>
  <si>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05617</t>
  </si>
  <si>
    <t>0183137785</t>
  </si>
  <si>
    <t>ES GASMOR  AGUILAS</t>
  </si>
  <si>
    <t>AGUILAS</t>
  </si>
  <si>
    <t>CTRA. LORCA KM 2</t>
  </si>
  <si>
    <t>-1.586222, 37.40875</t>
  </si>
  <si>
    <t>30880</t>
  </si>
  <si>
    <t>97179</t>
  </si>
  <si>
    <t>0183135201</t>
  </si>
  <si>
    <t>E.S. LOS ANGELES</t>
  </si>
  <si>
    <t>CR N-301, 248,5  IZ</t>
  </si>
  <si>
    <t>-1.845306, 38.971778</t>
  </si>
  <si>
    <t>15625</t>
  </si>
  <si>
    <t>0183007152</t>
  </si>
  <si>
    <t>ES JF MULTISERVICIOS SL</t>
  </si>
  <si>
    <t>FITERO</t>
  </si>
  <si>
    <t>CR NA-160, 24</t>
  </si>
  <si>
    <t>-1.861722, 42.055861</t>
  </si>
  <si>
    <t>L-V: 07:00-22:00; S-D: 09:00-20:00</t>
  </si>
  <si>
    <t>96990</t>
  </si>
  <si>
    <t>0183124742</t>
  </si>
  <si>
    <t>E.S. BENOL 2, SL</t>
  </si>
  <si>
    <t>C/ DURATON, Nº 1</t>
  </si>
  <si>
    <t>-3.493111, 40.389944</t>
  </si>
  <si>
    <t>97127</t>
  </si>
  <si>
    <t>0183132877</t>
  </si>
  <si>
    <t>ES PETRONALCA SL</t>
  </si>
  <si>
    <t>C/ JOSÉ MARÍA IPARRAGUIRRE, 19 POL.</t>
  </si>
  <si>
    <t>-2.66, 42.836667</t>
  </si>
  <si>
    <t>15334</t>
  </si>
  <si>
    <t>0183016195</t>
  </si>
  <si>
    <t>ES MUBA ZAFA, S.L.</t>
  </si>
  <si>
    <t>VILLARROYA DE LA SIERRA</t>
  </si>
  <si>
    <t>CR SAGUNTO BURGOS KM 277</t>
  </si>
  <si>
    <t>-1.787278, 41.466056</t>
  </si>
  <si>
    <t>50310</t>
  </si>
  <si>
    <t>L-V: 08:00-21:00; S: 08:00-14:00; D: 16:00-21:00</t>
  </si>
  <si>
    <t>96152</t>
  </si>
  <si>
    <t>0183103712</t>
  </si>
  <si>
    <t>ES PETROSPACAR CABRERA</t>
  </si>
  <si>
    <t>CR N-2, 643</t>
  </si>
  <si>
    <t>2.413139, 41.514889</t>
  </si>
  <si>
    <t>06463</t>
  </si>
  <si>
    <t>0183017086</t>
  </si>
  <si>
    <t>LASTRA PUENTE MARIA DEL PILAR</t>
  </si>
  <si>
    <t>ARNUERO</t>
  </si>
  <si>
    <t>CR CA-141, 28,7</t>
  </si>
  <si>
    <t>-3.56225, 43.469778</t>
  </si>
  <si>
    <t>39195</t>
  </si>
  <si>
    <t>34635</t>
  </si>
  <si>
    <t>0183059823</t>
  </si>
  <si>
    <t>E.S.  GAMADO, S.L.</t>
  </si>
  <si>
    <t>QUINTANA DE LA SEREN</t>
  </si>
  <si>
    <t>CL AVENIDA CONSTITUCION, 3</t>
  </si>
  <si>
    <t>-5.677667, 38.741944</t>
  </si>
  <si>
    <t>06450</t>
  </si>
  <si>
    <t>33555</t>
  </si>
  <si>
    <t>0183108943</t>
  </si>
  <si>
    <t>GASOLEOS LA CAÑADA, SL</t>
  </si>
  <si>
    <t>MARMOLEJO</t>
  </si>
  <si>
    <t>CL CAMINO DE LA ESTACION, S.N.</t>
  </si>
  <si>
    <t>-4.169833, 38.040778</t>
  </si>
  <si>
    <t>23770</t>
  </si>
  <si>
    <t>L-V: 08:00-13:00 y 17:00-20:00</t>
  </si>
  <si>
    <t>96886</t>
  </si>
  <si>
    <t>0183120070</t>
  </si>
  <si>
    <t>GLEM,S.L.-AUTOVIA R-2B</t>
  </si>
  <si>
    <t>CR A-31 , P.K.53 M.D.</t>
  </si>
  <si>
    <t>-0.848417, 38.618444</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</si>
  <si>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</si>
  <si>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</si>
  <si>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</si>
  <si>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33492</t>
  </si>
  <si>
    <t>0183052307</t>
  </si>
  <si>
    <t>ES COMILLAS RUILOBA</t>
  </si>
  <si>
    <t>RUILOBA</t>
  </si>
  <si>
    <t>CR CA-131  BARREDA-LA REVILLLA, 21</t>
  </si>
  <si>
    <t>-4.279472, 43.387639</t>
  </si>
  <si>
    <t>39527</t>
  </si>
  <si>
    <t>L-J: 07:00-21:00; V: 07:00-22:00; S: 08:00-22:00; D: 09:00-18:00</t>
  </si>
  <si>
    <t>33460</t>
  </si>
  <si>
    <t>0183009398</t>
  </si>
  <si>
    <t>E.S. LOS GALLARDOS</t>
  </si>
  <si>
    <t>CL ANCHA, S.N.</t>
  </si>
  <si>
    <t>-1.872667, 37.249083</t>
  </si>
  <si>
    <t>L-V: 07:00-21:00; S-D: 07:00-15:00</t>
  </si>
  <si>
    <t>03426</t>
  </si>
  <si>
    <t>0183053735</t>
  </si>
  <si>
    <t>U.S. CAMPA FERNANDEZ VIGIL SL</t>
  </si>
  <si>
    <t>OVIEDO</t>
  </si>
  <si>
    <t>CL AVENIDA BUENAVISTA, S.N.</t>
  </si>
  <si>
    <t>-5.864972, 43.359444</t>
  </si>
  <si>
    <t>33006</t>
  </si>
  <si>
    <t>34296</t>
  </si>
  <si>
    <t>0183003573</t>
  </si>
  <si>
    <t>E.S. BASTIMENTS ALCOCEBRE SL</t>
  </si>
  <si>
    <t>ALCALA DE CHIVERT</t>
  </si>
  <si>
    <t>CR N-340, 1021,7</t>
  </si>
  <si>
    <t>0.226333, 40.296944</t>
  </si>
  <si>
    <t>12570</t>
  </si>
  <si>
    <t>Restaurante, Cafetería/Bar, Parking turismos, Parking camiones, Zona de descanso, Box presión, Duchas, Sin personal/desatendida, Aspiradores, Solred cheque lavado, Waylet pago en surtidor, Waylet pago en caja, Punto recarga eléctrico Repsol</t>
  </si>
  <si>
    <t>0183010354</t>
  </si>
  <si>
    <t>CR CM-3114 (LAS PEÑICAS), 0,1</t>
  </si>
  <si>
    <t>-2.156667, 39.213722</t>
  </si>
  <si>
    <t>L-V: 06:00-10:00; S: 06:00-14:00</t>
  </si>
  <si>
    <t>33953</t>
  </si>
  <si>
    <t>0183051333</t>
  </si>
  <si>
    <t>E.S. ALGODONALES S.L</t>
  </si>
  <si>
    <t>ALGODONALES</t>
  </si>
  <si>
    <t>A-384 PK. 43,5</t>
  </si>
  <si>
    <t>-5.425833, 36.877639</t>
  </si>
  <si>
    <t>11680</t>
  </si>
  <si>
    <t>34408</t>
  </si>
  <si>
    <t>0183019181</t>
  </si>
  <si>
    <t>ES SAFOR ESTACIONES, SL</t>
  </si>
  <si>
    <t>CL AVENIDA DE VALENCIA, 23</t>
  </si>
  <si>
    <t>-0.181667, 38.971667</t>
  </si>
  <si>
    <t>46700</t>
  </si>
  <si>
    <t>34085</t>
  </si>
  <si>
    <t>0183058619</t>
  </si>
  <si>
    <t>GASOLEOS VARELA LOPEZ SL</t>
  </si>
  <si>
    <t>FRIOL</t>
  </si>
  <si>
    <t>CR L-232, 19,9</t>
  </si>
  <si>
    <t>-7.78675, 43.029722</t>
  </si>
  <si>
    <t>27220</t>
  </si>
  <si>
    <t>Parking turismos, Parking camiones, Waylet pago en caja, Adblue Envasado, Punto recarga eléctrico Repsol</t>
  </si>
  <si>
    <t>0049900046</t>
  </si>
  <si>
    <t>E.S. MACE, S.L.</t>
  </si>
  <si>
    <t>CL PASEO STA MARIA DE LA CABEZA, 18</t>
  </si>
  <si>
    <t>-3.69525, 40.405639</t>
  </si>
  <si>
    <t>10847</t>
  </si>
  <si>
    <t>0183012541</t>
  </si>
  <si>
    <t>ES RIVACOBA TIRGO</t>
  </si>
  <si>
    <t>TIRGO-E.S.</t>
  </si>
  <si>
    <t>CR LR-111, 36</t>
  </si>
  <si>
    <t>-2.919194, 42.533944</t>
  </si>
  <si>
    <t>26211</t>
  </si>
  <si>
    <t>EFITEC 95 N - España, EFITEC 98 N - España, DIESEL E+ NEO - España, DIESEL E+10 NEO - España, GO-B BONIF - España</t>
  </si>
  <si>
    <t>33785</t>
  </si>
  <si>
    <t>0073080764</t>
  </si>
  <si>
    <t>ES ALMURADIEL IZ</t>
  </si>
  <si>
    <t>CR N-4, 232,5 M.I.</t>
  </si>
  <si>
    <t>-3.496667, 38.506639</t>
  </si>
  <si>
    <t>Rest. Autoservicio, Restaurante, Cafetería/Bar, Taller mecánico, Taller neumáticos, Parking turismos, Parking camiones, Zona de descanso, Waylet pago en caja, Adblue Envasado, Punto recarga eléctrico Repsol</t>
  </si>
  <si>
    <t>12694</t>
  </si>
  <si>
    <t>0183059666</t>
  </si>
  <si>
    <t>E.S. SANTOÑA (CANTABRIA)</t>
  </si>
  <si>
    <t>SANTOÑA</t>
  </si>
  <si>
    <t>CR CA-141, 38,0</t>
  </si>
  <si>
    <t>-3.457083, 43.449583</t>
  </si>
  <si>
    <t>39740</t>
  </si>
  <si>
    <t>96208</t>
  </si>
  <si>
    <t>0183077122</t>
  </si>
  <si>
    <t>ES EL CUERVO</t>
  </si>
  <si>
    <t>CABEZAS DE SAN JUAN</t>
  </si>
  <si>
    <t>CR N-4, 594,5</t>
  </si>
  <si>
    <t>-5.866278, 36.97175</t>
  </si>
  <si>
    <t>41730</t>
  </si>
  <si>
    <t>L-V: 06:00-22:00; S: 07:00-13:00</t>
  </si>
  <si>
    <t>11748</t>
  </si>
  <si>
    <t>0183054683</t>
  </si>
  <si>
    <t>APLICA, S.L.</t>
  </si>
  <si>
    <t>CT. MONTBLANC (C-14) KM. 10,96</t>
  </si>
  <si>
    <t>1.133111, 41.180278</t>
  </si>
  <si>
    <t>43206</t>
  </si>
  <si>
    <t>13471</t>
  </si>
  <si>
    <t>0183076884</t>
  </si>
  <si>
    <t>E.S. LAS NAVAS</t>
  </si>
  <si>
    <t>NAVAS DEL MARQUES, L</t>
  </si>
  <si>
    <t>PG IND. EL BRAJERO C-PARAL.</t>
  </si>
  <si>
    <t>-4.333028, 40.595167</t>
  </si>
  <si>
    <t>05230</t>
  </si>
  <si>
    <t>34035</t>
  </si>
  <si>
    <t>0183009125</t>
  </si>
  <si>
    <t>ES EXPLOTACIONES SAN CRISTOBAL</t>
  </si>
  <si>
    <t>MESAS, LAS</t>
  </si>
  <si>
    <t>CR LAS MESAS EL PEDERNOSO, 9</t>
  </si>
  <si>
    <t>-2.767056, 39.395917</t>
  </si>
  <si>
    <t>16650</t>
  </si>
  <si>
    <t>L-S: 06:00-21:30; D: 07:30-15:00</t>
  </si>
  <si>
    <t>96299</t>
  </si>
  <si>
    <t>0183102789</t>
  </si>
  <si>
    <t>ES SALCEDA DE CASELAS</t>
  </si>
  <si>
    <t>SALCEDA DE CASELAS</t>
  </si>
  <si>
    <t>CR PO-410 P.K. 6,1 MG. IZ.</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</si>
  <si>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</si>
  <si>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</si>
  <si>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</si>
  <si>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</si>
  <si>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02435</t>
  </si>
  <si>
    <t>0183050293</t>
  </si>
  <si>
    <t>E.S. ERLETXE HNOS OYARZABAL, S.L.</t>
  </si>
  <si>
    <t>ERLECHES-GALDACANO</t>
  </si>
  <si>
    <t>CR N-634, 99,1</t>
  </si>
  <si>
    <t>-2.803833, 43.236056</t>
  </si>
  <si>
    <t>L-V: 07:00-21:30; S: 08:00-20:00; D: 09:00-15:00</t>
  </si>
  <si>
    <t>33406</t>
  </si>
  <si>
    <t>0183013135</t>
  </si>
  <si>
    <t>E.S.  MOTRIL S.A.</t>
  </si>
  <si>
    <t>MOTRIL</t>
  </si>
  <si>
    <t>CL AVENIDA ANDALUCIA, 11</t>
  </si>
  <si>
    <t>-3.517472, 36.74375</t>
  </si>
  <si>
    <t>18600</t>
  </si>
  <si>
    <t>06527</t>
  </si>
  <si>
    <t>0183059047</t>
  </si>
  <si>
    <t>U.S. LUSAN RICLA,S.L.</t>
  </si>
  <si>
    <t>RICLA</t>
  </si>
  <si>
    <t>CR A-121, 37,0</t>
  </si>
  <si>
    <t>-1.397111, 41.518472</t>
  </si>
  <si>
    <t>50270</t>
  </si>
  <si>
    <t>31535</t>
  </si>
  <si>
    <t>0183055664</t>
  </si>
  <si>
    <t>ES PETROBADALONA LLOREDA</t>
  </si>
  <si>
    <t>CL RAMBLA SAN JUAN, 117</t>
  </si>
  <si>
    <t>2.228722, 41.453222</t>
  </si>
  <si>
    <t>08914</t>
  </si>
  <si>
    <t>34411</t>
  </si>
  <si>
    <t>0183011931</t>
  </si>
  <si>
    <t>E.S. CHOUSAL,S.L..</t>
  </si>
  <si>
    <t>CONFURCO</t>
  </si>
  <si>
    <t>CR N-120, 651,3</t>
  </si>
  <si>
    <t>-8.587833, 42.170444</t>
  </si>
  <si>
    <t>36400</t>
  </si>
  <si>
    <t>Cafetería/Bar, Lavado cepillos, Lavado camiones, Parking turismos, Aspiradores, Solred cheque lavado, Waylet pago en caja, Lavados Klin</t>
  </si>
  <si>
    <t>10683</t>
  </si>
  <si>
    <t>0063219505</t>
  </si>
  <si>
    <t>E.S. INMUEBLES ALONSO GOMEZ SL</t>
  </si>
  <si>
    <t>CR CL-601 , 46</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</si>
  <si>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</si>
  <si>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</si>
  <si>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</si>
  <si>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</si>
  <si>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33799</t>
  </si>
  <si>
    <t>0183003326</t>
  </si>
  <si>
    <t>E.S. SUMINISTROS BUENJI SL</t>
  </si>
  <si>
    <t>SANGONERA LA SECA</t>
  </si>
  <si>
    <t>AVDA. PUNTARRON LOCAL G 29</t>
  </si>
  <si>
    <t>-1.268889, 37.938583</t>
  </si>
  <si>
    <t>30835</t>
  </si>
  <si>
    <t>Restaurante, Cafetería/Bar, Parking turismos, Parking camiones, Zona de descanso, Box presión, Duchas, Aspiradores, Waylet pago en surtidor, Waylet pago en caja</t>
  </si>
  <si>
    <t>31293</t>
  </si>
  <si>
    <t>0183011477</t>
  </si>
  <si>
    <t>ES COMBUSTIBLES SALCEDO SL</t>
  </si>
  <si>
    <t>GRELA, LA</t>
  </si>
  <si>
    <t>CR L-410, 4</t>
  </si>
  <si>
    <t>-8.457889, 43.33925</t>
  </si>
  <si>
    <t>15140</t>
  </si>
  <si>
    <t>13085</t>
  </si>
  <si>
    <t>0183103688</t>
  </si>
  <si>
    <t>MINAE INVERSIONES Y PARTICIPANTES S</t>
  </si>
  <si>
    <t>ALBUÑOL</t>
  </si>
  <si>
    <t>CR C-333, 64,7</t>
  </si>
  <si>
    <t>-3.182889, 36.761972</t>
  </si>
  <si>
    <t>18700</t>
  </si>
  <si>
    <t>L: 07:00-20:00</t>
  </si>
  <si>
    <t>34477</t>
  </si>
  <si>
    <t>0183057322</t>
  </si>
  <si>
    <t>E.S. CAMPOS, S.L.</t>
  </si>
  <si>
    <t>BARRELA, LA</t>
  </si>
  <si>
    <t>CR N-540, 65</t>
  </si>
  <si>
    <t>-7.8125, 42.541278</t>
  </si>
  <si>
    <t>27520</t>
  </si>
  <si>
    <t>94917</t>
  </si>
  <si>
    <t>0183123017</t>
  </si>
  <si>
    <t>E.S. GONZALEZ MONAR</t>
  </si>
  <si>
    <t>NAVATEJERA</t>
  </si>
  <si>
    <t>C/ LA HUERGA S/N</t>
  </si>
  <si>
    <t>-5.58625, 42.64475</t>
  </si>
  <si>
    <t>24193</t>
  </si>
  <si>
    <t>L-V: 08:00-13:30 y 15:30-19:00</t>
  </si>
  <si>
    <t>EFITEC 95 N - España, DIESEL E+ NEO - España, DIESEL E+10 NEO - España, GO-B BONIF - España, BLUE+GRANEL - España</t>
  </si>
  <si>
    <t>33440</t>
  </si>
  <si>
    <t>0183010545</t>
  </si>
  <si>
    <t>RED AZUL S.A.</t>
  </si>
  <si>
    <t>UBEDA</t>
  </si>
  <si>
    <t>CL AVDA.CRISTO REY,S.N, S.N.</t>
  </si>
  <si>
    <t>-3.383806, 38.014389</t>
  </si>
  <si>
    <t>23400</t>
  </si>
  <si>
    <t>EFITEC 95 N - España, EFITEC 98 N - España, DIESEL E+ NEO - España, DIESEL NEXA 100% RENOVABLE - Esp, GO-B BONIF - España, Autogás, Butano 12 Kg (NEL)</t>
  </si>
  <si>
    <t>34544</t>
  </si>
  <si>
    <t>0183019173</t>
  </si>
  <si>
    <t>ES LLARANES FAGRA SL</t>
  </si>
  <si>
    <t>LLARANES</t>
  </si>
  <si>
    <t>CL AVENIDA GIJON, 70</t>
  </si>
  <si>
    <t>-5.911444, 43.551556</t>
  </si>
  <si>
    <t>33490</t>
  </si>
  <si>
    <t>0183000850</t>
  </si>
  <si>
    <t>LA PEÑUELA POZO CAÑADA</t>
  </si>
  <si>
    <t>POZO CAÑADA</t>
  </si>
  <si>
    <t>CL AVENIDA DE LA CONCORDIA, 107</t>
  </si>
  <si>
    <t>-1.731861, 38.803389</t>
  </si>
  <si>
    <t>02510</t>
  </si>
  <si>
    <t>96981</t>
  </si>
  <si>
    <t>0183123694</t>
  </si>
  <si>
    <t>ES COMBUSTIBLES COSTA DEL SOL 2017</t>
  </si>
  <si>
    <t>CARTAMA-ACEITUNERA</t>
  </si>
  <si>
    <t>Enlace ctra A-7052 con A-357 pk 57</t>
  </si>
  <si>
    <t>-4.589944, 36.717139</t>
  </si>
  <si>
    <t>29570</t>
  </si>
  <si>
    <t>06262</t>
  </si>
  <si>
    <t>0183053800</t>
  </si>
  <si>
    <t>SEGONZA,S.L.</t>
  </si>
  <si>
    <t>RIBERA DEL FRESNO</t>
  </si>
  <si>
    <t>CR BA-613  VILLAFRAN.-HORNACH, 9,1</t>
  </si>
  <si>
    <t>-6.233, 38.553722</t>
  </si>
  <si>
    <t>06225</t>
  </si>
  <si>
    <t>EFITEC 95 N - España, DIESEL E+ NEO - España, DIESEL E+10 NEO - España, GO-B BONIF - España, Propano 11 Kg</t>
  </si>
  <si>
    <t>34270</t>
  </si>
  <si>
    <t>0183006345</t>
  </si>
  <si>
    <t>ES FAST WASH SL</t>
  </si>
  <si>
    <t>CTRA TV - 3141, KM 5</t>
  </si>
  <si>
    <t>1.095056, 41.121972</t>
  </si>
  <si>
    <t>12171</t>
  </si>
  <si>
    <t>0183075613</t>
  </si>
  <si>
    <t>ES HIDROCARBUROS CACABELOS SL</t>
  </si>
  <si>
    <t>CAMPONARAYA</t>
  </si>
  <si>
    <t>CR N-6, 396,7</t>
  </si>
  <si>
    <t>-6.675389, 42.58525</t>
  </si>
  <si>
    <t>24410</t>
  </si>
  <si>
    <t>34399</t>
  </si>
  <si>
    <t>0183003516</t>
  </si>
  <si>
    <t>ES PETRONALCA CASCAJOS</t>
  </si>
  <si>
    <t>CL PIQUERAS, 22</t>
  </si>
  <si>
    <t>-2.432361, 42.456556</t>
  </si>
  <si>
    <t>Taller mecánico, Lavado cepillos, Aspiradores, Lavandería, Waylet pago en surtidor, Waylet pago en caja, Adblue Envasado, Punto recarga eléctrico Repsol, Recarga eléctrica</t>
  </si>
  <si>
    <t>31659</t>
  </si>
  <si>
    <t>0183120914</t>
  </si>
  <si>
    <t>ES SAN ALVARO INVERSIONES CORDOBA</t>
  </si>
  <si>
    <t>CR N-432, P.K. 265 M.I.</t>
  </si>
  <si>
    <t>-4.761639, 37.921</t>
  </si>
  <si>
    <t>34125</t>
  </si>
  <si>
    <t>0183077437</t>
  </si>
  <si>
    <t>E.S. MERCADER PETROLEOS, S.L.</t>
  </si>
  <si>
    <t>UNION, LA</t>
  </si>
  <si>
    <t>CR N-332, 7,2</t>
  </si>
  <si>
    <t>-0.895611, 37.613056</t>
  </si>
  <si>
    <t>30360</t>
  </si>
  <si>
    <t>Cafetería/Bar, Taller neumáticos, Parking turismos, Waylet pago en surtidor, Waylet pago en caja</t>
  </si>
  <si>
    <t>33511</t>
  </si>
  <si>
    <t>0183009588</t>
  </si>
  <si>
    <t>MULA</t>
  </si>
  <si>
    <t>CR C-415, 23</t>
  </si>
  <si>
    <t>-1.481361, 38.040972</t>
  </si>
  <si>
    <t>30170</t>
  </si>
  <si>
    <t>Restaurante, Parking turismos, Zona de descanso, Box presión, Waylet pago en caja, Punto recarga eléctrico Repsol</t>
  </si>
  <si>
    <t>31906</t>
  </si>
  <si>
    <t>0183017839</t>
  </si>
  <si>
    <t>ES EL BRUCH  SA</t>
  </si>
  <si>
    <t>CL AVENIDA MONTSERRAT, 2</t>
  </si>
  <si>
    <t>1.629278, 41.576472</t>
  </si>
  <si>
    <t>EFITEC 95 N - España, Efitec 95 Premium, EFITEC 98 N - España, Butano 12,5 Kg, DIESEL E+ NEO - España, DIESEL E+10 NEO - España, Propano 11 Kg, Butano 12 Kg (NEL)</t>
  </si>
  <si>
    <t>31384</t>
  </si>
  <si>
    <t>0183010818</t>
  </si>
  <si>
    <t>Ripoll Alboraia</t>
  </si>
  <si>
    <t>ALBORAYA</t>
  </si>
  <si>
    <t>CL ALBORAYA A TABERNES BLANQUES,</t>
  </si>
  <si>
    <t>-0.356611, 39.501778</t>
  </si>
  <si>
    <t>Cafetería/Bar, Lavado cepillos, Box presión, Aspiradores, Solred cheque lavado, Waylet pago en caja, Lavados Klin</t>
  </si>
  <si>
    <t>34116</t>
  </si>
  <si>
    <t>0183010032</t>
  </si>
  <si>
    <t>E.S. GOSUPLA SL</t>
  </si>
  <si>
    <t>SAN JOSE DE LA RINCO</t>
  </si>
  <si>
    <t>CR SE-118, 2,5</t>
  </si>
  <si>
    <t>-5.952944, 37.478889</t>
  </si>
  <si>
    <t>41300</t>
  </si>
  <si>
    <t>Lavado cepillos, Box presión, Aspiradores, Waylet pago en caja, Punto recarga eléctrico Repsol, Lavados Klin</t>
  </si>
  <si>
    <t>33998</t>
  </si>
  <si>
    <t>0183059914</t>
  </si>
  <si>
    <t>ES G PALACIO ANDAYON SL</t>
  </si>
  <si>
    <t>FAVORITA, LA</t>
  </si>
  <si>
    <t>CR AS-228, 28</t>
  </si>
  <si>
    <t>-6.096833, 43.164806</t>
  </si>
  <si>
    <t>33111</t>
  </si>
  <si>
    <t>L-D: 07:00-15:00</t>
  </si>
  <si>
    <t>34340</t>
  </si>
  <si>
    <t>0183051457</t>
  </si>
  <si>
    <t>RUTA LOS ANCARES,S.L</t>
  </si>
  <si>
    <t>VEGA DE ESPINAREDA</t>
  </si>
  <si>
    <t>CR C-712, 27</t>
  </si>
  <si>
    <t>-6.653417, 42.725944</t>
  </si>
  <si>
    <t>24430</t>
  </si>
  <si>
    <t>L-S: 07:00-23:00; D: 09:00-21:00</t>
  </si>
  <si>
    <t>Lavado cepillos, Parking turismos, Box presión, Aspiradores, Waylet pago en surtidor, Waylet pago en caja</t>
  </si>
  <si>
    <t>33082</t>
  </si>
  <si>
    <t>0063214944</t>
  </si>
  <si>
    <t>Ripoll Utiel</t>
  </si>
  <si>
    <t>UTIEL</t>
  </si>
  <si>
    <t>CL SAN ILDEFONS, 95</t>
  </si>
  <si>
    <t>-1.197333, 39.563306</t>
  </si>
  <si>
    <t>46300</t>
  </si>
  <si>
    <t>Lavado cepillos, Box presión, Aspiradores, Waylet pago en caja, Lavados Klin</t>
  </si>
  <si>
    <t>33811</t>
  </si>
  <si>
    <t>0183017664</t>
  </si>
  <si>
    <t>E.S. FRANCISCO JAVIER VALDERAS POLO</t>
  </si>
  <si>
    <t>GERENA</t>
  </si>
  <si>
    <t>CR SE-520, 9,1</t>
  </si>
  <si>
    <t>-6.142972, 37.515917</t>
  </si>
  <si>
    <t>41860</t>
  </si>
  <si>
    <t>L-V: 06:00-21:00; S: 08:00-21:00</t>
  </si>
  <si>
    <t>33984</t>
  </si>
  <si>
    <t>0183004753</t>
  </si>
  <si>
    <t>RALLY S.A. NORTE</t>
  </si>
  <si>
    <t>CR N-2  A, P.K. 7,8</t>
  </si>
  <si>
    <t>2.951389, 42.27925</t>
  </si>
  <si>
    <t>34525</t>
  </si>
  <si>
    <t>0183012293</t>
  </si>
  <si>
    <t>MEDELLIN</t>
  </si>
  <si>
    <t>CR C-520, 90</t>
  </si>
  <si>
    <t>-5.948528, 38.963056</t>
  </si>
  <si>
    <t>06411</t>
  </si>
  <si>
    <t>L-V: 06:30-21:30; S: 07:30-15:00</t>
  </si>
  <si>
    <t>Cafetería/Bar, Aspiradores, Waylet pago en caja, Adblue Envasado</t>
  </si>
  <si>
    <t>33262</t>
  </si>
  <si>
    <t>0183007681</t>
  </si>
  <si>
    <t>E.S. HERMANOS SIMO S.L.</t>
  </si>
  <si>
    <t>CL CAMINO DE ONDA, 90</t>
  </si>
  <si>
    <t>-0.096333, 39.895167</t>
  </si>
  <si>
    <t>33915</t>
  </si>
  <si>
    <t>0183009851</t>
  </si>
  <si>
    <t>OLLERIA</t>
  </si>
  <si>
    <t>CL AVDA. DE LA DIPUTACION, 4</t>
  </si>
  <si>
    <t>-0.556944, 38.915667</t>
  </si>
  <si>
    <t>Parking turismos, Waylet pago en caja, Punto recarga eléctrico Repsol</t>
  </si>
  <si>
    <t>33680</t>
  </si>
  <si>
    <t>0183001007</t>
  </si>
  <si>
    <t>E.S. MARIA DE HUERVA</t>
  </si>
  <si>
    <t>MARIA DE HUERVA</t>
  </si>
  <si>
    <t>CR N-330, 480,3</t>
  </si>
  <si>
    <t>-0.996556, 41.539889</t>
  </si>
  <si>
    <t>50430</t>
  </si>
  <si>
    <t>Lavado cepillos, Aspiradores, Solred cheque lavado, Waylet pago en caja, Punto recarga eléctrico Repsol</t>
  </si>
  <si>
    <t>34508</t>
  </si>
  <si>
    <t>0183010701</t>
  </si>
  <si>
    <t>E.S. GASOLEOS EL PILAR, S,L</t>
  </si>
  <si>
    <t>CANILES</t>
  </si>
  <si>
    <t>CR C-323, 111</t>
  </si>
  <si>
    <t>-2.733889, 37.451778</t>
  </si>
  <si>
    <t>18810</t>
  </si>
  <si>
    <t>Lavado cepillos, Parking turismos, Parking camiones, Zona de descanso, Solred cheque lavado, Waylet pago en caja, Punto recarga eléctrico Repsol, Recarga eléctrica</t>
  </si>
  <si>
    <t>12024</t>
  </si>
  <si>
    <t>0183057983</t>
  </si>
  <si>
    <t>E.S. ANTAS DE ULLA,S.L</t>
  </si>
  <si>
    <t>ANTAS DE ULLA</t>
  </si>
  <si>
    <t>CR N-640, 138,5</t>
  </si>
  <si>
    <t>-7.898806, 42.781972</t>
  </si>
  <si>
    <t>27570</t>
  </si>
  <si>
    <t>0183000884</t>
  </si>
  <si>
    <t>CR N-301, 248,5</t>
  </si>
  <si>
    <t>-1.845278, 38.971722</t>
  </si>
  <si>
    <t>Lavado cepillos, Parking turismos, Zona de descanso, Box presión, Aspiradores, Solred cheque lavado, Waylet pago en caja, Adblue Envasado</t>
  </si>
  <si>
    <t>0183002229</t>
  </si>
  <si>
    <t>E.S.  EL MESON, S.L.</t>
  </si>
  <si>
    <t>MOTA DEL CUERVO</t>
  </si>
  <si>
    <t>CAMINO REAL ALTO, 1</t>
  </si>
  <si>
    <t>-2.870472, 39.503139</t>
  </si>
  <si>
    <t>16630</t>
  </si>
  <si>
    <t>L-J: 06:00-22:00; V-S: 06:00-23:00; D: 06:00-22:00</t>
  </si>
  <si>
    <t>05289</t>
  </si>
  <si>
    <t>0183058759</t>
  </si>
  <si>
    <t>U.S. EL MUDO 2.0, S.L.</t>
  </si>
  <si>
    <t>SAN PEDRO MANRIQUE</t>
  </si>
  <si>
    <t>CR SO-643, PK.0.20</t>
  </si>
  <si>
    <t>-2.231972, 42.027778</t>
  </si>
  <si>
    <t>42174</t>
  </si>
  <si>
    <t>L-S: 08:00-14:00 y 15:30-20:00; D: 08:00-12:00</t>
  </si>
  <si>
    <t>Taller mecánico, Taller neumáticos, Waylet pago en caja</t>
  </si>
  <si>
    <t>33307</t>
  </si>
  <si>
    <t>0183017961</t>
  </si>
  <si>
    <t>E.S. CANIVELL PONTÓN</t>
  </si>
  <si>
    <t>OVIEDO-PONTON DE VAQ</t>
  </si>
  <si>
    <t>CL BA. PONTON DE VAQUEROS, S.N.</t>
  </si>
  <si>
    <t>-5.832583, 43.378028</t>
  </si>
  <si>
    <t>33011</t>
  </si>
  <si>
    <t>Parking turismos, Box presión, Aspiradores, Solred cheque lavado, Waylet pago en caja, Adblue Envasado</t>
  </si>
  <si>
    <t>0063167878</t>
  </si>
  <si>
    <t>CR N-340, 714,1</t>
  </si>
  <si>
    <t>-0.74775, 38.256778</t>
  </si>
  <si>
    <t>03293</t>
  </si>
  <si>
    <t>L-S: 06:00-22:00; D: 08:00-18:00</t>
  </si>
  <si>
    <t>Lavado cepillos, Parking turismos, Parking camiones, Box presión, Aspiradores, Waylet pago en surtidor, Waylet pago en caja, Adblue Envasado, Punto recarga eléctrico Repsol, Lavados Klin</t>
  </si>
  <si>
    <t>11156</t>
  </si>
  <si>
    <t>0183016591</t>
  </si>
  <si>
    <t>ES DALUFERCAN SL</t>
  </si>
  <si>
    <t>VILLANUEVA CORDOBA</t>
  </si>
  <si>
    <t>CR A-420 P.K. 74,10 I</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</si>
  <si>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</si>
  <si>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</si>
  <si>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</si>
  <si>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</si>
  <si>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33564</t>
  </si>
  <si>
    <t>0183007228</t>
  </si>
  <si>
    <t>E.S.  ROMA</t>
  </si>
  <si>
    <t>ALDEANUEVA DEL CAMINO</t>
  </si>
  <si>
    <t>CR N-630, 435,8</t>
  </si>
  <si>
    <t>-5.909611, 40.267611</t>
  </si>
  <si>
    <t>10740</t>
  </si>
  <si>
    <t>L: 07:00-11:00</t>
  </si>
  <si>
    <t>Restaurante, Cafetería/Bar, Taller mecánico, Taller eléctrico, Lavado cepillos, Parking turismos, Parking camiones, Zona de descanso, Box presión, Aspiradores, Solred cheque lavado, Waylet pago en caja</t>
  </si>
  <si>
    <t>34384</t>
  </si>
  <si>
    <t>0183012103</t>
  </si>
  <si>
    <t>VINEBRE</t>
  </si>
  <si>
    <t>CR C-12, 77,8</t>
  </si>
  <si>
    <t>0.593444, 41.180833</t>
  </si>
  <si>
    <t>43792</t>
  </si>
  <si>
    <t>L-S: 09:00-21:00</t>
  </si>
  <si>
    <t>04721</t>
  </si>
  <si>
    <t>0183008085</t>
  </si>
  <si>
    <t>ES GARCERAN EL PALMAR</t>
  </si>
  <si>
    <t>CL AVENIDA 1º DE MAYO, 95</t>
  </si>
  <si>
    <t>-1.157806, 37.936667</t>
  </si>
  <si>
    <t>Box presión, Aspiradores, Solred cheque lavado, Waylet pago en surtidor, Waylet pago en caja, Adblue Envasado, Lavados Klin</t>
  </si>
  <si>
    <t>34357</t>
  </si>
  <si>
    <t>0183008994</t>
  </si>
  <si>
    <t>E.S. SERV.OLMEDILLO,S.L.UNIPERSONAL</t>
  </si>
  <si>
    <t>VADOCONDES</t>
  </si>
  <si>
    <t>CR N-122, 257</t>
  </si>
  <si>
    <t>-3.578028, 41.633528</t>
  </si>
  <si>
    <t>09491</t>
  </si>
  <si>
    <t>05760</t>
  </si>
  <si>
    <t>0183008549</t>
  </si>
  <si>
    <t>E.S. PETRO-ALFARO S.L.</t>
  </si>
  <si>
    <t>ALFARO</t>
  </si>
  <si>
    <t>CR N-232, 337,8</t>
  </si>
  <si>
    <t>-1.762083, 42.182778</t>
  </si>
  <si>
    <t>26540</t>
  </si>
  <si>
    <t>Lavado cepillos, Parking turismos, Parking camiones, Box presión, Aspiradores, Waylet pago en caja, Lavados Klin</t>
  </si>
  <si>
    <t>05750</t>
  </si>
  <si>
    <t>0183055680</t>
  </si>
  <si>
    <t>ES BESSER ZEIT SL</t>
  </si>
  <si>
    <t>PAYOSACO</t>
  </si>
  <si>
    <t>CR C-552, 20  D</t>
  </si>
  <si>
    <t>-8.557889, 43.253417</t>
  </si>
  <si>
    <t>15145</t>
  </si>
  <si>
    <t>06457</t>
  </si>
  <si>
    <t>0183009570</t>
  </si>
  <si>
    <t>GUADALUPE</t>
  </si>
  <si>
    <t>AVENIDA DE LOS JERONIMOS 160</t>
  </si>
  <si>
    <t>-1.176611, 37.995639</t>
  </si>
  <si>
    <t>30107</t>
  </si>
  <si>
    <t>34424</t>
  </si>
  <si>
    <t>0183015007</t>
  </si>
  <si>
    <t>E.S. PETROBADALONA-SANTANDER 91</t>
  </si>
  <si>
    <t>CL SANTANDER ESQ FRA JUNIPER SERRA</t>
  </si>
  <si>
    <t>2.206111, 41.4325</t>
  </si>
  <si>
    <t>L-V: 07:30-13:30 y 16:30-19:00</t>
  </si>
  <si>
    <t>34314</t>
  </si>
  <si>
    <t>0183008606</t>
  </si>
  <si>
    <t>ES INFINITY OIL SL</t>
  </si>
  <si>
    <t>FUENTIDUEÑA DE TAJO</t>
  </si>
  <si>
    <t>CR N-3, 62,5</t>
  </si>
  <si>
    <t>-3.152778, 40.120278</t>
  </si>
  <si>
    <t>28597</t>
  </si>
  <si>
    <t>Restaurante, Cafetería/Bar, Taller mecánico, Parking turismos, Parking camiones, Zona de descanso, Duchas, Aspiradores, Waylet pago en surtidor, Waylet pago en caja</t>
  </si>
  <si>
    <t>02319</t>
  </si>
  <si>
    <t>0183075696</t>
  </si>
  <si>
    <t>FRANCISCO J.CARRO PAREDES</t>
  </si>
  <si>
    <t>MOAÑA</t>
  </si>
  <si>
    <t>CL CONCEPCION ARENAL, 12</t>
  </si>
  <si>
    <t>-8.73625, 42.278639</t>
  </si>
  <si>
    <t>36950</t>
  </si>
  <si>
    <t>L: 07:30-22:30</t>
  </si>
  <si>
    <t>Parking turismos, Zona de descanso, Waylet pago en caja, Adblue Envasado</t>
  </si>
  <si>
    <t>97139</t>
  </si>
  <si>
    <t>0183133198</t>
  </si>
  <si>
    <t>ES AJALVIR IZ</t>
  </si>
  <si>
    <t>AJALVIR</t>
  </si>
  <si>
    <t>CR M-132    A 0,2</t>
  </si>
  <si>
    <t>-3.480944, 40.528028</t>
  </si>
  <si>
    <t>28864</t>
  </si>
  <si>
    <t>L: 06:00-00:00</t>
  </si>
  <si>
    <t>06747</t>
  </si>
  <si>
    <t>0183055839</t>
  </si>
  <si>
    <t>SAN MARTIN DE LUIÑA</t>
  </si>
  <si>
    <t>CR N-632 128,1</t>
  </si>
  <si>
    <t>-6.217694, 43.546944</t>
  </si>
  <si>
    <t>L-S: 08:00-13:30 y 14:30-20:00</t>
  </si>
  <si>
    <t>Butano 12,5 Kg, DIESEL E+ NEO - España, Propano 11 Kg</t>
  </si>
  <si>
    <t>96693</t>
  </si>
  <si>
    <t>0183112408</t>
  </si>
  <si>
    <t>ES PETRONALCA SALBURUA</t>
  </si>
  <si>
    <t>CL PORTAL DE ELORRIAGA,17</t>
  </si>
  <si>
    <t>-2.648306, 42.849778</t>
  </si>
  <si>
    <t>01002</t>
  </si>
  <si>
    <t>Parking turismos, Waylet pago en surtidor, Waylet pago en caja, Adblue Envasado, Punto recarga eléctrico Repsol</t>
  </si>
  <si>
    <t>96852</t>
  </si>
  <si>
    <t>0183122886</t>
  </si>
  <si>
    <t>E.S. EL MOLAR GESTION SL</t>
  </si>
  <si>
    <t>MOLAR, EL</t>
  </si>
  <si>
    <t>A-1, 41</t>
  </si>
  <si>
    <t>-3.578472, 40.716889</t>
  </si>
  <si>
    <t>28710</t>
  </si>
  <si>
    <t>11708</t>
  </si>
  <si>
    <t>0183115377</t>
  </si>
  <si>
    <t>E.S. CIUDAD DEL AUTOMOVIL</t>
  </si>
  <si>
    <t>CR  M-406 , P.K. 7,3</t>
  </si>
  <si>
    <t>-3.76325, 40.318833</t>
  </si>
  <si>
    <t>28914</t>
  </si>
  <si>
    <t>EFITEC 95 N - España, EFITEC 98 N - España, Butano 12,5 Kg, DIESEL E+ NEO - España, DIESEL NEXA 100% RENOVABLE - Esp, GO-B BONIF - España, Butano 6 Kg (K6), Propano 11 Kg, Autogás</t>
  </si>
  <si>
    <t>33986</t>
  </si>
  <si>
    <t>0183004746</t>
  </si>
  <si>
    <t>RALLY S.A. ROSAS</t>
  </si>
  <si>
    <t>ROSAS</t>
  </si>
  <si>
    <t>CR C-260, 42,5</t>
  </si>
  <si>
    <t>3.149167, 42.270667</t>
  </si>
  <si>
    <t>17480</t>
  </si>
  <si>
    <t>0183006808</t>
  </si>
  <si>
    <t>E.S. SAN JAVIER,S.L.</t>
  </si>
  <si>
    <t>TORRENTE DE CINCA</t>
  </si>
  <si>
    <t>CR N-211, 318,8</t>
  </si>
  <si>
    <t>0.332806, 41.413417</t>
  </si>
  <si>
    <t>22590</t>
  </si>
  <si>
    <t>96097</t>
  </si>
  <si>
    <t>0183078922</t>
  </si>
  <si>
    <t>BALLUS S.A.</t>
  </si>
  <si>
    <t>BERGA</t>
  </si>
  <si>
    <t>CL PERE II Z.COMERCIAL EL CANAL, S.</t>
  </si>
  <si>
    <t>1.854528, 42.103944</t>
  </si>
  <si>
    <t>08600</t>
  </si>
  <si>
    <t>Lavado cepillos, Parking turismos, Waylet pago en caja, Punto recarga eléctrico Repsol</t>
  </si>
  <si>
    <t>05442</t>
  </si>
  <si>
    <t>0183016310</t>
  </si>
  <si>
    <t>ES RICAGAS GUMIEL SL</t>
  </si>
  <si>
    <t>GUMIEL DE IZÁN</t>
  </si>
  <si>
    <t>CR A-1, 171</t>
  </si>
  <si>
    <t>-3.695667, 41.78025</t>
  </si>
  <si>
    <t>09370</t>
  </si>
  <si>
    <t>L-J: 08:00-21:00; V: 08:00-22:00; S: 08:00-21:00; D: 10:00-22:00</t>
  </si>
  <si>
    <t>Restaurante, Parking turismos, Parking camiones, Waylet pago en surtidor, Waylet pago en caja, Punto recarga eléctrico Repsol</t>
  </si>
  <si>
    <t>33975</t>
  </si>
  <si>
    <t>0183016872</t>
  </si>
  <si>
    <t>ES LAVANCARO OROPESA 2016, SLU</t>
  </si>
  <si>
    <t>CALZADA DE OROPESA</t>
  </si>
  <si>
    <t>CR A-5, 159</t>
  </si>
  <si>
    <t>-5.303639, 39.895111</t>
  </si>
  <si>
    <t>45580</t>
  </si>
  <si>
    <t>Rest. Autoservicio, Restaurante, Cafetería/Bar, Parking turismos, Parking camiones, Zona de descanso, Duchas, Waylet pago en caja</t>
  </si>
  <si>
    <t>34438</t>
  </si>
  <si>
    <t>0183015098</t>
  </si>
  <si>
    <t>E.S. VERDECEDO,S.L.</t>
  </si>
  <si>
    <t>PUENTE CALDELAS</t>
  </si>
  <si>
    <t>CR PO-255 , P.K. 1</t>
  </si>
  <si>
    <t>-8.491861, 42.387444</t>
  </si>
  <si>
    <t>36820</t>
  </si>
  <si>
    <t>96082</t>
  </si>
  <si>
    <t>0183078641</t>
  </si>
  <si>
    <t>ALGETE FUEL S.L.</t>
  </si>
  <si>
    <t>ALGETE</t>
  </si>
  <si>
    <t>CR M-106, 3,7</t>
  </si>
  <si>
    <t>-3.546167, 40.588222</t>
  </si>
  <si>
    <t>28110</t>
  </si>
  <si>
    <t>96580</t>
  </si>
  <si>
    <t>0183107721</t>
  </si>
  <si>
    <t>E.S. POLÍGONO (SERVIBAYO, SL)</t>
  </si>
  <si>
    <t>-0.961806, 41.678639</t>
  </si>
  <si>
    <t>33085</t>
  </si>
  <si>
    <t>0183011501</t>
  </si>
  <si>
    <t>E.S. FERVI,S.L. 33085</t>
  </si>
  <si>
    <t>LALIN</t>
  </si>
  <si>
    <t>CR N-525, 291,3</t>
  </si>
  <si>
    <t>-8.121583, 42.665056</t>
  </si>
  <si>
    <t>36500</t>
  </si>
  <si>
    <t>Cafetería/Bar, Taller mecánico, Taller neumáticos, Lavado cepillos, Parking turismos, Box presión, Aspiradores, Solred cheque lavado, Waylet pago en caja, Recarga eléctrica</t>
  </si>
  <si>
    <t>96629</t>
  </si>
  <si>
    <t>0183108950</t>
  </si>
  <si>
    <t>E.S. LOS CABALLOS II</t>
  </si>
  <si>
    <t>CR N-4, 346,6 M.D. (SENTIDO ANDALUC</t>
  </si>
  <si>
    <t>-4.261278, 37.990056</t>
  </si>
  <si>
    <t>Restaurante, Cafetería/Bar, Parking camiones, Zona de descanso, Duchas, Waylet pago en caja</t>
  </si>
  <si>
    <t>12781</t>
  </si>
  <si>
    <t>0183075464</t>
  </si>
  <si>
    <t>ES ENERGIA DEL LLEMENA S.L.</t>
  </si>
  <si>
    <t>SANT GREGORI</t>
  </si>
  <si>
    <t>CR GE-531, 4,6</t>
  </si>
  <si>
    <t>2.768306, 41.990167</t>
  </si>
  <si>
    <t>17150</t>
  </si>
  <si>
    <t>Lavado cepillos, Parking turismos, Zona de descanso, Aspiradores, Waylet pago en surtidor, Waylet pago en caja, Adblue Envasado, Punto recarga eléctrico Repsol</t>
  </si>
  <si>
    <t>33989</t>
  </si>
  <si>
    <t>0183000140</t>
  </si>
  <si>
    <t>ES GASOLEO DEL NORTE, SUR, ESTE Y O</t>
  </si>
  <si>
    <t>MONDOÑEDO</t>
  </si>
  <si>
    <t>CL AVENIDA ELADIO LORENZO, 2</t>
  </si>
  <si>
    <t>-7.361861, 43.43325</t>
  </si>
  <si>
    <t>27740</t>
  </si>
  <si>
    <t>Lavado cepillos, Box presión, Aspiradores, Waylet pago en caja, Adblue Envasado, Punto recarga eléctrico Repsol</t>
  </si>
  <si>
    <t>34558</t>
  </si>
  <si>
    <t>0183053073</t>
  </si>
  <si>
    <t>ES MORALEJA ENERGY</t>
  </si>
  <si>
    <t>HUMANES DE MADRID</t>
  </si>
  <si>
    <t>CL MADRID, 68</t>
  </si>
  <si>
    <t>-3.823944, 40.256889</t>
  </si>
  <si>
    <t>28970</t>
  </si>
  <si>
    <t>Taller mecánico, Taller neumáticos, Lavado cepillos, Box presión, Aspiradores, Solred cheque lavado, Lavandería, Waylet pago en surtidor, Waylet pago en caja, Lavados Klin</t>
  </si>
  <si>
    <t>13557</t>
  </si>
  <si>
    <t>0183075308</t>
  </si>
  <si>
    <t>E.S VILLAHUERTA S.L.</t>
  </si>
  <si>
    <t>LODARES DE MEDINACEL</t>
  </si>
  <si>
    <t>AT A-2  P.K.  154,4 I</t>
  </si>
  <si>
    <t>-2.403972, 41.189222</t>
  </si>
  <si>
    <t>42248</t>
  </si>
  <si>
    <t>L: 07:00-00:00; M-V: 24H; S: 00:00-21:00; D: 08:00-22:00</t>
  </si>
  <si>
    <t>15365</t>
  </si>
  <si>
    <t>0183058916</t>
  </si>
  <si>
    <t>ES GASOLINERA FABIAN S.L.</t>
  </si>
  <si>
    <t>AGOLADA</t>
  </si>
  <si>
    <t>AV CONCELLO , 2</t>
  </si>
  <si>
    <t>-8.024778, 42.762389</t>
  </si>
  <si>
    <t>36520</t>
  </si>
  <si>
    <t>L-V: 07:30-22:30; S-D: 08:00-22:30</t>
  </si>
  <si>
    <t>03094</t>
  </si>
  <si>
    <t>0183018340</t>
  </si>
  <si>
    <t>E.S. JUAN C JIMENEZ DE MIGUEL Y DOS</t>
  </si>
  <si>
    <t>VINIEGRA DE ABAJO</t>
  </si>
  <si>
    <t>CR LR-113, 99,2</t>
  </si>
  <si>
    <t>-2.885722, 42.173639</t>
  </si>
  <si>
    <t>26325</t>
  </si>
  <si>
    <t>96083</t>
  </si>
  <si>
    <t>0183078633</t>
  </si>
  <si>
    <t>-3.545306, 40.587556</t>
  </si>
  <si>
    <t>Taller mecánico, Taller neumáticos, Lavado cepillos, Parking turismos, Parking camiones, Zona de descanso, Box presión, Aspiradores, Solred cheque lavado, Lavandería, Waylet pago en caja</t>
  </si>
  <si>
    <t>97121</t>
  </si>
  <si>
    <t>0183132018</t>
  </si>
  <si>
    <t>CR PO-531 P.K. 8,3 MI</t>
  </si>
  <si>
    <t>-8.656806, 42.5015</t>
  </si>
  <si>
    <t>Lavado cepillos, Parking turismos, Zona de descanso, Box presión, Aspiradores, Solred cheque lavado, Waylet pago en caja, Adblue Envasado, Lavados Klin</t>
  </si>
  <si>
    <t>34009</t>
  </si>
  <si>
    <t>0041143009</t>
  </si>
  <si>
    <t>ES GASOTO EL PANTANO</t>
  </si>
  <si>
    <t>VILLOLDO</t>
  </si>
  <si>
    <t>CR C-615, 28,2</t>
  </si>
  <si>
    <t>-4.604917, 42.240861</t>
  </si>
  <si>
    <t>33729</t>
  </si>
  <si>
    <t>0183006949</t>
  </si>
  <si>
    <t>ES FOOTWORK S.L.</t>
  </si>
  <si>
    <t>ALQUERIA DE LA CONDE</t>
  </si>
  <si>
    <t>CR N-332 218</t>
  </si>
  <si>
    <t>-0.151194, 38.938806</t>
  </si>
  <si>
    <t>46715</t>
  </si>
  <si>
    <t>L-V: 06:00-22:00; S: 08:00-20:00; D: 08:00-18:00</t>
  </si>
  <si>
    <t>03765</t>
  </si>
  <si>
    <t>0183009166</t>
  </si>
  <si>
    <t>ESTACIONES DE SERVICIO GEOSCRI, S.L</t>
  </si>
  <si>
    <t>CR N-3 P.K. 131</t>
  </si>
  <si>
    <t>-2.510972, 39.840611</t>
  </si>
  <si>
    <t>L-V: 07:00-21:00; S: 07:00-14:00; D: 08:00-21:00</t>
  </si>
  <si>
    <t>96331</t>
  </si>
  <si>
    <t>0183061738</t>
  </si>
  <si>
    <t>ES CODISOIL TEIXEIRO</t>
  </si>
  <si>
    <t>TEIXEIRO</t>
  </si>
  <si>
    <t>CR N-634, 662</t>
  </si>
  <si>
    <t>-8.00375, 43.157694</t>
  </si>
  <si>
    <t>15310</t>
  </si>
  <si>
    <t>EFITEC 95 N - España, Butano 12,5 Kg, DIESEL E+ NEO - España, Propano 11 Kg, BLUE+GRANEL - España</t>
  </si>
  <si>
    <t>15501</t>
  </si>
  <si>
    <t>0183014588</t>
  </si>
  <si>
    <t>ALCAZAR ARRAZOLA,S.L.</t>
  </si>
  <si>
    <t>ORUSCO</t>
  </si>
  <si>
    <t>CR M-204, 16,7</t>
  </si>
  <si>
    <t>-3.20725, 40.282778</t>
  </si>
  <si>
    <t>28570</t>
  </si>
  <si>
    <t>07419</t>
  </si>
  <si>
    <t>0183052505</t>
  </si>
  <si>
    <t>AGP HUESCA</t>
  </si>
  <si>
    <t>CR A-131, 99</t>
  </si>
  <si>
    <t>-0.391806, 42.115889</t>
  </si>
  <si>
    <t>EFITEC 95 N - España, Efitec 95 Premium, Butano 12,5 Kg, DIESEL E+ NEO - España, DIESEL NEXA 100% RENOVABLE - Esp, GO-B BONIF - España, Propano 11 Kg, BLUE+GRANEL - España, Butano 12 Kg (NEL)</t>
  </si>
  <si>
    <t>95177</t>
  </si>
  <si>
    <t>0183134964</t>
  </si>
  <si>
    <t>ES LA FORTUNA</t>
  </si>
  <si>
    <t>CALLE FORTUNA Nº 34</t>
  </si>
  <si>
    <t>2.119694, 41.363028</t>
  </si>
  <si>
    <t>08902</t>
  </si>
  <si>
    <t>L-V: 06:00-21:00; S: 08:00-13:00</t>
  </si>
  <si>
    <t>Restaurante, Cafetería/Bar, Lavado cepillos, Aspiradores, Waylet pago en caja, Adblue Envasado</t>
  </si>
  <si>
    <t>33521</t>
  </si>
  <si>
    <t>0183008010</t>
  </si>
  <si>
    <t>ES XOVE</t>
  </si>
  <si>
    <t>XOVE-E.S.</t>
  </si>
  <si>
    <t>CR LU-862  P.K.  97,00 I</t>
  </si>
  <si>
    <t>-7.49325, 43.681694</t>
  </si>
  <si>
    <t>27870</t>
  </si>
  <si>
    <t>Lavado cepillos, Parking turismos, Parking camiones, Box presión, Aspiradores, Solred cheque lavado, Waylet pago en caja</t>
  </si>
  <si>
    <t>33121</t>
  </si>
  <si>
    <t>0183055805</t>
  </si>
  <si>
    <t>ES ESTACION DE SERVICIO SANT ANDREU</t>
  </si>
  <si>
    <t>CL SAN ANDRES, 513</t>
  </si>
  <si>
    <t>2.188306, 41.443778</t>
  </si>
  <si>
    <t>05357</t>
  </si>
  <si>
    <t>0183006063</t>
  </si>
  <si>
    <t>E.S. SARIÑENA, SL.</t>
  </si>
  <si>
    <t>SARIÑENA</t>
  </si>
  <si>
    <t>AVDA. FRAGA, 21</t>
  </si>
  <si>
    <t>-0.153222, 41.792333</t>
  </si>
  <si>
    <t>22200</t>
  </si>
  <si>
    <t>L-S: 06:30-21:00; D: 07:00-21:00</t>
  </si>
  <si>
    <t>06053</t>
  </si>
  <si>
    <t>0183109495</t>
  </si>
  <si>
    <t>E.S. C.E.E. ASPACE-RIOJA,S.L.</t>
  </si>
  <si>
    <t>BAÑOS DE RIO TOBIA</t>
  </si>
  <si>
    <t>CR LR-113, 44</t>
  </si>
  <si>
    <t>-2.76075, 42.328528</t>
  </si>
  <si>
    <t>26320</t>
  </si>
  <si>
    <t>33704</t>
  </si>
  <si>
    <t>0183014554</t>
  </si>
  <si>
    <t>ES PETROSPACAR-SANT BRU</t>
  </si>
  <si>
    <t>CL SANT  BRU, 17</t>
  </si>
  <si>
    <t>2.25075, 41.453222</t>
  </si>
  <si>
    <t>08911</t>
  </si>
  <si>
    <t>13312</t>
  </si>
  <si>
    <t>0183075241</t>
  </si>
  <si>
    <t>ES SOPEN GAS TORRERO</t>
  </si>
  <si>
    <t>AV FRAY JULIAN GARCES, 112</t>
  </si>
  <si>
    <t>-0.888389, 41.625472</t>
  </si>
  <si>
    <t>50007</t>
  </si>
  <si>
    <t>10896</t>
  </si>
  <si>
    <t>0183075910</t>
  </si>
  <si>
    <t>E.S. MAÑUFE,S.L.</t>
  </si>
  <si>
    <t>MAÑOFRE-FONTAN</t>
  </si>
  <si>
    <t>CR PO-340 LA RAMALLOSA-GONDOMA, 23,</t>
  </si>
  <si>
    <t>-8.770972, 42.112</t>
  </si>
  <si>
    <t>06074</t>
  </si>
  <si>
    <t>0183063445</t>
  </si>
  <si>
    <t>U.S. GESLAMA-PER,S.L.</t>
  </si>
  <si>
    <t>CL AVENIDA ENTREVIAS, S.N.</t>
  </si>
  <si>
    <t>-3.665361, 40.379167</t>
  </si>
  <si>
    <t>33276</t>
  </si>
  <si>
    <t>0183006337</t>
  </si>
  <si>
    <t>CR N-340, 1043,8</t>
  </si>
  <si>
    <t>0.4175, 40.422139</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</si>
  <si>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</si>
  <si>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</si>
  <si>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96372</t>
  </si>
  <si>
    <t>0183106194</t>
  </si>
  <si>
    <t>ES ALMUDEVAR</t>
  </si>
  <si>
    <t>ALMUDEVAR</t>
  </si>
  <si>
    <t>CR A-23, 341,5</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</si>
  <si>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</si>
  <si>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</si>
  <si>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</si>
  <si>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</si>
  <si>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15728</t>
  </si>
  <si>
    <t>0183058049</t>
  </si>
  <si>
    <t>MATALEBRERAS</t>
  </si>
  <si>
    <t>CR N-122, PK.112</t>
  </si>
  <si>
    <t>-2.044556, 41.840889</t>
  </si>
  <si>
    <t>42113</t>
  </si>
  <si>
    <t>31466</t>
  </si>
  <si>
    <t>0183014414</t>
  </si>
  <si>
    <t>E.S. DAVIDIGA SL</t>
  </si>
  <si>
    <t>CL CALERA, 100</t>
  </si>
  <si>
    <t>-4.852444, 39.950833</t>
  </si>
  <si>
    <t>11163</t>
  </si>
  <si>
    <t>0183059872</t>
  </si>
  <si>
    <t>ES ESPIFER OIL SL</t>
  </si>
  <si>
    <t>ARCOS DE LA FRONTERA</t>
  </si>
  <si>
    <t>CR C-344, 3,0</t>
  </si>
  <si>
    <t>-5.784444, 36.75175</t>
  </si>
  <si>
    <t>11630</t>
  </si>
  <si>
    <t>Cafetería/Bar, Lavado camiones, Parking turismos, Parking camiones, Box presión, Waylet pago en caja, Adblue Envasado</t>
  </si>
  <si>
    <t>15418</t>
  </si>
  <si>
    <t>0183014356</t>
  </si>
  <si>
    <t>MABAGAS S.L.</t>
  </si>
  <si>
    <t>PONTECESO</t>
  </si>
  <si>
    <t>CR LC-422, 11  D</t>
  </si>
  <si>
    <t>-8.894639, 43.243083</t>
  </si>
  <si>
    <t>15110</t>
  </si>
  <si>
    <t>Cafetería/Bar, Lavado cepillos, Parking turismos, Aspiradores, Waylet pago en caja, Adblue Envasado</t>
  </si>
  <si>
    <t>33982</t>
  </si>
  <si>
    <t>0183007301</t>
  </si>
  <si>
    <t>E.S. GASOLEOS DAGANZO SL</t>
  </si>
  <si>
    <t>DAGANZO DE ARRIBA</t>
  </si>
  <si>
    <t>CR M-100, 10,1</t>
  </si>
  <si>
    <t>-3.451917, 40.5405</t>
  </si>
  <si>
    <t>28814</t>
  </si>
  <si>
    <t>L-S: 06:30-23:00; D: 07:00-23:00</t>
  </si>
  <si>
    <t>Taller mecánico, Taller neumáticos, Lavado cepillos, Lavado camiones, Parking turismos, Parking camiones, Box presión, Aspiradores, Waylet pago en caja</t>
  </si>
  <si>
    <t>02717</t>
  </si>
  <si>
    <t>0183019355</t>
  </si>
  <si>
    <t>US CABEZÓN DE LA SAL</t>
  </si>
  <si>
    <t>CABEZON DE LA SAL</t>
  </si>
  <si>
    <t>CR N-634, 249</t>
  </si>
  <si>
    <t>-4.235, 43.309389</t>
  </si>
  <si>
    <t>39500</t>
  </si>
  <si>
    <t>L-V: 07:00-22:00; S: 08:00-15:00; D: 09:00-15:00</t>
  </si>
  <si>
    <t>02237</t>
  </si>
  <si>
    <t>0183075647</t>
  </si>
  <si>
    <t>A.S. LUIS CONDE MOLDES</t>
  </si>
  <si>
    <t>TUY</t>
  </si>
  <si>
    <t>CL CALVO SOTELO 35</t>
  </si>
  <si>
    <t>-8.643556, 42.048722</t>
  </si>
  <si>
    <t>36700</t>
  </si>
  <si>
    <t>L-V: 07:00-22:00; S-D: 08:00-21:00</t>
  </si>
  <si>
    <t>92827</t>
  </si>
  <si>
    <t>0183135623</t>
  </si>
  <si>
    <t>GASMOR E HIJOS SL</t>
  </si>
  <si>
    <t>TORRECILLA, LA</t>
  </si>
  <si>
    <t>CR GRANADA 340 DIPUT.TORRECILLA 0</t>
  </si>
  <si>
    <t>-1.736722, 37.632222</t>
  </si>
  <si>
    <t>30817</t>
  </si>
  <si>
    <t>Taller neumáticos, Lavado camiones, Parking turismos, Parking camiones, Box presión, Aspiradores, Waylet pago en caja</t>
  </si>
  <si>
    <t>96101</t>
  </si>
  <si>
    <t>0183079243</t>
  </si>
  <si>
    <t>GESMOVIL B.LLOBREGAT</t>
  </si>
  <si>
    <t>CL CARRETERA DE TORRELLES, 68</t>
  </si>
  <si>
    <t>2.005917, 41.386417</t>
  </si>
  <si>
    <t>96608</t>
  </si>
  <si>
    <t>0183108000</t>
  </si>
  <si>
    <t>ES SANALEMO GESTIÓN</t>
  </si>
  <si>
    <t>CR N-4 398,3</t>
  </si>
  <si>
    <t>-4.741167, 37.898139</t>
  </si>
  <si>
    <t>L-V: 06:00-22:00; S: 07:00-15:00</t>
  </si>
  <si>
    <t>06140</t>
  </si>
  <si>
    <t>0183063171</t>
  </si>
  <si>
    <t>E.S. GASOLEOS ENERGÉTICOS DEL SUR</t>
  </si>
  <si>
    <t>MORILES-LUCENA</t>
  </si>
  <si>
    <t>CR CO-761, 1</t>
  </si>
  <si>
    <t>-4.602111, 37.4305</t>
  </si>
  <si>
    <t>14511</t>
  </si>
  <si>
    <t>00897</t>
  </si>
  <si>
    <t>0183052778</t>
  </si>
  <si>
    <t>U.S. EL BERRON, S.L.</t>
  </si>
  <si>
    <t>SANTECILLA DE MENA</t>
  </si>
  <si>
    <t>CR C-6318, 34</t>
  </si>
  <si>
    <t>-3.229222, 43.166972</t>
  </si>
  <si>
    <t>09585</t>
  </si>
  <si>
    <t>L-V: 07:00-20:00; S: 07:30-20:00</t>
  </si>
  <si>
    <t>12010</t>
  </si>
  <si>
    <t>0183053529</t>
  </si>
  <si>
    <t>E.S. BAROSA 2000</t>
  </si>
  <si>
    <t>SAN ANTONIÑO</t>
  </si>
  <si>
    <t>CR N-550, 106,8</t>
  </si>
  <si>
    <t>-8.638028, 42.528861</t>
  </si>
  <si>
    <t>36194</t>
  </si>
  <si>
    <t>L-V: 07:00-22:30; S-D: 09:00-21:00</t>
  </si>
  <si>
    <t>Lavado cepillos, Parking turismos, Parking camiones, Zona de descanso, Box presión, Aspiradores, Solred cheque lavado, Waylet pago en caja, Adblue Envasado</t>
  </si>
  <si>
    <t>0183117373</t>
  </si>
  <si>
    <t>U.S. LEGESTIONA</t>
  </si>
  <si>
    <t>CL MONFORTE DE LEMOS ,10</t>
  </si>
  <si>
    <t>-3.697889, 40.479861</t>
  </si>
  <si>
    <t>28029</t>
  </si>
  <si>
    <t>04580</t>
  </si>
  <si>
    <t>0043115781</t>
  </si>
  <si>
    <t>ES LUYKAR 2021, S.L.</t>
  </si>
  <si>
    <t>HERRERA DE PISUERGA</t>
  </si>
  <si>
    <t>CR N-611, PK. 80,6</t>
  </si>
  <si>
    <t>-4.327778, 42.5875</t>
  </si>
  <si>
    <t>34400</t>
  </si>
  <si>
    <t>Restaurante, Cafetería/Bar, Parking turismos, Parking camiones, Box presión, Aspiradores, Waylet pago en surtidor, Waylet pago en caja, Adblue Envasado, Punto recarga eléctrico Repsol, Recarga eléctrica</t>
  </si>
  <si>
    <t>96571</t>
  </si>
  <si>
    <t>0183107648</t>
  </si>
  <si>
    <t>E.S. GRUPO MAICAS LA PAZ</t>
  </si>
  <si>
    <t>-1.136722, 40.357556</t>
  </si>
  <si>
    <t>L-V: 07:00-22:00; S: 08:00-15:00</t>
  </si>
  <si>
    <t>Taller mecánico, Taller neumáticos, Taller eléctrico, Waylet pago en caja, Punto recarga eléctrico Repsol</t>
  </si>
  <si>
    <t>33408</t>
  </si>
  <si>
    <t>0063191753</t>
  </si>
  <si>
    <t>E.S. SOMONTANO SOCIAL SL</t>
  </si>
  <si>
    <t>SIETAMO</t>
  </si>
  <si>
    <t>CR N-240, 196,5</t>
  </si>
  <si>
    <t>-0.271806, 42.123722</t>
  </si>
  <si>
    <t>22120</t>
  </si>
  <si>
    <t>33576</t>
  </si>
  <si>
    <t>0183000504</t>
  </si>
  <si>
    <t>ES GLEM S.L COCENTAINA</t>
  </si>
  <si>
    <t>CL AVENIDA PAIS VALENCIA, 117</t>
  </si>
  <si>
    <t>-0.439694, 38.738722</t>
  </si>
  <si>
    <t>Lavado cepillos, Parking turismos, Aspiradores, Solred cheque lavado, Waylet pago en surtidor, Waylet pago en caja, Adblue Envasado, Punto recarga eléctrico Repsol</t>
  </si>
  <si>
    <t>06710</t>
  </si>
  <si>
    <t>0183062801</t>
  </si>
  <si>
    <t>ES VIAJES FRAY ESCOBA</t>
  </si>
  <si>
    <t>CL RAMON Y CAJAL, 2</t>
  </si>
  <si>
    <t>-3.676194, 40.451528</t>
  </si>
  <si>
    <t>L-V: 07:30-21:00; S: 08:30-15:00</t>
  </si>
  <si>
    <t>34256</t>
  </si>
  <si>
    <t>0183012236</t>
  </si>
  <si>
    <t>E.S. MIRASIERRA S.L.</t>
  </si>
  <si>
    <t>SANTA CRUZ DE LA SIE</t>
  </si>
  <si>
    <t>CR N-5, 268</t>
  </si>
  <si>
    <t>-5.857528, 39.339111</t>
  </si>
  <si>
    <t>10260</t>
  </si>
  <si>
    <t>96053</t>
  </si>
  <si>
    <t>0183013762</t>
  </si>
  <si>
    <t>ES AGRAMESON SL</t>
  </si>
  <si>
    <t>HUETOR SANTILLAN</t>
  </si>
  <si>
    <t>CR A-92 P.K. 256</t>
  </si>
  <si>
    <t>-3.497222, 37.233889</t>
  </si>
  <si>
    <t>18183</t>
  </si>
  <si>
    <t>Restaurante, Cafetería/Bar, Parking turismos, Parking camiones, Zona de descanso, Box presión, Duchas, Aspiradores, Waylet pago en caja, Lavados Klin</t>
  </si>
  <si>
    <t>34553</t>
  </si>
  <si>
    <t>0183015023</t>
  </si>
  <si>
    <t>E.S. CIX SERVEIS LLEIDA, SLU</t>
  </si>
  <si>
    <t>CR LL-11  P.K. 10,00</t>
  </si>
  <si>
    <t>0.643667, 41.611222</t>
  </si>
  <si>
    <t>Restaurante, Cafetería/Bar, Parking turismos, Parking camiones, Box presión, Aspiradores, Waylet pago en caja, Adblue Envasado, Punto recarga eléctrico Repsol, Recarga eléctrica</t>
  </si>
  <si>
    <t>34606</t>
  </si>
  <si>
    <t>0183016997</t>
  </si>
  <si>
    <t>E.S. ESAME AS PONTES SL</t>
  </si>
  <si>
    <t>PONTES AS</t>
  </si>
  <si>
    <t>CL AVDA. DE LUGO, 94</t>
  </si>
  <si>
    <t>-7.84625, 43.442611</t>
  </si>
  <si>
    <t>15320</t>
  </si>
  <si>
    <t>34473</t>
  </si>
  <si>
    <t>0183000918</t>
  </si>
  <si>
    <t>ES ZOILO RÍOS VALDESPARTERA</t>
  </si>
  <si>
    <t>CR N-330, PK. 491,9</t>
  </si>
  <si>
    <t>-0.913694, 41.621972</t>
  </si>
  <si>
    <t>Cafetería/Bar, Taller neumáticos, Taller eléctrico, Lavado cepillos, Box presión, Aspiradores, Waylet pago en surtidor, Waylet pago en caja, Punto recarga eléctrico Repsol, Lavados Klin</t>
  </si>
  <si>
    <t>33983</t>
  </si>
  <si>
    <t>0183004225</t>
  </si>
  <si>
    <t>RALLY S.A. SUR</t>
  </si>
  <si>
    <t>CR N-2 A ,P.K.4,5</t>
  </si>
  <si>
    <t>2.968667, 42.255889</t>
  </si>
  <si>
    <t>01401</t>
  </si>
  <si>
    <t>0183015015</t>
  </si>
  <si>
    <t>E.S. GASOLINERA PORT XABIA</t>
  </si>
  <si>
    <t>CL AVENIDA DEL PUERTO, 36</t>
  </si>
  <si>
    <t>0.177222, 38.79425</t>
  </si>
  <si>
    <t>10301</t>
  </si>
  <si>
    <t>0183055441</t>
  </si>
  <si>
    <t>E.S. PGNO.TORRECIEGA</t>
  </si>
  <si>
    <t>CL PG. CABEZO BAEZA-BERLIN E-2, S.N</t>
  </si>
  <si>
    <t>-0.968667, 37.617389</t>
  </si>
  <si>
    <t>30280</t>
  </si>
  <si>
    <t>Cafetería/Bar, Lavado cepillos, Lavado camiones, Zona de descanso, Box presión, Aspiradores, Solred cheque lavado, Waylet pago en caja, Lavados Klin</t>
  </si>
  <si>
    <t>34342</t>
  </si>
  <si>
    <t>0183017524</t>
  </si>
  <si>
    <t>XUNQUEIRA S.L.</t>
  </si>
  <si>
    <t>CR C-550 35</t>
  </si>
  <si>
    <t>-8.942778, 42.5985</t>
  </si>
  <si>
    <t>L-V: 07:00-23:00; S: 08:00-23:00; D: 08:30-23:00</t>
  </si>
  <si>
    <t>Taller mecánico, Taller neumáticos, Lavado cepillos, Parking turismos, Box presión, Aspiradores, Solred cheque lavado, Waylet pago en caja, Punto recarga eléctrico Repsol</t>
  </si>
  <si>
    <t>33105</t>
  </si>
  <si>
    <t>0183000496</t>
  </si>
  <si>
    <t>ES NOVA ALHAMA S.L.</t>
  </si>
  <si>
    <t>ESPARRAGAL, EL</t>
  </si>
  <si>
    <t>CR N-340  A, 671,6</t>
  </si>
  <si>
    <t>-1.085667, 38.042889</t>
  </si>
  <si>
    <t>30163</t>
  </si>
  <si>
    <t>L-V: 06:00-23:00; S: 06:30-23:00; D: 07:00-23:00</t>
  </si>
  <si>
    <t>33832</t>
  </si>
  <si>
    <t>0183055110</t>
  </si>
  <si>
    <t>E.S. ORTIZ</t>
  </si>
  <si>
    <t>CR C-250, 2</t>
  </si>
  <si>
    <t>2.83925, 41.970028</t>
  </si>
  <si>
    <t>17004</t>
  </si>
  <si>
    <t>97031</t>
  </si>
  <si>
    <t>0183131929</t>
  </si>
  <si>
    <t>ES BRESOIL ELDA</t>
  </si>
  <si>
    <t>ELDA</t>
  </si>
  <si>
    <t>AV  CENTRO EXCURSIONISTA ELDENDESE</t>
  </si>
  <si>
    <t>-0.80625, 38.470083</t>
  </si>
  <si>
    <t>03600</t>
  </si>
  <si>
    <t>Cafetería/Bar, Lavado cepillos, Parking turismos, Box presión, Aspiradores, Waylet pago en surtidor, Waylet pago en caja</t>
  </si>
  <si>
    <t>34006</t>
  </si>
  <si>
    <t>0183055227</t>
  </si>
  <si>
    <t>ES MICHAELA TRUTA</t>
  </si>
  <si>
    <t>HOSPITALET DE L'INFA</t>
  </si>
  <si>
    <t>CR N-340, 1121,8</t>
  </si>
  <si>
    <t>0.855917, 40.949722</t>
  </si>
  <si>
    <t>43890</t>
  </si>
  <si>
    <t>L-V: 06:00-20:00; S-D: 08:00-20:00</t>
  </si>
  <si>
    <t>00726</t>
  </si>
  <si>
    <t>0183058676</t>
  </si>
  <si>
    <t>U.S.J.SANCHO CASTA¦O</t>
  </si>
  <si>
    <t>PUEBLA DE CAZALLA, LA</t>
  </si>
  <si>
    <t>CR N-334 67,5</t>
  </si>
  <si>
    <t>-5.322972, 37.229417</t>
  </si>
  <si>
    <t>41540</t>
  </si>
  <si>
    <t>M-X: 09:00-13:00</t>
  </si>
  <si>
    <t>EFITEC 95 N - España, Butano 12,5 Kg, DIESEL E+ NEO - España</t>
  </si>
  <si>
    <t>34513</t>
  </si>
  <si>
    <t>0183018514</t>
  </si>
  <si>
    <t>E.S. ANA Mª ARNAL MARTI,S.L.</t>
  </si>
  <si>
    <t>QUINTO DE EBRO</t>
  </si>
  <si>
    <t>CR N-232, 194</t>
  </si>
  <si>
    <t>-0.504083, 41.432722</t>
  </si>
  <si>
    <t>50770</t>
  </si>
  <si>
    <t>Restaurante, Cafetería/Bar, Parking turismos, Parking camiones, Box presión, Aspiradores, Waylet pago en surtidor, Waylet pago en caja</t>
  </si>
  <si>
    <t>15362</t>
  </si>
  <si>
    <t>0183001213</t>
  </si>
  <si>
    <t>E.S.  A.M.M.N.S.A.</t>
  </si>
  <si>
    <t>CR N-540, 57,4</t>
  </si>
  <si>
    <t>-7.770333, 42.604167</t>
  </si>
  <si>
    <t>Lavado cepillos, Lavado camiones, Parking turismos, Box presión, Aspiradores, Waylet pago en caja</t>
  </si>
  <si>
    <t>96967</t>
  </si>
  <si>
    <t>0183122654</t>
  </si>
  <si>
    <t>E.S. CARBURANTES ALQUERIA SL</t>
  </si>
  <si>
    <t>ADRA</t>
  </si>
  <si>
    <t>CARRETERA DE LA ALQUERIA, KM 125</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</si>
  <si>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</si>
  <si>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</si>
  <si>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</si>
  <si>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33455</t>
  </si>
  <si>
    <t>0183000256</t>
  </si>
  <si>
    <t>E.S. GRUPO MAICAS MUSEROS</t>
  </si>
  <si>
    <t>MUSEROS</t>
  </si>
  <si>
    <t>CR N-340, 9,8</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</si>
  <si>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</si>
  <si>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</si>
  <si>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</si>
  <si>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</si>
  <si>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12391</t>
  </si>
  <si>
    <t>0183060797</t>
  </si>
  <si>
    <t>E.S. VILLAFRANCA</t>
  </si>
  <si>
    <t>VILLAFRANCA DE CORDOBA</t>
  </si>
  <si>
    <t>CR CO-568, km 1,4</t>
  </si>
  <si>
    <t>-4.546028, 37.955556</t>
  </si>
  <si>
    <t>14420</t>
  </si>
  <si>
    <t>EFITEC 95 N - España, Efitec 95 Premium, Butano 12,5 Kg, DIESEL E+ NEO - España, DIESEL NEXA 100% RENOVABLE - Esp, GO-B BONIF - España, Propano 11 Kg</t>
  </si>
  <si>
    <t>33972</t>
  </si>
  <si>
    <t>0183055847</t>
  </si>
  <si>
    <t>E.S. CARBURANTES CANIDO</t>
  </si>
  <si>
    <t>CARREIRAS, AS</t>
  </si>
  <si>
    <t>CL AVDA DE CASTRELOS ,524</t>
  </si>
  <si>
    <t>-8.72125, 42.190806</t>
  </si>
  <si>
    <t>Cafetería/Bar, Lavado cepillos, Zona de descanso, Aspiradores, Solred cheque lavado, Waylet pago en caja, Adblue Envasado, Punto recarga eléctrico Repsol</t>
  </si>
  <si>
    <t>12854</t>
  </si>
  <si>
    <t>0183061498</t>
  </si>
  <si>
    <t>LORCA-POLIGONO</t>
  </si>
  <si>
    <t>POL. INDUSTRIAL SAPRELORCA, S.N.</t>
  </si>
  <si>
    <t>-1.752333, 37.616972</t>
  </si>
  <si>
    <t>Cafetería/Bar, Parking turismos, Parking camiones, Zona de descanso, Duchas, Waylet pago en caja, Punto recarga eléctrico Repsol, Recarga eléctrica</t>
  </si>
  <si>
    <t>33955</t>
  </si>
  <si>
    <t>0183007947</t>
  </si>
  <si>
    <t>PONTES, AS</t>
  </si>
  <si>
    <t>CR C-641 480</t>
  </si>
  <si>
    <t>-7.867222, 43.452417</t>
  </si>
  <si>
    <t>L-V: 07:00-21:30; S: 07:00-14:30</t>
  </si>
  <si>
    <t>13172</t>
  </si>
  <si>
    <t>0183077163</t>
  </si>
  <si>
    <t>ES GESTION ESTACIONES DE SERVICIO 2</t>
  </si>
  <si>
    <t>CR CV-36F, 11</t>
  </si>
  <si>
    <t>-0.984917, 37.649472</t>
  </si>
  <si>
    <t>Lavado cepillos, Parking turismos, Box presión, Aspiradores, Solred cheque lavado, Waylet pago en surtidor, Waylet pago en caja</t>
  </si>
  <si>
    <t>33409</t>
  </si>
  <si>
    <t>0008388613</t>
  </si>
  <si>
    <t>E.S. ILERBONET SLU</t>
  </si>
  <si>
    <t>ALMACELLAS</t>
  </si>
  <si>
    <t>CL MAJOR ,94</t>
  </si>
  <si>
    <t>0.44175, 41.727667</t>
  </si>
  <si>
    <t>25100</t>
  </si>
  <si>
    <t>Taller mecánico, Taller neumáticos, Lavado cepillos, Parking turismos, Box presión, Waylet pago en caja</t>
  </si>
  <si>
    <t>07183</t>
  </si>
  <si>
    <t>0183013168</t>
  </si>
  <si>
    <t>E.S. ADAN MALANDA LORENZO</t>
  </si>
  <si>
    <t>CR A-62, 61,5</t>
  </si>
  <si>
    <t>-4.256639, 42.046889</t>
  </si>
  <si>
    <t>L-D: 08:00-18:00</t>
  </si>
  <si>
    <t>33047</t>
  </si>
  <si>
    <t>0183002724</t>
  </si>
  <si>
    <t>ES ANDRATIS CAPITAL</t>
  </si>
  <si>
    <t>CL CAMINO DE LAS MORERAS, 58</t>
  </si>
  <si>
    <t>-0.334139, 39.452417</t>
  </si>
  <si>
    <t>46024</t>
  </si>
  <si>
    <t>33195</t>
  </si>
  <si>
    <t>0008367708</t>
  </si>
  <si>
    <t>ES TABUENCA OIL, S.L.</t>
  </si>
  <si>
    <t>CL SANTA EUGENIA, 120</t>
  </si>
  <si>
    <t>2.8085, 41.978056</t>
  </si>
  <si>
    <t>17005</t>
  </si>
  <si>
    <t>96349</t>
  </si>
  <si>
    <t>0183105170</t>
  </si>
  <si>
    <t>ES LEGESTIONA YUNCOS</t>
  </si>
  <si>
    <t>YUNCOS</t>
  </si>
  <si>
    <t>CR A-42, 42,8</t>
  </si>
  <si>
    <t>-3.878556, 40.072806</t>
  </si>
  <si>
    <t>45210</t>
  </si>
  <si>
    <t>96863</t>
  </si>
  <si>
    <t>0183127950</t>
  </si>
  <si>
    <t>LINEA DE LA CONCEPCI</t>
  </si>
  <si>
    <t>A-383 P.K. 4,7 BARRIO EL ZABAL</t>
  </si>
  <si>
    <t>-5.34575, 36.199194</t>
  </si>
  <si>
    <t>11300</t>
  </si>
  <si>
    <t>10789</t>
  </si>
  <si>
    <t>0183052018</t>
  </si>
  <si>
    <t>E.S. TERE COMBUSTIBLES</t>
  </si>
  <si>
    <t>RASQUERA</t>
  </si>
  <si>
    <t>CR C-230, 50,0</t>
  </si>
  <si>
    <t>0.611083, 41.012444</t>
  </si>
  <si>
    <t>43513</t>
  </si>
  <si>
    <t>96367</t>
  </si>
  <si>
    <t>0183105451</t>
  </si>
  <si>
    <t>E.S. OGIJARES</t>
  </si>
  <si>
    <t>OGIJARES</t>
  </si>
  <si>
    <t>CR GR-32  SE (SURESTE), 1,8</t>
  </si>
  <si>
    <t>-3.61975, 37.124861</t>
  </si>
  <si>
    <t>18151</t>
  </si>
  <si>
    <t>Cafetería/Bar, Aspiradores, Waylet pago en surtidor, Waylet pago en caja</t>
  </si>
  <si>
    <t>94944</t>
  </si>
  <si>
    <t>0183135714</t>
  </si>
  <si>
    <t>ES CHURRIANA AVDA. COLON</t>
  </si>
  <si>
    <t>AVDA CRISTOBAL COLON, 73</t>
  </si>
  <si>
    <t>-3.631278, 37.149167</t>
  </si>
  <si>
    <t>L-V: 06:00-22:00; S-D: 07:30-22:00</t>
  </si>
  <si>
    <t>Restaurante, Cafetería/Bar, Box presión, Aspiradores, Waylet pago en caja</t>
  </si>
  <si>
    <t>96284</t>
  </si>
  <si>
    <t>0183013960</t>
  </si>
  <si>
    <t>E.S. DOMIPETROL,S.L.</t>
  </si>
  <si>
    <t>CL PGNO. LAS QUEMADAS P29-B, S.N</t>
  </si>
  <si>
    <t>-4.718139, 37.906667</t>
  </si>
  <si>
    <t>L-V: 06:00-22:00; S-D: 07:00-14:00</t>
  </si>
  <si>
    <t>EFITEC 95 N - España, Butano 12,5 Kg, DIESEL E+ NEO - España, DIESEL NEXA 100% RENOVABLE - Esp, Butano 6 Kg (K6), Propano 11 Kg, BLUE+GRANEL - España</t>
  </si>
  <si>
    <t>Cafetería/Bar, Lavado cepillos, Parking turismos, Zona de descanso, Box presión, Aspiradores, Solred cheque lavado, Waylet pago en surtidor, Waylet pago en caja, Adblue Envasado</t>
  </si>
  <si>
    <t>33354</t>
  </si>
  <si>
    <t>0183013978</t>
  </si>
  <si>
    <t>ESTACION DE SERVICIO GARCIA, SL</t>
  </si>
  <si>
    <t>HUERCAL OVERA</t>
  </si>
  <si>
    <t>CR N-340, PK. 554,1</t>
  </si>
  <si>
    <t>-1.940889, 37.386194</t>
  </si>
  <si>
    <t>04600</t>
  </si>
  <si>
    <t>96743</t>
  </si>
  <si>
    <t>0183113992</t>
  </si>
  <si>
    <t>ES JAMAC GESTION SL</t>
  </si>
  <si>
    <t>RIVAS-VACIAMADRID</t>
  </si>
  <si>
    <t>CR  N-3 ,P.K. 14,40 M.D.</t>
  </si>
  <si>
    <t>-3.559, 40.357389</t>
  </si>
  <si>
    <t>28529</t>
  </si>
  <si>
    <t>Lavado cepillos, Zona de descanso, Box presión, Aspiradores, Waylet pago en caja, Punto recarga eléctrico Repsol</t>
  </si>
  <si>
    <t>93649</t>
  </si>
  <si>
    <t>0183133099</t>
  </si>
  <si>
    <t>LAS TORRES DE COTILLAS</t>
  </si>
  <si>
    <t>AVDA.DE LA INDUSTRIA, PARCELA 64H –</t>
  </si>
  <si>
    <t>-1.253556, 38.035083</t>
  </si>
  <si>
    <t>30565</t>
  </si>
  <si>
    <t>Lavado cepillos, Box presión, Duchas, Aspiradores, Waylet pago en caja, Adblue Envasado, Punto recarga eléctrico Repsol, Recarga eléctrica</t>
  </si>
  <si>
    <t>96793</t>
  </si>
  <si>
    <t>0183115013</t>
  </si>
  <si>
    <t>CEREADUEY,S.L.U.</t>
  </si>
  <si>
    <t>CL FRANCIA , 52</t>
  </si>
  <si>
    <t>-4.510333, 42.002944</t>
  </si>
  <si>
    <t>L-S: 07:00-21:30</t>
  </si>
  <si>
    <t>Cafetería/Bar, Parking turismos, Waylet pago en caja, Adblue Envasado, Recarga eléctrica</t>
  </si>
  <si>
    <t>12421</t>
  </si>
  <si>
    <t>0183112739</t>
  </si>
  <si>
    <t>CARBURANTES ALMERIMAR SL</t>
  </si>
  <si>
    <t>CL AVENIDA OASIS-BO.STO.DOMINGO, S.</t>
  </si>
  <si>
    <t>-2.805444, 36.758556</t>
  </si>
  <si>
    <t>96411</t>
  </si>
  <si>
    <t>0183118157</t>
  </si>
  <si>
    <t>ES RECAPOL CARROCERIAS S.L.</t>
  </si>
  <si>
    <t>CR  M-413  , P.K. 1,1 M.D.</t>
  </si>
  <si>
    <t>-3.81975, 40.272611</t>
  </si>
  <si>
    <t>Cafetería/Bar, Lavado cepillos, Parking turismos, Aspiradores, Solred cheque lavado, Waylet pago en surtidor, Waylet pago en caja</t>
  </si>
  <si>
    <t>34615</t>
  </si>
  <si>
    <t>0183054766</t>
  </si>
  <si>
    <t>GASFISTERRA S.L.</t>
  </si>
  <si>
    <t>FINISTERRE</t>
  </si>
  <si>
    <t>CR AC-445, P.K. 12,3</t>
  </si>
  <si>
    <t>-9.265167, 42.917722</t>
  </si>
  <si>
    <t>15154</t>
  </si>
  <si>
    <t>Cafetería/Bar, Taller neumáticos, Parking turismos, Box presión, Waylet pago en surtidor, Waylet pago en caja</t>
  </si>
  <si>
    <t>02506</t>
  </si>
  <si>
    <t>0183056316</t>
  </si>
  <si>
    <t>E.S. CAMINO DEL TOBOSO</t>
  </si>
  <si>
    <t>CR N-301, 139,6</t>
  </si>
  <si>
    <t>-2.87675, 39.503167</t>
  </si>
  <si>
    <t>L-S: 07:30-22:00; D: 08:00-15:00 y 16:30-22:00</t>
  </si>
  <si>
    <t>97153</t>
  </si>
  <si>
    <t>0183133917</t>
  </si>
  <si>
    <t>CR N-1, 318 MI</t>
  </si>
  <si>
    <t>-2.95275, 42.688833</t>
  </si>
  <si>
    <t>L-V: 06:00-21:00; S: 08:00-14:00; D: 07:00-15:00</t>
  </si>
  <si>
    <t>Cafetería/Bar, Parking turismos, Waylet pago en caja, Punto recarga eléctrico Repsol</t>
  </si>
  <si>
    <t>33798</t>
  </si>
  <si>
    <t>0183000207</t>
  </si>
  <si>
    <t>E.S. SALADAS AGRUPACION,S.L.</t>
  </si>
  <si>
    <t>TORRELLANO</t>
  </si>
  <si>
    <t>CR N-340, 727</t>
  </si>
  <si>
    <t>-0.614667, 38.286861</t>
  </si>
  <si>
    <t>03320</t>
  </si>
  <si>
    <t>L-V: 06:00-22:00; S: 08:00-14:00</t>
  </si>
  <si>
    <t>95108</t>
  </si>
  <si>
    <t>0183131358</t>
  </si>
  <si>
    <t>E.S. DISTRIBUCION GASOLEOS GARCIA-C</t>
  </si>
  <si>
    <t>P.I. San Isidro, parcela 48 (rotond</t>
  </si>
  <si>
    <t>-5.873083, 38.96975</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</si>
  <si>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</si>
  <si>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</si>
  <si>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06320</t>
  </si>
  <si>
    <t>0183110154</t>
  </si>
  <si>
    <t>U.S. SALINAS RIDE S.L.</t>
  </si>
  <si>
    <t>SALINAS-CASTRILLON</t>
  </si>
  <si>
    <t>CL AVENIDA CAMPON - SALINAS, 16</t>
  </si>
  <si>
    <t>-5.959278, 43.57125</t>
  </si>
  <si>
    <t>15892</t>
  </si>
  <si>
    <t>0183057298</t>
  </si>
  <si>
    <t>ES PETROSPACAR SL</t>
  </si>
  <si>
    <t>CORNELLA DE LLOBREGA</t>
  </si>
  <si>
    <t>CL CRA.ESPLUGAS 219</t>
  </si>
  <si>
    <t>2.078611, 41.367694</t>
  </si>
  <si>
    <t>Cafetería/Bar, Lavado cepillos, Box presión, Aspiradores, Waylet pago en caja, Punto recarga eléctrico Repsol, Lavados Klin</t>
  </si>
  <si>
    <t>33123</t>
  </si>
  <si>
    <t>0183011444</t>
  </si>
  <si>
    <t>E.S.ALCAUNION,S.L.</t>
  </si>
  <si>
    <t>ALCAUDETE</t>
  </si>
  <si>
    <t>CR N-321, 104</t>
  </si>
  <si>
    <t>-4.080944, 37.587417</t>
  </si>
  <si>
    <t>23660</t>
  </si>
  <si>
    <t>L-D: 05:30-23:30</t>
  </si>
  <si>
    <t>96195</t>
  </si>
  <si>
    <t>0183100445</t>
  </si>
  <si>
    <t>-3.596139, 40.379944</t>
  </si>
  <si>
    <t>S: 09:00-14:00</t>
  </si>
  <si>
    <t>Cafetería/Bar, Parking turismos, Aspiradores, Waylet pago en surtidor, Waylet pago en caja, Punto recarga eléctrico Repsol</t>
  </si>
  <si>
    <t>13299</t>
  </si>
  <si>
    <t>0183077486</t>
  </si>
  <si>
    <t>ES GRUP QC ENERGIES, S.L.</t>
  </si>
  <si>
    <t>CR C-35, 97</t>
  </si>
  <si>
    <t>2.89925, 41.815806</t>
  </si>
  <si>
    <t>L-V: 06:00-22:00; D: 08:00-22:00</t>
  </si>
  <si>
    <t>Cafetería/Bar, Parking turismos, Zona de descanso, Waylet pago en surtidor, Waylet pago en caja, Adblue Envasado</t>
  </si>
  <si>
    <t>05451</t>
  </si>
  <si>
    <t>0183002815</t>
  </si>
  <si>
    <t>ES ESTACION DE SERVICIO  NOW SL</t>
  </si>
  <si>
    <t>VERIÑA</t>
  </si>
  <si>
    <t>CR AS-19, 4,5</t>
  </si>
  <si>
    <t>-5.721278, 43.538694</t>
  </si>
  <si>
    <t>33691</t>
  </si>
  <si>
    <t>L-V: 06:00-22:00; S-D: 08:00-18:00</t>
  </si>
  <si>
    <t>Lavado cepillos, Lavado camiones, Parking turismos, Parking camiones, Box presión, Aspiradores, Solred cheque lavado, Waylet pago en caja, Adblue Envasado</t>
  </si>
  <si>
    <t>97172</t>
  </si>
  <si>
    <t>0183135227</t>
  </si>
  <si>
    <t>A-31 PK. 86,4 IZ</t>
  </si>
  <si>
    <t>-1.757611, 38.938611</t>
  </si>
  <si>
    <t>96301</t>
  </si>
  <si>
    <t>0183100585</t>
  </si>
  <si>
    <t>AREA SERVICIO QUINTANS, S.L.</t>
  </si>
  <si>
    <t>CAÑIZA, LA</t>
  </si>
  <si>
    <t>CR A-52  ,P.K. 272</t>
  </si>
  <si>
    <t>-8.267611, 42.207083</t>
  </si>
  <si>
    <t>36880</t>
  </si>
  <si>
    <t>Restaurante, Cafetería/Bar, Lavado cepillos, Lavado camiones, Parking turismos, Parking camiones, Zona de descanso, Box presión, Aspiradores, Solred cheque lavado, Waylet pago en caja, Punto recarga eléctrico Repsol, Lavados Klin</t>
  </si>
  <si>
    <t>33386</t>
  </si>
  <si>
    <t>0002285021</t>
  </si>
  <si>
    <t>E.S. CELTIMA-ESPOLON</t>
  </si>
  <si>
    <t>CETINA</t>
  </si>
  <si>
    <t>CR A-2, 202,2</t>
  </si>
  <si>
    <t>-1.945833, 41.302944</t>
  </si>
  <si>
    <t>50292</t>
  </si>
  <si>
    <t>33537</t>
  </si>
  <si>
    <t>0183003623</t>
  </si>
  <si>
    <t>ES CRIVERGI  FALSET</t>
  </si>
  <si>
    <t>FALSET</t>
  </si>
  <si>
    <t>CR N-420, 841</t>
  </si>
  <si>
    <t>0.816222, 41.143472</t>
  </si>
  <si>
    <t>43730</t>
  </si>
  <si>
    <t>Restaurante, Cafetería/Bar, Lavado cepillos, Parking turismos, Aspiradores, Waylet pago en surtidor, Waylet pago en caja, Punto recarga eléctrico Repsol</t>
  </si>
  <si>
    <t>33763</t>
  </si>
  <si>
    <t>0183055003</t>
  </si>
  <si>
    <t>E.S. SANCHEZ,S S.L.</t>
  </si>
  <si>
    <t>MONDEJAR</t>
  </si>
  <si>
    <t>CR CM-219, 4,9</t>
  </si>
  <si>
    <t>-3.113806, 40.325139</t>
  </si>
  <si>
    <t>19110</t>
  </si>
  <si>
    <t>Lavado camiones, Parking turismos, Parking camiones, Zona de descanso, Box presión, Aspiradores, Waylet pago en caja, Punto recarga eléctrico Repsol</t>
  </si>
  <si>
    <t>96334</t>
  </si>
  <si>
    <t>0183101534</t>
  </si>
  <si>
    <t>ES PETROARAN MAZARRON, SL</t>
  </si>
  <si>
    <t>CR MU-603  MURCIA-MAZARRON, 47.2</t>
  </si>
  <si>
    <t>-1.342, 37.622333</t>
  </si>
  <si>
    <t>Restaurante, Cafetería/Bar, Taller mecánico, Lavado camiones, Parking turismos, Parking camiones, Zona de descanso, Box presión, Duchas, Aspiradores, Waylet pago en caja</t>
  </si>
  <si>
    <t>34365</t>
  </si>
  <si>
    <t>0183010339</t>
  </si>
  <si>
    <t>LA SIERRA ESTACION DE SERVICIO, S.L</t>
  </si>
  <si>
    <t>ELCHE DE LA SIERRA</t>
  </si>
  <si>
    <t>CL BOLEA, 36</t>
  </si>
  <si>
    <t>-2.044778, 38.451306</t>
  </si>
  <si>
    <t>02430</t>
  </si>
  <si>
    <t>Restaurante, Cafetería/Bar, Taller mecánico, Parking turismos, Parking camiones, Waylet pago en caja, Punto recarga eléctrico Repsol</t>
  </si>
  <si>
    <t>96557</t>
  </si>
  <si>
    <t>0183107507</t>
  </si>
  <si>
    <t>A-31 PK 126 M. IZD</t>
  </si>
  <si>
    <t>-1.331611, 38.876111</t>
  </si>
  <si>
    <t>12142</t>
  </si>
  <si>
    <t>0183055011</t>
  </si>
  <si>
    <t>CARBUR.NTRA.SRA.DE PEÑARROYA,S.L.</t>
  </si>
  <si>
    <t>CR CR-141, 3,7</t>
  </si>
  <si>
    <t>-3.380194, 38.987028</t>
  </si>
  <si>
    <t>Restaurante, Cafetería/Bar, Lavado cepillos, Parking turismos, Parking camiones, Zona de descanso, Box presión, Duchas, Aspiradores, Solred cheque lavado, Waylet pago en caja, Adblue Envasado</t>
  </si>
  <si>
    <t>96855</t>
  </si>
  <si>
    <t>0183117670</t>
  </si>
  <si>
    <t>E.S. LLAGOSTERA II</t>
  </si>
  <si>
    <t>CR C-250 ,24,3  M.I.</t>
  </si>
  <si>
    <t>2.946889, 41.827389</t>
  </si>
  <si>
    <t>13079</t>
  </si>
  <si>
    <t>0183061811</t>
  </si>
  <si>
    <t>E.S. PARAISO ESTACION NORTE SLU</t>
  </si>
  <si>
    <t>-3.929611, 37.181028</t>
  </si>
  <si>
    <t>34215</t>
  </si>
  <si>
    <t>0183014521</t>
  </si>
  <si>
    <t>E.S. AS MOAS</t>
  </si>
  <si>
    <t>CL AVDA.DEL EJERCITO(FRENTE 68), S.</t>
  </si>
  <si>
    <t>-8.393111, 43.354333</t>
  </si>
  <si>
    <t>Lavado cepillos, Parking turismos, Zona de descanso, Box presión, Aspiradores, Solred cheque lavado, Waylet pago en surtidor, Waylet pago en caja, Punto recarga eléctrico Repsol, Lavados Klin</t>
  </si>
  <si>
    <t>33981</t>
  </si>
  <si>
    <t>0183006782</t>
  </si>
  <si>
    <t>ISSO</t>
  </si>
  <si>
    <t>CR CM-412, 266,30</t>
  </si>
  <si>
    <t>-1.741111, 38.491861</t>
  </si>
  <si>
    <t>02420</t>
  </si>
  <si>
    <t>33788</t>
  </si>
  <si>
    <t>0183008069</t>
  </si>
  <si>
    <t>ES BENOL 2, SL</t>
  </si>
  <si>
    <t>CARRETERA BARAJAS</t>
  </si>
  <si>
    <t>CR M-111, 8,2</t>
  </si>
  <si>
    <t>-3.545306, 40.528194</t>
  </si>
  <si>
    <t>28860</t>
  </si>
  <si>
    <t>EFITEC 95 N - España, Butano 12,5 Kg, DIESEL E+ NEO - España, DIESEL NEXA 100% RENOVABLE - Esp, Butano 6 Kg (K6), Propano 11 Kg, Butano 12 Kg (NEL)</t>
  </si>
  <si>
    <t>33921</t>
  </si>
  <si>
    <t>0183002781</t>
  </si>
  <si>
    <t>DIBLAN EL BERRON</t>
  </si>
  <si>
    <t>BERRON, EL</t>
  </si>
  <si>
    <t>CL AVENIDA OVIEDO, 13</t>
  </si>
  <si>
    <t>-5.698306, 43.385139</t>
  </si>
  <si>
    <t>33186</t>
  </si>
  <si>
    <t>L-D: 06:30-10:30</t>
  </si>
  <si>
    <t>07566</t>
  </si>
  <si>
    <t>0183004548</t>
  </si>
  <si>
    <t>MUBASHAR AHMED BIBI</t>
  </si>
  <si>
    <t>PEDROLA</t>
  </si>
  <si>
    <t>CR N-232, 276</t>
  </si>
  <si>
    <t>-1.256278, 41.802611</t>
  </si>
  <si>
    <t>50690</t>
  </si>
  <si>
    <t>Restaurante, Parking turismos, Parking camiones, Zona de descanso, Duchas, Aspiradores, Waylet pago en caja</t>
  </si>
  <si>
    <t>02448</t>
  </si>
  <si>
    <t>0183050210</t>
  </si>
  <si>
    <t>ES PETRODEA SL</t>
  </si>
  <si>
    <t>CL HERMANOS BECERRIL, 2</t>
  </si>
  <si>
    <t>-2.134361, 40.066083</t>
  </si>
  <si>
    <t>33631</t>
  </si>
  <si>
    <t>0063212641</t>
  </si>
  <si>
    <t>GRUPO MAICAS PEIRO SLU</t>
  </si>
  <si>
    <t>CR N-234, 175,5</t>
  </si>
  <si>
    <t>-1.346972, 40.78275</t>
  </si>
  <si>
    <t>33804</t>
  </si>
  <si>
    <t>0183017888</t>
  </si>
  <si>
    <t>FROMISTA</t>
  </si>
  <si>
    <t>AVDA. INGENIERO RIVERA, S.N.</t>
  </si>
  <si>
    <t>-4.406917, 42.264278</t>
  </si>
  <si>
    <t>Lavado camiones, Box presión, Aspiradores, Waylet pago en surtidor, Waylet pago en caja, Adblue Envasado, Punto recarga eléctrico Repsol, Recarga eléctrica</t>
  </si>
  <si>
    <t>0183056308</t>
  </si>
  <si>
    <t>E.S. ALZ</t>
  </si>
  <si>
    <t>RIBA-ROJA DE TURIA</t>
  </si>
  <si>
    <t>AT A-3, 341</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</si>
  <si>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</si>
  <si>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</si>
  <si>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</si>
  <si>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</si>
  <si>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11632</t>
  </si>
  <si>
    <t>0183053404</t>
  </si>
  <si>
    <t>E.S. MONTAHUD SL</t>
  </si>
  <si>
    <t>CR CV-760 ,P.K. 2,8</t>
  </si>
  <si>
    <t>-0.078472, 38.605917</t>
  </si>
  <si>
    <t>Rest. Autoservicio, Cafetería/Bar, Lavado camiones, Parking turismos, Box presión, Aspiradores, Waylet pago en surtidor, Waylet pago en caja</t>
  </si>
  <si>
    <t>94518</t>
  </si>
  <si>
    <t>0183133073</t>
  </si>
  <si>
    <t>E.S. DECO-TECHOS SAURA, S.L.</t>
  </si>
  <si>
    <t>DOLORES, LOS - CARTA</t>
  </si>
  <si>
    <t>CALLE ALVAREZ ALONSO, 29</t>
  </si>
  <si>
    <t>-1.006, 37.648</t>
  </si>
  <si>
    <t>33964</t>
  </si>
  <si>
    <t>0183001221</t>
  </si>
  <si>
    <t>GASOLINERA PIEDRAFITA</t>
  </si>
  <si>
    <t>PEDRAFITA DO CEBREIRO</t>
  </si>
  <si>
    <t>AV CASTILLA, 15</t>
  </si>
  <si>
    <t>-7.022444, 42.726556</t>
  </si>
  <si>
    <t>27670</t>
  </si>
  <si>
    <t>10296</t>
  </si>
  <si>
    <t>0183056332</t>
  </si>
  <si>
    <t>E.S. ALHAMA</t>
  </si>
  <si>
    <t>CR MU-414  SANTOMERA-ABANILLA, 6</t>
  </si>
  <si>
    <t>-1.049556, 38.111417</t>
  </si>
  <si>
    <t>L-V: 06:00-23:30; S: 06:30-23:30; D: 07:00-23:30</t>
  </si>
  <si>
    <t>Cafetería/Bar, Taller mecánico, Lavado cepillos, Parking turismos, Parking camiones, Box presión, Aspiradores, Solred cheque lavado, Waylet pago en surtidor, Waylet pago en caja</t>
  </si>
  <si>
    <t>34309</t>
  </si>
  <si>
    <t>0183004233</t>
  </si>
  <si>
    <t>E.S. BLAZQUEZ Y TARRAGO 2007,S.L.</t>
  </si>
  <si>
    <t>CALAHORRA, LA</t>
  </si>
  <si>
    <t>CR A-92 P.K. 312</t>
  </si>
  <si>
    <t>-3.048333, 37.206667</t>
  </si>
  <si>
    <t>L-V: 07:00-18:00</t>
  </si>
  <si>
    <t>Taller neumáticos, Parking turismos, Parking camiones, Waylet pago en caja</t>
  </si>
  <si>
    <t>34325</t>
  </si>
  <si>
    <t>0183016161</t>
  </si>
  <si>
    <t>HERMANOS OTAL ROMEO,S.C.</t>
  </si>
  <si>
    <t>ERLA</t>
  </si>
  <si>
    <t>AV GOYA, 10</t>
  </si>
  <si>
    <t>-0.947806, 42.114389</t>
  </si>
  <si>
    <t>50611</t>
  </si>
  <si>
    <t>L-S: 07:00-21:00; D: 09:00-21:00</t>
  </si>
  <si>
    <t>33493</t>
  </si>
  <si>
    <t>0183009216</t>
  </si>
  <si>
    <t>ES PAMABO Y ASOCIADOS</t>
  </si>
  <si>
    <t>HOSTALRIC</t>
  </si>
  <si>
    <t>CL AVENIDA CORONEL ESTRADA 136</t>
  </si>
  <si>
    <t>2.627472, 41.745944</t>
  </si>
  <si>
    <t>17450</t>
  </si>
  <si>
    <t>L-S: 06:30-21:00</t>
  </si>
  <si>
    <t>33112</t>
  </si>
  <si>
    <t>0063212617</t>
  </si>
  <si>
    <t>ES GOMEZ ESTACION DE SERVICIO SL</t>
  </si>
  <si>
    <t>CR N-340, 585,2</t>
  </si>
  <si>
    <t>-1.752222, 37.616944</t>
  </si>
  <si>
    <t>12669</t>
  </si>
  <si>
    <t>0183011964</t>
  </si>
  <si>
    <t>ES ANTONIO HIDALGO PORCEL</t>
  </si>
  <si>
    <t>CR A-92 SUR P.K. 321</t>
  </si>
  <si>
    <t>-2.959, 37.187806</t>
  </si>
  <si>
    <t>L-V: 06:00-21:00; S: 07:00-14:00; D: 08:00-21:00</t>
  </si>
  <si>
    <t>Restaurante, Cafetería/Bar, Taller mecánico, Lavado camiones, Parking turismos, Parking camiones, Zona de descanso, Box presión, Aspiradores, Waylet pago en caja</t>
  </si>
  <si>
    <t>15989</t>
  </si>
  <si>
    <t>0183052802</t>
  </si>
  <si>
    <t>E.S MUBA ZAFA, S.L (BATEA)</t>
  </si>
  <si>
    <t>BATEA</t>
  </si>
  <si>
    <t>CR C-221, 68</t>
  </si>
  <si>
    <t>0.317111, 41.091778</t>
  </si>
  <si>
    <t>43786</t>
  </si>
  <si>
    <t>L-V: 07:00-20:00; S: 07:00-14:00</t>
  </si>
  <si>
    <t>07107</t>
  </si>
  <si>
    <t>0183100833</t>
  </si>
  <si>
    <t>ES PETROL BOGATELL SL</t>
  </si>
  <si>
    <t>SANT VICENÇ DE MONTALT</t>
  </si>
  <si>
    <t>CR N-2, 654</t>
  </si>
  <si>
    <t>2.519556, 41.566139</t>
  </si>
  <si>
    <t>08394</t>
  </si>
  <si>
    <t>Cafetería/Bar, Aspiradores, Waylet pago en surtidor, Waylet pago en caja, Adblue Envasado, Lavados Klin</t>
  </si>
  <si>
    <t>96643</t>
  </si>
  <si>
    <t>0183110493</t>
  </si>
  <si>
    <t>E.S. FRANCISCO VILLALBA AVILA</t>
  </si>
  <si>
    <t>ECIJA-E.S.</t>
  </si>
  <si>
    <t>CR N-4, 465</t>
  </si>
  <si>
    <t>-5.209056, 37.523556</t>
  </si>
  <si>
    <t>L-D: 06:00-21:00</t>
  </si>
  <si>
    <t>96055</t>
  </si>
  <si>
    <t>0183078344</t>
  </si>
  <si>
    <t>SALOU</t>
  </si>
  <si>
    <t>CR AP-1, 7,8</t>
  </si>
  <si>
    <t>1.150028, 41.077806</t>
  </si>
  <si>
    <t>43840</t>
  </si>
  <si>
    <t>96232</t>
  </si>
  <si>
    <t>0183077379</t>
  </si>
  <si>
    <t>E.S. HERMELA,S.A.</t>
  </si>
  <si>
    <t>CR A-62, 5,7</t>
  </si>
  <si>
    <t>-3.723556, 42.309056</t>
  </si>
  <si>
    <t>Restaurante, Cafetería/Bar, Parking turismos, Parking camiones, Zona de descanso, Waylet pago en caja, Adblue Envasado</t>
  </si>
  <si>
    <t>11393</t>
  </si>
  <si>
    <t>0183137678</t>
  </si>
  <si>
    <t>CARBURANTES Y SERVICIOS GARCERAN AL</t>
  </si>
  <si>
    <t>ALGEZARES</t>
  </si>
  <si>
    <t>CR MU-302 P.K. 3,90 I</t>
  </si>
  <si>
    <t>-1.117194, 37.942056</t>
  </si>
  <si>
    <t>30157</t>
  </si>
  <si>
    <t>96599</t>
  </si>
  <si>
    <t>0183108109</t>
  </si>
  <si>
    <t>ES HERMANOS ESPINO E.S. S.L.</t>
  </si>
  <si>
    <t>GI 636 PK 4,900 M.D.</t>
  </si>
  <si>
    <t>-1.879444, 43.312222</t>
  </si>
  <si>
    <t>L-V: 06:00-22:00; S: 09:00-21:00</t>
  </si>
  <si>
    <t>34556</t>
  </si>
  <si>
    <t>0183017599</t>
  </si>
  <si>
    <t>E.S. DOMAIO SL</t>
  </si>
  <si>
    <t>DOMAYO</t>
  </si>
  <si>
    <t>CR PO-551 P.K.  33,00 A</t>
  </si>
  <si>
    <t>-8.670111, 42.29125</t>
  </si>
  <si>
    <t>36957</t>
  </si>
  <si>
    <t>33333</t>
  </si>
  <si>
    <t>0183004845</t>
  </si>
  <si>
    <t>E.S.  AUTOSERV. BILBAO</t>
  </si>
  <si>
    <t>ETXEBARRI</t>
  </si>
  <si>
    <t>CR N-634, 106,4</t>
  </si>
  <si>
    <t>-2.888444, 43.250806</t>
  </si>
  <si>
    <t>48450</t>
  </si>
  <si>
    <t>L-V: 05:00-22:45; S: 06:00-22:45; D: 06:00-22:00</t>
  </si>
  <si>
    <t>Solred cheque lavado, Waylet pago en caja, Punto recarga eléctrico Repsol</t>
  </si>
  <si>
    <t>34188</t>
  </si>
  <si>
    <t>0183017193</t>
  </si>
  <si>
    <t>MARITORNES S.L.</t>
  </si>
  <si>
    <t>HERENCIA</t>
  </si>
  <si>
    <t>CR N-420, 276</t>
  </si>
  <si>
    <t>-3.344889, 39.37325</t>
  </si>
  <si>
    <t>13640</t>
  </si>
  <si>
    <t>L-D: 06:00-12:00</t>
  </si>
  <si>
    <t>Restaurante, Cafetería/Bar, Lavado cepillos, Box presión, Waylet pago en caja</t>
  </si>
  <si>
    <t>33736</t>
  </si>
  <si>
    <t>0183002765</t>
  </si>
  <si>
    <t>SUM.IND. BAZTAN SL</t>
  </si>
  <si>
    <t>ELIZONDO</t>
  </si>
  <si>
    <t>CR N-121B, 59</t>
  </si>
  <si>
    <t>-1.512361, 43.148639</t>
  </si>
  <si>
    <t>31700</t>
  </si>
  <si>
    <t>Lavado cepillos, Waylet pago en caja</t>
  </si>
  <si>
    <t>96798</t>
  </si>
  <si>
    <t>0183119627</t>
  </si>
  <si>
    <t>ES AS HUETOR TAJAR 2020 SL</t>
  </si>
  <si>
    <t>HUETOR TAJAR</t>
  </si>
  <si>
    <t>A-92 P.K. 200,3</t>
  </si>
  <si>
    <t>-4.054167, 37.181111</t>
  </si>
  <si>
    <t>18360</t>
  </si>
  <si>
    <t>Rest. Autoservicio, Restaurante, Cafetería/Bar, Taller neumáticos, Parking turismos, Parking camiones, Zona de descanso, Duchas, Waylet pago en caja, Adblue Envasado</t>
  </si>
  <si>
    <t>97182</t>
  </si>
  <si>
    <t>0183135847</t>
  </si>
  <si>
    <t>ES FILLOS DE ABADIN INVERSIONES SL</t>
  </si>
  <si>
    <t>CL COLOM, 517</t>
  </si>
  <si>
    <t>2.029389, 41.542194</t>
  </si>
  <si>
    <t>08228</t>
  </si>
  <si>
    <t>L: 24H</t>
  </si>
  <si>
    <t>Sin personal/desatendida, Waylet pago en surtidor</t>
  </si>
  <si>
    <t>15247</t>
  </si>
  <si>
    <t>0183012137</t>
  </si>
  <si>
    <t>E.S. NAVAS AGUEDA SL</t>
  </si>
  <si>
    <t>CR N-122, 147</t>
  </si>
  <si>
    <t>-2.412528, 41.762361</t>
  </si>
  <si>
    <t>07233</t>
  </si>
  <si>
    <t>0183050889</t>
  </si>
  <si>
    <t>ES EDGAR POYATOS VILARODONA</t>
  </si>
  <si>
    <t>VILA-RODONA</t>
  </si>
  <si>
    <t>CR C-51, 26,5</t>
  </si>
  <si>
    <t>1.351222, 41.289778</t>
  </si>
  <si>
    <t>43814</t>
  </si>
  <si>
    <t>Cafetería/Bar, Parking turismos, Parking camiones, Box presión, Waylet pago en caja, Punto recarga eléctrico Repsol</t>
  </si>
  <si>
    <t>12491</t>
  </si>
  <si>
    <t>0183061472</t>
  </si>
  <si>
    <t>E.S. JAVIER ANGEL CABRERA LAPARRA</t>
  </si>
  <si>
    <t>CR N-332, 155,5</t>
  </si>
  <si>
    <t>-0.064694, 38.586556</t>
  </si>
  <si>
    <t>0183054287</t>
  </si>
  <si>
    <t>E.S. GASOLEOS DEL LEVANTE 2015 SL</t>
  </si>
  <si>
    <t>SILLA</t>
  </si>
  <si>
    <t>CL AVENIDA ALICANTE, 70</t>
  </si>
  <si>
    <t>-0.407611, 39.364167</t>
  </si>
  <si>
    <t>46460</t>
  </si>
  <si>
    <t>96227</t>
  </si>
  <si>
    <t>0183076801</t>
  </si>
  <si>
    <t>MATAS Y CAMPINS SUMINISTROS SL</t>
  </si>
  <si>
    <t>SA PORRASA</t>
  </si>
  <si>
    <t>CL CRTRA.CALA FIGUERA (RANCHO H,</t>
  </si>
  <si>
    <t>2.518611, 39.509111</t>
  </si>
  <si>
    <t>07182</t>
  </si>
  <si>
    <t>Cafetería/Bar, Lavado cepillos, Aspiradores, Solred cheque lavado, Waylet pago en caja</t>
  </si>
  <si>
    <t>96889</t>
  </si>
  <si>
    <t>0183119007</t>
  </si>
  <si>
    <t>A.S. LA PEÑA</t>
  </si>
  <si>
    <t>ARCHIDONA</t>
  </si>
  <si>
    <t>CR ENLACE A-92 CR. A-354 KM. 159,7</t>
  </si>
  <si>
    <t>-4.453694, 37.082083</t>
  </si>
  <si>
    <t>29300</t>
  </si>
  <si>
    <t>96829</t>
  </si>
  <si>
    <t>0183120443</t>
  </si>
  <si>
    <t>CRED T1 LADO AIRE</t>
  </si>
  <si>
    <t>PLATAF. AEROP. BARAJAS T123</t>
  </si>
  <si>
    <t>-3.570222, 40.467889</t>
  </si>
  <si>
    <t>96634</t>
  </si>
  <si>
    <t>0183109271</t>
  </si>
  <si>
    <t>GAS SUR SERVICIOS,SL</t>
  </si>
  <si>
    <t>CR MU-602, 11,30</t>
  </si>
  <si>
    <t>-1.083722, 37.710306</t>
  </si>
  <si>
    <t>96029</t>
  </si>
  <si>
    <t>0183076793</t>
  </si>
  <si>
    <t>E.S. LAS CUMBRES,S.L.</t>
  </si>
  <si>
    <t>CL AVENIDA SANCHEZ MECA, S.N.</t>
  </si>
  <si>
    <t>-0.968417, 37.595556</t>
  </si>
  <si>
    <t>30202</t>
  </si>
  <si>
    <t>Lavado cepillos, Parking turismos, Parking camiones, Box presión, Waylet pago en caja</t>
  </si>
  <si>
    <t>96754</t>
  </si>
  <si>
    <t>0183113984</t>
  </si>
  <si>
    <t>TORRES MANCHA,S.L.</t>
  </si>
  <si>
    <t>GUARDIA, LA</t>
  </si>
  <si>
    <t>CR  A-4 P.K. 84,7 M.I.</t>
  </si>
  <si>
    <t>-3.4795, 39.765944</t>
  </si>
  <si>
    <t>45760</t>
  </si>
  <si>
    <t>Restaurante, Parking turismos, Parking camiones, Waylet pago en caja</t>
  </si>
  <si>
    <t>96932</t>
  </si>
  <si>
    <t>0183120377</t>
  </si>
  <si>
    <t>E.S. DONABRI S.L.</t>
  </si>
  <si>
    <t>LLOSA, LA</t>
  </si>
  <si>
    <t>A7 SALIDA 289 ENLACE CV3211</t>
  </si>
  <si>
    <t>-0.226389, 39.77375</t>
  </si>
  <si>
    <t>12591</t>
  </si>
  <si>
    <t>Restaurante, Cafetería/Bar, Parking turismos, Parking camiones, Zona de descanso, Box presión, Duchas, Aspiradores, Waylet pago en caja, Adblue Envasado, Punto recarga eléctrico Repsol</t>
  </si>
  <si>
    <t>97079</t>
  </si>
  <si>
    <t>0183129428</t>
  </si>
  <si>
    <t>CL AVENIDA JAIME I, 24 M.D.</t>
  </si>
  <si>
    <t>0.887806, 41.629694</t>
  </si>
  <si>
    <t/>
  </si>
  <si>
    <t>33219</t>
  </si>
  <si>
    <t>0183078468</t>
  </si>
  <si>
    <t>TORRES DE SEGRE</t>
  </si>
  <si>
    <t>CR A-2, 450</t>
  </si>
  <si>
    <t>0.511667, 41.558861</t>
  </si>
  <si>
    <t>25170</t>
  </si>
  <si>
    <t>94196</t>
  </si>
  <si>
    <t>0183135813</t>
  </si>
  <si>
    <t xml:space="preserve"> E.S. BENIFAIO</t>
  </si>
  <si>
    <t>BENIFAIO</t>
  </si>
  <si>
    <t>CTRA CV 520 PK 5</t>
  </si>
  <si>
    <t>-0.449944, 39.288389</t>
  </si>
  <si>
    <t>46450</t>
  </si>
  <si>
    <t>31417</t>
  </si>
  <si>
    <t>0183011568</t>
  </si>
  <si>
    <t>ESTACION DE SERVICIO MONCHUL LOPEZ</t>
  </si>
  <si>
    <t>ROSAL DE LA FRONTERA</t>
  </si>
  <si>
    <t>CR N-433, 119,9</t>
  </si>
  <si>
    <t>-7.216306, 37.96875</t>
  </si>
  <si>
    <t>21250</t>
  </si>
  <si>
    <t>Cafetería/Bar, Lavado cepillos, Parking turismos, Parking camiones, Waylet pago en caja</t>
  </si>
  <si>
    <t>96324</t>
  </si>
  <si>
    <t>0183101831</t>
  </si>
  <si>
    <t>HERCA 1999     S.L.</t>
  </si>
  <si>
    <t>TEBAR</t>
  </si>
  <si>
    <t>CR CUV8307 (A-3 P.K. 186 MG.DE), 1,</t>
  </si>
  <si>
    <t>-2.158278, 39.484444</t>
  </si>
  <si>
    <t>16213</t>
  </si>
  <si>
    <t>06749</t>
  </si>
  <si>
    <t>0183061134</t>
  </si>
  <si>
    <t>E.S. VILLARCE SANZ PASTOR</t>
  </si>
  <si>
    <t>CL GENERAL SANZ PASTOR, S.N.</t>
  </si>
  <si>
    <t>-3.698667, 42.344667</t>
  </si>
  <si>
    <t>09003</t>
  </si>
  <si>
    <t>L-V: 08:00-16:00</t>
  </si>
  <si>
    <t>05746</t>
  </si>
  <si>
    <t>0063224547</t>
  </si>
  <si>
    <t>ES SOMONTANO SOCIAL SL</t>
  </si>
  <si>
    <t>ESTADILLA</t>
  </si>
  <si>
    <t>CR A-133, 26.60</t>
  </si>
  <si>
    <t>0.239861, 42.055083</t>
  </si>
  <si>
    <t>22423</t>
  </si>
  <si>
    <t>L-V: 07:00-21:00; S: 07:00-14:00</t>
  </si>
  <si>
    <t>96802</t>
  </si>
  <si>
    <t>0183122282</t>
  </si>
  <si>
    <t>E.S. DISGASOIL</t>
  </si>
  <si>
    <t>CR C-717 ,P.K. 53</t>
  </si>
  <si>
    <t>3.1475, 39.370778</t>
  </si>
  <si>
    <t>Restaurante, Cafetería/Bar, Lavado cepillos, Lavado camiones, Parking turismos, Parking camiones, Zona de descanso, Box presión, Aspiradores, Solred cheque lavado, Waylet pago en caja</t>
  </si>
  <si>
    <t>33313</t>
  </si>
  <si>
    <t>0183050574</t>
  </si>
  <si>
    <t>EXPLOTACIONES SAN CRISTOBAL SLU</t>
  </si>
  <si>
    <t>SOCUELLAMOS</t>
  </si>
  <si>
    <t>CR-100, 0,9</t>
  </si>
  <si>
    <t>-2.785167, 39.278444</t>
  </si>
  <si>
    <t>13630</t>
  </si>
  <si>
    <t>L-D: 06:00-23:59</t>
  </si>
  <si>
    <t>33488</t>
  </si>
  <si>
    <t>0183006196</t>
  </si>
  <si>
    <t>ES FERTOL SRL</t>
  </si>
  <si>
    <t>CR N-122, 453,8  D (VILLAGODIO)</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</si>
  <si>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</si>
  <si>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</si>
  <si>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</si>
  <si>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04092</t>
  </si>
  <si>
    <t>0183001510</t>
  </si>
  <si>
    <t>E.S. CELANOVA, S.A.</t>
  </si>
  <si>
    <t>CELANOVA</t>
  </si>
  <si>
    <t>CR N-540, 21,9  D</t>
  </si>
  <si>
    <t>-7.949639, 42.158778</t>
  </si>
  <si>
    <t>32800</t>
  </si>
  <si>
    <t>06032</t>
  </si>
  <si>
    <t>0183111020</t>
  </si>
  <si>
    <t>JUAN PEREZ HENRY</t>
  </si>
  <si>
    <t>BARCA DE LA FLORIDA,</t>
  </si>
  <si>
    <t>CL BARCA DE LA FLORIDA, S.N.</t>
  </si>
  <si>
    <t>-5.934444, 36.649556</t>
  </si>
  <si>
    <t>11570</t>
  </si>
  <si>
    <t>31423</t>
  </si>
  <si>
    <t>0063236566</t>
  </si>
  <si>
    <t>E.S. VIDALLE Y CIA,SRC</t>
  </si>
  <si>
    <t>BIELSA</t>
  </si>
  <si>
    <t>CR A-138, 90,5</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</si>
  <si>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</si>
  <si>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</si>
  <si>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</si>
  <si>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</si>
  <si>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34540</t>
  </si>
  <si>
    <t>0183077734</t>
  </si>
  <si>
    <t>MARIANO GASCUEÑA S.L</t>
  </si>
  <si>
    <t>NUEVO BAZTAN</t>
  </si>
  <si>
    <t>CR M-204, 27</t>
  </si>
  <si>
    <t>-3.243611, 40.364778</t>
  </si>
  <si>
    <t>28514</t>
  </si>
  <si>
    <t>03607</t>
  </si>
  <si>
    <t>0183019512</t>
  </si>
  <si>
    <t>E.S. EDAN,S.A.</t>
  </si>
  <si>
    <t>CL AVENIDA EXTREMADURA, 25</t>
  </si>
  <si>
    <t>-4.818667, 39.962028</t>
  </si>
  <si>
    <t>05737</t>
  </si>
  <si>
    <t>0183013036</t>
  </si>
  <si>
    <t>E.S. PETRO GARROTXA, SL</t>
  </si>
  <si>
    <t>CAMPRODON</t>
  </si>
  <si>
    <t>CR C-151, 23</t>
  </si>
  <si>
    <t>2.359167, 42.304222</t>
  </si>
  <si>
    <t>17867</t>
  </si>
  <si>
    <t>EFITEC 95 N - España, EFITEC 98 N - España, DIESEL E+ NEO - España, Propano 11 Kg</t>
  </si>
  <si>
    <t>06561</t>
  </si>
  <si>
    <t>0183063460</t>
  </si>
  <si>
    <t>E.S. PEÑAS</t>
  </si>
  <si>
    <t>ESPARRAGAL, EL-PTO.LUMBRERAS</t>
  </si>
  <si>
    <t>CR D-11, 10</t>
  </si>
  <si>
    <t>-1.734417, 37.581778</t>
  </si>
  <si>
    <t>30891</t>
  </si>
  <si>
    <t>EFITEC 95 N - España, EFITEC 98 N - España, DIESEL E+ NEO - España, GO-B BONIF - España</t>
  </si>
  <si>
    <t>11831</t>
  </si>
  <si>
    <t>0183109339</t>
  </si>
  <si>
    <t>ES ALJACOR OIL SL</t>
  </si>
  <si>
    <t>MOGUER</t>
  </si>
  <si>
    <t>CR A-494  P.K. 7,10 I</t>
  </si>
  <si>
    <t>-6.838583, 37.264861</t>
  </si>
  <si>
    <t>21800</t>
  </si>
  <si>
    <t>34192</t>
  </si>
  <si>
    <t>0183008150</t>
  </si>
  <si>
    <t>E.S. MEJIAS GONZALEZ ISMAEL</t>
  </si>
  <si>
    <t>CANTILLANA</t>
  </si>
  <si>
    <t>CR SE-111, 28,6</t>
  </si>
  <si>
    <t>-5.819833, 37.615667</t>
  </si>
  <si>
    <t>41320</t>
  </si>
  <si>
    <t>L-V: 06:00-21:00; S: 06:00-20:00; D: 08:00-20:00</t>
  </si>
  <si>
    <t>Lavado cepillos, Parking turismos, Box presión, Waylet pago en surtidor, Waylet pago en caja</t>
  </si>
  <si>
    <t>03076</t>
  </si>
  <si>
    <t>0183015775</t>
  </si>
  <si>
    <t>PETRO ALFARO, S.L.</t>
  </si>
  <si>
    <t>CL AVENIDA ZARAGOZA, 15</t>
  </si>
  <si>
    <t>-1.756417, 42.1785</t>
  </si>
  <si>
    <t>L-V: 08:00-15:00</t>
  </si>
  <si>
    <t>33586</t>
  </si>
  <si>
    <t>0043098243</t>
  </si>
  <si>
    <t>E.S.   EL AVION, S.L.</t>
  </si>
  <si>
    <t>VILLAR DE PLASENCIA</t>
  </si>
  <si>
    <t>CR N-630, 454,3</t>
  </si>
  <si>
    <t>-6.043417, 40.142556</t>
  </si>
  <si>
    <t>10720</t>
  </si>
  <si>
    <t>Cafetería/Bar, Lavado camiones, Parking turismos, Parking camiones, Zona de descanso, Box presión, Duchas, Aspiradores, Waylet pago en caja</t>
  </si>
  <si>
    <t>96306</t>
  </si>
  <si>
    <t>0183100890</t>
  </si>
  <si>
    <t>E.S. TRES CANTOS S.L.</t>
  </si>
  <si>
    <t>CL AV DE LA INDUSTRIA, 58</t>
  </si>
  <si>
    <t>-3.703389, 40.614917</t>
  </si>
  <si>
    <t>Cafetería/Bar, Lavado cepillos, Box presión, Aspiradores, Waylet pago en surtidor, Waylet pago en caja, Punto recarga eléctrico Repsol</t>
  </si>
  <si>
    <t>10936</t>
  </si>
  <si>
    <t>0183053594</t>
  </si>
  <si>
    <t>E.S. LA MANGA OIL</t>
  </si>
  <si>
    <t>ATAMARIA, LA</t>
  </si>
  <si>
    <t>CL ATAMARIA-CMP.GOLF MANGA CLUB,</t>
  </si>
  <si>
    <t>-0.805944, 37.599</t>
  </si>
  <si>
    <t>30385</t>
  </si>
  <si>
    <t>15995</t>
  </si>
  <si>
    <t>0183014802</t>
  </si>
  <si>
    <t>E.S."NTRA.S.D.PILAR"</t>
  </si>
  <si>
    <t>ADAMUZ</t>
  </si>
  <si>
    <t>CR CO-412, 12,7</t>
  </si>
  <si>
    <t>-4.5185, 38.025111</t>
  </si>
  <si>
    <t>14430</t>
  </si>
  <si>
    <t>93914</t>
  </si>
  <si>
    <t>0183118470</t>
  </si>
  <si>
    <t>E.S AREA DE Sº DOÑANA 365</t>
  </si>
  <si>
    <t>CL COTO DE DOÑANA , 1</t>
  </si>
  <si>
    <t>-3.692528, 40.264917</t>
  </si>
  <si>
    <t>Restaurante, Cafetería/Bar, Lavado cepillos, Lavado camiones, Box presión, Aspiradores, Solred cheque lavado, Waylet pago en caja</t>
  </si>
  <si>
    <t>05769</t>
  </si>
  <si>
    <t>0183018985</t>
  </si>
  <si>
    <t>E.S. SAN ROQUE S.L.</t>
  </si>
  <si>
    <t>SALCIDOS</t>
  </si>
  <si>
    <t>CL SAN ROQUE, 33</t>
  </si>
  <si>
    <t>-8.852611, 41.910778</t>
  </si>
  <si>
    <t>36789</t>
  </si>
  <si>
    <t>Taller mecánico, Lavado cepillos, Parking turismos, Zona de descanso, Box presión, Aspiradores, Solred cheque lavado, Waylet pago en caja, Punto recarga eléctrico Repsol</t>
  </si>
  <si>
    <t>12673</t>
  </si>
  <si>
    <t>0183078609</t>
  </si>
  <si>
    <t>SAN BARTOLOME-MEDIALEGUA</t>
  </si>
  <si>
    <t>CR A-311, 1,8</t>
  </si>
  <si>
    <t>-0.864722, 38.107</t>
  </si>
  <si>
    <t>03314</t>
  </si>
  <si>
    <t>L-V: 07:00-21:00; S-D: 08:00-18:00</t>
  </si>
  <si>
    <t>04478</t>
  </si>
  <si>
    <t>0183002625</t>
  </si>
  <si>
    <t>E.S. VALIÑO J.R.S.L.</t>
  </si>
  <si>
    <t>ARZUA</t>
  </si>
  <si>
    <t>CR N-547, 63,8</t>
  </si>
  <si>
    <t>-8.144667, 42.930167</t>
  </si>
  <si>
    <t>15810</t>
  </si>
  <si>
    <t>EFITEC 95 N - España, EFITEC 98 N - España, Butano 12,5 Kg, DIESEL E+ NEO - España, DIESEL E+10 NEO - España, GO-B BONIF - España, Propano 11 Kg, Autogás</t>
  </si>
  <si>
    <t>Lavado cepillos, Parking turismos, Parking camiones, Box presión, Aspiradores, Solred cheque lavado, Waylet pago en caja, Punto recarga eléctrico Repsol</t>
  </si>
  <si>
    <t>96616</t>
  </si>
  <si>
    <t>0183108232</t>
  </si>
  <si>
    <t>E.S. LOS BERMEJALES,S.L.</t>
  </si>
  <si>
    <t>NIEBLA</t>
  </si>
  <si>
    <t>PG POLIG. LOS BERMEJALES CALLE A-PA</t>
  </si>
  <si>
    <t>-6.676222, 37.351472</t>
  </si>
  <si>
    <t>21840</t>
  </si>
  <si>
    <t>Cafetería/Bar, Taller mecánico, Taller neumáticos, Taller eléctrico, Parking turismos, Parking camiones, Zona de descanso, Box presión, Duchas, Aspiradores, Lavandería, Waylet pago en caja, Punto recarga eléctrico Repsol</t>
  </si>
  <si>
    <t>94001</t>
  </si>
  <si>
    <t>0183120047</t>
  </si>
  <si>
    <t>AREA DE SERVICIO LINDABARCAS</t>
  </si>
  <si>
    <t>NOVELLANA</t>
  </si>
  <si>
    <t>AUTOVIA A-8 SALIDA 441</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</si>
  <si>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</si>
  <si>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</si>
  <si>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</si>
  <si>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11129</t>
  </si>
  <si>
    <t>0183012343</t>
  </si>
  <si>
    <t>E.S. RIANXO</t>
  </si>
  <si>
    <t>TARAGOÑA</t>
  </si>
  <si>
    <t>CR C-550, 16,3</t>
  </si>
  <si>
    <t>-8.819944, 42.679306</t>
  </si>
  <si>
    <t>15985</t>
  </si>
  <si>
    <t>L-S: 07:00-23:00; D: 09:00-23:00</t>
  </si>
  <si>
    <t>33325</t>
  </si>
  <si>
    <t>0183076660</t>
  </si>
  <si>
    <t>ES ESTACION SERVICIO QUATE LOCS SL</t>
  </si>
  <si>
    <t>BAUSEN</t>
  </si>
  <si>
    <t>CR N-230, 186</t>
  </si>
  <si>
    <t>0.72975, 42.832111</t>
  </si>
  <si>
    <t>25549</t>
  </si>
  <si>
    <t>EFITEC 95 N - España, DIESEL E+ NEO - España, Propano 11 Kg, BLUE+GRANEL - España, Butano 12 Kg (NEL)</t>
  </si>
  <si>
    <t>Parking turismos, Zona de descanso, Aspiradores, Waylet pago en caja</t>
  </si>
  <si>
    <t>0183061266</t>
  </si>
  <si>
    <t>E.S. URGAVONA S.A.</t>
  </si>
  <si>
    <t>ARJONA</t>
  </si>
  <si>
    <t>CR C-3219, 13,7</t>
  </si>
  <si>
    <t>-4.066944, 37.938306</t>
  </si>
  <si>
    <t>23760</t>
  </si>
  <si>
    <t>EFITEC 95 N - España, DIESEL E+ NEO - España, DIESEL NEXA 100% RENOVABLE - Esp, GO-B BONIF - España</t>
  </si>
  <si>
    <t>05798</t>
  </si>
  <si>
    <t>0183133529</t>
  </si>
  <si>
    <t>ES EXPOGAS GUARDAMAR I</t>
  </si>
  <si>
    <t>CTRA N 332 PK 32,50 MI</t>
  </si>
  <si>
    <t>-0.663861, 38.099472</t>
  </si>
  <si>
    <t>Cafetería/Bar, Lavado cepillos, Parking turismos, Aspiradores, Solred cheque lavado, Waylet pago en caja, Adblue Envasado</t>
  </si>
  <si>
    <t>33583</t>
  </si>
  <si>
    <t>0183006923</t>
  </si>
  <si>
    <t>E.S. DEL REY GZALEZ.</t>
  </si>
  <si>
    <t>BONILLO, EL</t>
  </si>
  <si>
    <t>CR CM-3133, 19,1</t>
  </si>
  <si>
    <t>-2.535056, 38.953361</t>
  </si>
  <si>
    <t>02610</t>
  </si>
  <si>
    <t>S-D: 07:00-15:00</t>
  </si>
  <si>
    <t>06702</t>
  </si>
  <si>
    <t>0183015726</t>
  </si>
  <si>
    <t>ES TRES COLUMNAS,S.L.</t>
  </si>
  <si>
    <t>CL AVDA DE GUADALAJARA, 29</t>
  </si>
  <si>
    <t>-3.358111, 40.487472</t>
  </si>
  <si>
    <t>96090</t>
  </si>
  <si>
    <t>0183104389</t>
  </si>
  <si>
    <t>PAQUEVI VALENCIA,S.L</t>
  </si>
  <si>
    <t>CL AVDA.JUAN XXIII, 64</t>
  </si>
  <si>
    <t>-0.372, 39.458972</t>
  </si>
  <si>
    <t>46025</t>
  </si>
  <si>
    <t>L-V: 06:30-21:50; S-D: 07:00-21:50</t>
  </si>
  <si>
    <t>Lavado cepillos, Aspiradores, Solred cheque lavado, Waylet pago en caja, Adblue Envasado, Punto recarga eléctrico Repsol</t>
  </si>
  <si>
    <t>07376</t>
  </si>
  <si>
    <t>0183137801</t>
  </si>
  <si>
    <t>ES ZIZUR DERECHA</t>
  </si>
  <si>
    <t>CIZUR MAYOR</t>
  </si>
  <si>
    <t>AVENIDA ESTELLA, NUM. 9</t>
  </si>
  <si>
    <t>-1.684194, 42.792917</t>
  </si>
  <si>
    <t>33752</t>
  </si>
  <si>
    <t>0183060672</t>
  </si>
  <si>
    <t>GLEM, S.L. CASTALLA 1</t>
  </si>
  <si>
    <t>CASTALLA</t>
  </si>
  <si>
    <t>CL AVENIDA IBI, 80</t>
  </si>
  <si>
    <t>-0.669611, 38.600944</t>
  </si>
  <si>
    <t>03420</t>
  </si>
  <si>
    <t>96929</t>
  </si>
  <si>
    <t>0183120179</t>
  </si>
  <si>
    <t>E.S. LEDOÑO</t>
  </si>
  <si>
    <t>CULLEREDO</t>
  </si>
  <si>
    <t>LG CENTRO LOGISTICO LEDOÑO PARCELA</t>
  </si>
  <si>
    <t>-8.407444, 43.271056</t>
  </si>
  <si>
    <t>15031</t>
  </si>
  <si>
    <t>31601</t>
  </si>
  <si>
    <t>0183014026</t>
  </si>
  <si>
    <t>E.S.  ESECISA</t>
  </si>
  <si>
    <t>CL SANGENJO C/V GINZO DE LIMIA, S.N</t>
  </si>
  <si>
    <t>-3.705361, 40.483194</t>
  </si>
  <si>
    <t>EFITEC 95 N - España, Efitec 95 Premium, EFITEC 98 N - España, DIESEL E+ NEO - España, DIESEL E+10 NEO - España, Autogás</t>
  </si>
  <si>
    <t>Lavado cepillos, Parking turismos, Aspiradores, Waylet pago en caja, Punto recarga eléctrico Repsol</t>
  </si>
  <si>
    <t>96333</t>
  </si>
  <si>
    <t>0183103050</t>
  </si>
  <si>
    <t>P.ISIDORO ORTIZ,S.L.</t>
  </si>
  <si>
    <t>CL DOS DE MAYO, 167</t>
  </si>
  <si>
    <t>-2.602028, 39.278222</t>
  </si>
  <si>
    <t>Restaurante, Cafetería/Bar, Lavado cepillos, Lavado camiones, Parking turismos, Parking camiones, Zona de descanso, Box presión, Aspiradores, Waylet pago en caja, Punto recarga eléctrico Repsol, Lavados Klin, Recarga eléctrica</t>
  </si>
  <si>
    <t>15762</t>
  </si>
  <si>
    <t>0183002849</t>
  </si>
  <si>
    <t>E.S. JUAN CARLOS RODRIGUEZ LOPEZ</t>
  </si>
  <si>
    <t>CAMPELLO</t>
  </si>
  <si>
    <t>CR N-332, 122,5 DE</t>
  </si>
  <si>
    <t>-0.373611, 38.450167</t>
  </si>
  <si>
    <t>03560</t>
  </si>
  <si>
    <t>Lavado cepillos, Parking turismos, Parking camiones, Aspiradores, Solred cheque lavado, Waylet pago en caja, Adblue Envasado</t>
  </si>
  <si>
    <t>15432</t>
  </si>
  <si>
    <t>0183005065</t>
  </si>
  <si>
    <t>C.R. J.MANUEL BIELSA</t>
  </si>
  <si>
    <t>TELLA-SIN</t>
  </si>
  <si>
    <t>CR A-138, 70,2</t>
  </si>
  <si>
    <t>0.212917, 42.584167</t>
  </si>
  <si>
    <t>22365</t>
  </si>
  <si>
    <t>L-D: 09:00-20:00</t>
  </si>
  <si>
    <t>EFITEC 95 N - España, Butano 12,5 Kg, DIESEL E+ NEO - España, DIESEL NEXA 100% RENOVABLE - Esp, GO-B BONIF - España</t>
  </si>
  <si>
    <t>11966</t>
  </si>
  <si>
    <t>0183058361</t>
  </si>
  <si>
    <t>E.S. NAVAS HUERTOS</t>
  </si>
  <si>
    <t>ADRADA, LA</t>
  </si>
  <si>
    <t>CR C-501, 79,3</t>
  </si>
  <si>
    <t>-4.641667, 40.30375</t>
  </si>
  <si>
    <t>05430</t>
  </si>
  <si>
    <t>Lavado cepillos, Parking turismos, Parking camiones, Box presión, Aspiradores, Waylet pago en caja, Punto recarga eléctrico Repsol</t>
  </si>
  <si>
    <t>31302</t>
  </si>
  <si>
    <t>0183015718</t>
  </si>
  <si>
    <t>E.S. CANGAS LA MORRA S.L</t>
  </si>
  <si>
    <t>CANGAS DE ONIS</t>
  </si>
  <si>
    <t>CL AVENIDA COVADONGA, S.N.</t>
  </si>
  <si>
    <t>-5.119889, 43.350889</t>
  </si>
  <si>
    <t>33550</t>
  </si>
  <si>
    <t>15672</t>
  </si>
  <si>
    <t>0183003078</t>
  </si>
  <si>
    <t>ES GALURESA CATOIRA</t>
  </si>
  <si>
    <t>BAYUCA</t>
  </si>
  <si>
    <t>CR PO-548 P.K. 7,8</t>
  </si>
  <si>
    <t>-8.711667, 42.670111</t>
  </si>
  <si>
    <t>36612</t>
  </si>
  <si>
    <t>Zona de descanso, Waylet pago en caja, Adblue Envasado, Punto recarga eléctrico Repsol</t>
  </si>
  <si>
    <t>31068</t>
  </si>
  <si>
    <t>0183016500</t>
  </si>
  <si>
    <t>ES XERTA</t>
  </si>
  <si>
    <t>XERTA</t>
  </si>
  <si>
    <t>CR C-12, 11</t>
  </si>
  <si>
    <t>0.484917, 40.905389</t>
  </si>
  <si>
    <t>43592</t>
  </si>
  <si>
    <t>L-V: 07:30-14:30</t>
  </si>
  <si>
    <t>33016</t>
  </si>
  <si>
    <t>0183000041</t>
  </si>
  <si>
    <t>E.S. CARBURANTES BENICASSIM</t>
  </si>
  <si>
    <t>BENICASIM</t>
  </si>
  <si>
    <t>CR N-340, 986,8</t>
  </si>
  <si>
    <t>0.054167, 40.0505</t>
  </si>
  <si>
    <t>20021</t>
  </si>
  <si>
    <t>0183115724</t>
  </si>
  <si>
    <t>E.S. EST. AUTOBUSES DE BADAJOZ ,S.A</t>
  </si>
  <si>
    <t>CL JOSE REBOLLO LOPEZ, 2</t>
  </si>
  <si>
    <t>-6.974528, 38.866139</t>
  </si>
  <si>
    <t>05482</t>
  </si>
  <si>
    <t>0183057314</t>
  </si>
  <si>
    <t>E.S. ALVAREZ, S.L.</t>
  </si>
  <si>
    <t>ALMODOVAR DEL PINAR</t>
  </si>
  <si>
    <t>CR N-320, 91,9</t>
  </si>
  <si>
    <t>-1.902278, 39.724528</t>
  </si>
  <si>
    <t>16130</t>
  </si>
  <si>
    <t>96521</t>
  </si>
  <si>
    <t>0183110634</t>
  </si>
  <si>
    <t>ES CATALAN PALANQUES DIANA</t>
  </si>
  <si>
    <t>SAN JUAN DE MORO</t>
  </si>
  <si>
    <t>CR CV-16  P.K. 8</t>
  </si>
  <si>
    <t>-0.152139, 40.040972</t>
  </si>
  <si>
    <t>12130</t>
  </si>
  <si>
    <t>L-J: 07:00-20:30; S-D: 08:00-14:00</t>
  </si>
  <si>
    <t>Restaurante, Cafetería/Bar, Parking turismos, Parking camiones, Zona de descanso, Duchas, Waylet pago en surtidor, Waylet pago en caja, Adblue Envasado, Punto recarga eléctrico Repsol</t>
  </si>
  <si>
    <t>33305</t>
  </si>
  <si>
    <t>0183019405</t>
  </si>
  <si>
    <t>E.S. GESMAESA-GIJON</t>
  </si>
  <si>
    <t>CL AVENIDA PORTUGAL, 44</t>
  </si>
  <si>
    <t>-5.671306, 43.537917</t>
  </si>
  <si>
    <t>33207</t>
  </si>
  <si>
    <t>34081</t>
  </si>
  <si>
    <t>0040147514</t>
  </si>
  <si>
    <t>E.S. TERA GASOLINERA SL</t>
  </si>
  <si>
    <t>CR N-120, 309,9</t>
  </si>
  <si>
    <t>-5.631944, 42.584861</t>
  </si>
  <si>
    <t>97010</t>
  </si>
  <si>
    <t>0183124734</t>
  </si>
  <si>
    <t>ES CROSROMA, S.L.</t>
  </si>
  <si>
    <t>DAIMIEL</t>
  </si>
  <si>
    <t>POLIG. INDUST. CIDAG, C/ PONIENTE,</t>
  </si>
  <si>
    <t>-3.589639, 39.0485</t>
  </si>
  <si>
    <t>13250</t>
  </si>
  <si>
    <t>L-V: 06:30-22:30; S-D: 09:00-21:00</t>
  </si>
  <si>
    <t>Restaurante, Cafetería/Bar, Parking turismos, Parking camiones, Zona de descanso, Box presión, Aspiradores, Waylet pago en caja</t>
  </si>
  <si>
    <t>34523</t>
  </si>
  <si>
    <t>0183000371</t>
  </si>
  <si>
    <t>ES GASOTO TOLDANOS</t>
  </si>
  <si>
    <t>TOLDANOS</t>
  </si>
  <si>
    <t>CR N-601, 316</t>
  </si>
  <si>
    <t>-5.462361, 42.547667</t>
  </si>
  <si>
    <t>24226</t>
  </si>
  <si>
    <t>Lavado cepillos, Parking turismos, Box presión, Aspiradores, Solred cheque lavado, Waylet pago en surtidor, Waylet pago en caja, Adblue Envasado</t>
  </si>
  <si>
    <t>05572</t>
  </si>
  <si>
    <t>0183006444</t>
  </si>
  <si>
    <t>ES SOMONTANO SOCIAL, SL</t>
  </si>
  <si>
    <t>LANAJA</t>
  </si>
  <si>
    <t>CTRA A-1221, KM 0,500</t>
  </si>
  <si>
    <t>-0.327639, 41.769472</t>
  </si>
  <si>
    <t>22250</t>
  </si>
  <si>
    <t>15824</t>
  </si>
  <si>
    <t>0183053040</t>
  </si>
  <si>
    <t>HNOS.CAMPA PRADO,C.B</t>
  </si>
  <si>
    <t>CL GENERAL ELORZA 30</t>
  </si>
  <si>
    <t>-5.843889, 43.366778</t>
  </si>
  <si>
    <t>33001</t>
  </si>
  <si>
    <t>10525</t>
  </si>
  <si>
    <t>0183056100</t>
  </si>
  <si>
    <t>COMBUSTIBLES AS FONTES,S.L.</t>
  </si>
  <si>
    <t>CL CARRETERA DE CHANTADA, S.N.</t>
  </si>
  <si>
    <t>-7.527194, 42.526056</t>
  </si>
  <si>
    <t>EFITEC 95 N - España, EFITEC 98 N - España, DIESEL E+ NEO - España, DIESEL E+10 NEO - España, GO-B BONIF - España, Propano 11 Kg, BLUE+GRANEL - España, Autogás, Butano 12 Kg (NEL)</t>
  </si>
  <si>
    <t>96706</t>
  </si>
  <si>
    <t>0183121557</t>
  </si>
  <si>
    <t>E.S. CAN CALDERON</t>
  </si>
  <si>
    <t>SAN BOI DE LLOBREGAT</t>
  </si>
  <si>
    <t>CL RIERA FONOLLAR, 38</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</si>
  <si>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</si>
  <si>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</si>
  <si>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</si>
  <si>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</si>
  <si>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96357</t>
  </si>
  <si>
    <t>0183106368</t>
  </si>
  <si>
    <t>PARLA ABORGA</t>
  </si>
  <si>
    <t>CL LONDRES, 43</t>
  </si>
  <si>
    <t>-3.754139, 40.238694</t>
  </si>
  <si>
    <t>04691</t>
  </si>
  <si>
    <t>0183053420</t>
  </si>
  <si>
    <t>ARIÑO SIGLO XXI, S.L.</t>
  </si>
  <si>
    <t>VILLANUEVA DE GALLEGO</t>
  </si>
  <si>
    <t>CR N-330   A, 513</t>
  </si>
  <si>
    <t>-0.831278, 41.761472</t>
  </si>
  <si>
    <t>50830</t>
  </si>
  <si>
    <t>Lavado cepillos, Zona de descanso, Box presión, Aspiradores, Solred cheque lavado, Waylet pago en caja</t>
  </si>
  <si>
    <t>12596</t>
  </si>
  <si>
    <t>0183063718</t>
  </si>
  <si>
    <t>E.S. ALIVIO, S.L.</t>
  </si>
  <si>
    <t>CR N-122, 464</t>
  </si>
  <si>
    <t>-5.797056, 41.521111</t>
  </si>
  <si>
    <t>49027</t>
  </si>
  <si>
    <t>34423</t>
  </si>
  <si>
    <t>0183016203</t>
  </si>
  <si>
    <t>GASOL PUERTA CABAÑAS</t>
  </si>
  <si>
    <t>ALFAMEN</t>
  </si>
  <si>
    <t>CR A-1304, 7,3</t>
  </si>
  <si>
    <t>-1.24025, 41.436444</t>
  </si>
  <si>
    <t>50461</t>
  </si>
  <si>
    <t>L-S: 08:00-13:00</t>
  </si>
  <si>
    <t>04950</t>
  </si>
  <si>
    <t>0206000283</t>
  </si>
  <si>
    <t>GASOLINERA A2-31 S.L.</t>
  </si>
  <si>
    <t>OLMILLOS DE SASAMON</t>
  </si>
  <si>
    <t>CR N-120, 144</t>
  </si>
  <si>
    <t>-4.038056, 42.399444</t>
  </si>
  <si>
    <t>09123</t>
  </si>
  <si>
    <t>03882</t>
  </si>
  <si>
    <t>0183017706</t>
  </si>
  <si>
    <t>ES COLON TERRASA SL</t>
  </si>
  <si>
    <t>CR. N-150 18</t>
  </si>
  <si>
    <t>2.024278, 41.558444</t>
  </si>
  <si>
    <t>08227</t>
  </si>
  <si>
    <t>L: 06:00-23:59</t>
  </si>
  <si>
    <t>Parking turismos, Solred cheque lavado, Waylet pago en surtidor, Waylet pago en caja</t>
  </si>
  <si>
    <t>34636</t>
  </si>
  <si>
    <t>0183061027</t>
  </si>
  <si>
    <t>E.S. SANTIAGO GARCIA TRADING</t>
  </si>
  <si>
    <t>RIOJA</t>
  </si>
  <si>
    <t>CR A-92  P.K. 386 (SALIDA 382)</t>
  </si>
  <si>
    <t>-2.466583, 36.96075</t>
  </si>
  <si>
    <t>04260</t>
  </si>
  <si>
    <t>EFITEC 95 N - España, EFITEC 98 N - España, Butano 12,5 Kg, DIESEL E+ NEO - España</t>
  </si>
  <si>
    <t>05006</t>
  </si>
  <si>
    <t>0183012996</t>
  </si>
  <si>
    <t>E.S. PETRO GARROTXA S.L.</t>
  </si>
  <si>
    <t>S.JOAN DE LAS ABADES</t>
  </si>
  <si>
    <t>CR C-151, 10,6</t>
  </si>
  <si>
    <t>2.290778, 42.234417</t>
  </si>
  <si>
    <t>17860</t>
  </si>
  <si>
    <t>Restaurante, Parking turismos, Waylet pago en surtidor, Waylet pago en caja, Punto recarga eléctrico Repsol</t>
  </si>
  <si>
    <t>13280</t>
  </si>
  <si>
    <t>0183076116</t>
  </si>
  <si>
    <t>CAEMPESA, S.L.</t>
  </si>
  <si>
    <t>ALMADEN DE LA PLATA</t>
  </si>
  <si>
    <t>CR C-421, 113,8</t>
  </si>
  <si>
    <t>-6.087806, 37.870444</t>
  </si>
  <si>
    <t>41240</t>
  </si>
  <si>
    <t>V: 08:00-20:00</t>
  </si>
  <si>
    <t>Taller neumáticos, Box presión, Aspiradores, Waylet pago en caja</t>
  </si>
  <si>
    <t>97149</t>
  </si>
  <si>
    <t>0183134808</t>
  </si>
  <si>
    <t>ES MONFARRACINOS</t>
  </si>
  <si>
    <t>MONFARRACINOS</t>
  </si>
  <si>
    <t>CTRA C-612 PK 116,700</t>
  </si>
  <si>
    <t>-5.708167, 41.546278</t>
  </si>
  <si>
    <t>49121</t>
  </si>
  <si>
    <t>L-D: 06:00-01:00</t>
  </si>
  <si>
    <t>96516</t>
  </si>
  <si>
    <t>0183105519</t>
  </si>
  <si>
    <t>ES VILLAMURIEL, S.L.U.</t>
  </si>
  <si>
    <t>VILLAMURIEL DE CERRATO</t>
  </si>
  <si>
    <t>CR P-900, PK.5</t>
  </si>
  <si>
    <t>-4.519444, 41.957222</t>
  </si>
  <si>
    <t>34092</t>
  </si>
  <si>
    <t>0183007905</t>
  </si>
  <si>
    <t>ES Mª DE LOS ÁNGELES NÚÑEZ MELÉNDEZ</t>
  </si>
  <si>
    <t>MEDINA SIDONIA</t>
  </si>
  <si>
    <t>CR C-440, 32</t>
  </si>
  <si>
    <t>-5.915833, 36.479472</t>
  </si>
  <si>
    <t>11170</t>
  </si>
  <si>
    <t>Restaurante, Cafetería/Bar, Lavado camiones, Parking turismos, Parking camiones, Zona de descanso, Box presión, Aspiradores, Solred cheque lavado, Waylet pago en surtidor, Waylet pago en caja, Adblue Envasado</t>
  </si>
  <si>
    <t>07128</t>
  </si>
  <si>
    <t>0183107366</t>
  </si>
  <si>
    <t>ES KAIROS MEDITERRANIA, SLU</t>
  </si>
  <si>
    <t>COSTA DE LA CALMA</t>
  </si>
  <si>
    <t>CR C-719     PALMA-PTO.ANDR, 19</t>
  </si>
  <si>
    <t>2.486722, 39.526472</t>
  </si>
  <si>
    <t>EFITEC 95 N - España, EFITEC 98 N - España, Butano 12,5 Kg, DIESEL E+ NEO - España, DIESEL E+10 NEO - España, Butano 6 Kg (K6), BLUE+GRANEL - España, Autogás</t>
  </si>
  <si>
    <t>04001</t>
  </si>
  <si>
    <t>0183005552</t>
  </si>
  <si>
    <t>E.S. FAM. COCA PEREZ</t>
  </si>
  <si>
    <t>MADRIGAL DE LAS ALTAS TORRES</t>
  </si>
  <si>
    <t>CR C-610, 26  I</t>
  </si>
  <si>
    <t>-5, 41.092972</t>
  </si>
  <si>
    <t>05220</t>
  </si>
  <si>
    <t>00177</t>
  </si>
  <si>
    <t>0183063239</t>
  </si>
  <si>
    <t>E.S. SANCHEZ SL</t>
  </si>
  <si>
    <t>CL CARDENAL GONZALEZ DE MENDOZA,</t>
  </si>
  <si>
    <t>-3.170111, 40.633639</t>
  </si>
  <si>
    <t>19001</t>
  </si>
  <si>
    <t>92749</t>
  </si>
  <si>
    <t>0183131366</t>
  </si>
  <si>
    <t>E.S. GRUPO MAICAS MANZANERA</t>
  </si>
  <si>
    <t>MANZANERA</t>
  </si>
  <si>
    <t>CTRA A-1514 POLIGONO LAS BATEAS KM</t>
  </si>
  <si>
    <t>-0.825333, 40.063472</t>
  </si>
  <si>
    <t>44420</t>
  </si>
  <si>
    <t>Parking turismos, Parking camiones, Aspiradores, Waylet pago en caja</t>
  </si>
  <si>
    <t>06536</t>
  </si>
  <si>
    <t>0183053248</t>
  </si>
  <si>
    <t>U.S. SAN ANTOLIN</t>
  </si>
  <si>
    <t>SAN ANTOLIN DE IBIAS</t>
  </si>
  <si>
    <t>CL BARRIO SAN ANTOLIN DE IBIAS, S.N</t>
  </si>
  <si>
    <t>-6.871306, 43.038139</t>
  </si>
  <si>
    <t>33810</t>
  </si>
  <si>
    <t>L-D: 08:00-14:00 y 15:00-21:00</t>
  </si>
  <si>
    <t>96009</t>
  </si>
  <si>
    <t>0183075886</t>
  </si>
  <si>
    <t>GASOLEOS MALLORCA SL</t>
  </si>
  <si>
    <t>CL ABEVRADERO-ESQUINA CR C-715, S.N</t>
  </si>
  <si>
    <t>3.360278, 39.696194</t>
  </si>
  <si>
    <t>EFITEC 95 N - España, EFITEC 98 N - España, DIESEL E+ NEO - España, DIESEL E+10 NEO - España, Butano 6 Kg (K6)</t>
  </si>
  <si>
    <t>92439</t>
  </si>
  <si>
    <t>0183132646</t>
  </si>
  <si>
    <t>ES CALVO WALIÑO SL</t>
  </si>
  <si>
    <t>BA-624  PK 30,49</t>
  </si>
  <si>
    <t>-5.68025, 38.748667</t>
  </si>
  <si>
    <t>Cafetería/Bar, Lavado cepillos, Parking camiones, Box presión, Duchas, Aspiradores, Waylet pago en caja</t>
  </si>
  <si>
    <t>05763</t>
  </si>
  <si>
    <t>0183053727</t>
  </si>
  <si>
    <t>E.S. EL BATAN,SA</t>
  </si>
  <si>
    <t>CR A-5, 5,4</t>
  </si>
  <si>
    <t>-3.7615, 40.401833</t>
  </si>
  <si>
    <t>28011</t>
  </si>
  <si>
    <t>96069</t>
  </si>
  <si>
    <t>0183080068</t>
  </si>
  <si>
    <t>Ripoll Baleares</t>
  </si>
  <si>
    <t>CL BALEARES, 20</t>
  </si>
  <si>
    <t>-0.354472, 39.462944</t>
  </si>
  <si>
    <t>46023</t>
  </si>
  <si>
    <t>Cafetería/Bar, Lavado cepillos, Box presión, Aspiradores, Solred cheque lavado, Waylet pago en surtidor, Waylet pago en caja, Punto recarga eléctrico Repsol</t>
  </si>
  <si>
    <t>96205</t>
  </si>
  <si>
    <t>0183077403</t>
  </si>
  <si>
    <t>E.S. SALCEA, SA</t>
  </si>
  <si>
    <t>LOZOYUELA</t>
  </si>
  <si>
    <t>CR N-1, 64,4</t>
  </si>
  <si>
    <t>-3.608389, 40.904694</t>
  </si>
  <si>
    <t>28752</t>
  </si>
  <si>
    <t>96779</t>
  </si>
  <si>
    <t>0183114859</t>
  </si>
  <si>
    <t>E.S. ANGORA N.R. ,S.L.</t>
  </si>
  <si>
    <t>CANDELEDA</t>
  </si>
  <si>
    <t>CR  AV-910 P.K. 1,910</t>
  </si>
  <si>
    <t>-5.232083, 40.139583</t>
  </si>
  <si>
    <t>05480</t>
  </si>
  <si>
    <t>Cafetería/Bar, Lavado cepillos, Parking turismos, Parking camiones, Box presión, Waylet pago en caja, Punto recarga eléctrico Repsol</t>
  </si>
  <si>
    <t>96965</t>
  </si>
  <si>
    <t>0183122720</t>
  </si>
  <si>
    <t>E.S. XABI</t>
  </si>
  <si>
    <t>VALCARLOS</t>
  </si>
  <si>
    <t>BARRIO LAS VENTAS S/N VENTA XABI</t>
  </si>
  <si>
    <t>-1.271333, 43.116889</t>
  </si>
  <si>
    <t>31660</t>
  </si>
  <si>
    <t>L: 08:00-19:30</t>
  </si>
  <si>
    <t>96766</t>
  </si>
  <si>
    <t>0183114628</t>
  </si>
  <si>
    <t>E.S. ARAGON - ZOILO RIOS</t>
  </si>
  <si>
    <t>VILLARRAPA</t>
  </si>
  <si>
    <t>CR  A-68 , P.K. 258,25</t>
  </si>
  <si>
    <t>-1.078944, 41.740389</t>
  </si>
  <si>
    <t>50692</t>
  </si>
  <si>
    <t>L-V: 05:00-22:00; S-D: 08:00-22:00</t>
  </si>
  <si>
    <t>Rest. Autoservicio, Cafetería/Bar, Lavado cepillos, Parking turismos, Parking camiones, Duchas, Aspiradores, Solred cheque lavado, Waylet pago en surtidor, Waylet pago en caja</t>
  </si>
  <si>
    <t>96908</t>
  </si>
  <si>
    <t>0183119817</t>
  </si>
  <si>
    <t>E.S. PIOZ</t>
  </si>
  <si>
    <t>PIOZ</t>
  </si>
  <si>
    <t>CM-2004 KM 21,5</t>
  </si>
  <si>
    <t>-3.178028, 40.464111</t>
  </si>
  <si>
    <t>19162</t>
  </si>
  <si>
    <t>03890</t>
  </si>
  <si>
    <t>0063110050</t>
  </si>
  <si>
    <t>BENES PRODUCTOS PETROLIFEROS,S.L.</t>
  </si>
  <si>
    <t>AV AVDA DE ARAGON , 7</t>
  </si>
  <si>
    <t>-2.406833, 42.459722</t>
  </si>
  <si>
    <t>Lavado cepillos, Parking turismos, Parking camiones, Box presión, Solred cheque lavado, Waylet pago en caja, Punto recarga eléctrico Repsol</t>
  </si>
  <si>
    <t>06546</t>
  </si>
  <si>
    <t>0183056050</t>
  </si>
  <si>
    <t>U.S. ESTACIONES DE SERVICIO ABARAN</t>
  </si>
  <si>
    <t>BLANCA</t>
  </si>
  <si>
    <t>CR MU-553, 2,5</t>
  </si>
  <si>
    <t>-1.352694, 38.177917</t>
  </si>
  <si>
    <t>30540</t>
  </si>
  <si>
    <t>L-S: 07:00-20:00</t>
  </si>
  <si>
    <t>06735</t>
  </si>
  <si>
    <t>0183063007</t>
  </si>
  <si>
    <t>JOSE Mª PORTELA TORRES</t>
  </si>
  <si>
    <t>BAÑOS DE MONTEMAYOR</t>
  </si>
  <si>
    <t>CR N-630, 428,5</t>
  </si>
  <si>
    <t>-5.858028, 40.319167</t>
  </si>
  <si>
    <t>10750</t>
  </si>
  <si>
    <t>L-D: 10:30-14:30 y 18:30-21:30</t>
  </si>
  <si>
    <t>96900</t>
  </si>
  <si>
    <t>0183121458</t>
  </si>
  <si>
    <t>ES VILLARROBLEDO</t>
  </si>
  <si>
    <t>CR A-43 P.K. 129 M.D.</t>
  </si>
  <si>
    <t>-2.586778, 39.258778</t>
  </si>
  <si>
    <t>33128</t>
  </si>
  <si>
    <t>0183014513</t>
  </si>
  <si>
    <t>ES CODISOIL ARCO LADRILLO</t>
  </si>
  <si>
    <t>CL PASEO ARCO DE LADRILLO 65</t>
  </si>
  <si>
    <t>-4.727306, 41.629611</t>
  </si>
  <si>
    <t>47013</t>
  </si>
  <si>
    <t>12518</t>
  </si>
  <si>
    <t>0183133081</t>
  </si>
  <si>
    <t>MALLETA S.L.</t>
  </si>
  <si>
    <t>ENTRIMO</t>
  </si>
  <si>
    <t>CR N-540, 59,8</t>
  </si>
  <si>
    <t>-8.0945, 41.911528</t>
  </si>
  <si>
    <t>32860</t>
  </si>
  <si>
    <t>96763</t>
  </si>
  <si>
    <t>0183114495</t>
  </si>
  <si>
    <t>ES REPSOL - CEAO 3</t>
  </si>
  <si>
    <t>CL AVDA. BENIGNO RIBERA ,S.N. (POL.</t>
  </si>
  <si>
    <t>-7.565611, 43.050806</t>
  </si>
  <si>
    <t>L-V: 06:00-23:00; S-D: 07:30-23:00</t>
  </si>
  <si>
    <t>Lavado camiones, Parking turismos, Box presión, Solred cheque lavado, Waylet pago en caja, Punto recarga eléctrico Repsol</t>
  </si>
  <si>
    <t>02139</t>
  </si>
  <si>
    <t>0183063502</t>
  </si>
  <si>
    <t>GRC INTEGRA SL</t>
  </si>
  <si>
    <t>AVENIDA RONDA, 11</t>
  </si>
  <si>
    <t>-4.265556, 42.793278</t>
  </si>
  <si>
    <t>L: 08:00-22:00</t>
  </si>
  <si>
    <t>06745</t>
  </si>
  <si>
    <t>0183052372</t>
  </si>
  <si>
    <t>ES PEDRO LOPEZ PEREZ</t>
  </si>
  <si>
    <t>BOAL</t>
  </si>
  <si>
    <t>CR AS-12, 26</t>
  </si>
  <si>
    <t>-6.815833, 43.431056</t>
  </si>
  <si>
    <t>33720</t>
  </si>
  <si>
    <t>S-D: 24H</t>
  </si>
  <si>
    <t>Box presión, Sin personal/desatendida, Aspiradores, Waylet pago en caja</t>
  </si>
  <si>
    <t>92286</t>
  </si>
  <si>
    <t>0183135870</t>
  </si>
  <si>
    <t>AVDA. DE CREVILLENTE SN</t>
  </si>
  <si>
    <t>-0.71825, 38.260389</t>
  </si>
  <si>
    <t>03205</t>
  </si>
  <si>
    <t>33530</t>
  </si>
  <si>
    <t>0183002476</t>
  </si>
  <si>
    <t>ES ENERGAS LA MANCHA SL</t>
  </si>
  <si>
    <t>VALDEPEÑAS</t>
  </si>
  <si>
    <t>CR CM-412, PK 84,8</t>
  </si>
  <si>
    <t>-3.3985, 38.766444</t>
  </si>
  <si>
    <t>13300</t>
  </si>
  <si>
    <t>97169</t>
  </si>
  <si>
    <t>0183135193</t>
  </si>
  <si>
    <t>ES A.S. MOLLADAR</t>
  </si>
  <si>
    <t>BO MOLLADAR 1</t>
  </si>
  <si>
    <t>-4.068861, 43.319056</t>
  </si>
  <si>
    <t>Cafetería/Bar, Parking turismos, Aspiradores, Solred cheque lavado, Waylet pago en caja, Punto recarga eléctrico Repsol, Recarga eléctrica</t>
  </si>
  <si>
    <t>03442</t>
  </si>
  <si>
    <t>0183106137</t>
  </si>
  <si>
    <t>ES NOVAL LOPEZ JUAN BAUTISTA</t>
  </si>
  <si>
    <t>POLA DE SIERO</t>
  </si>
  <si>
    <t>CL PLAZA ARGUELLES, S.N.</t>
  </si>
  <si>
    <t>-5.661278, 43.393306</t>
  </si>
  <si>
    <t>L-V: 07:00-20:00; S: 08:00-14:00</t>
  </si>
  <si>
    <t>97161</t>
  </si>
  <si>
    <t>0183134402</t>
  </si>
  <si>
    <t>E.S. ZOILO RIOS - EL CISNE II</t>
  </si>
  <si>
    <t>CR A-2, 309 MD</t>
  </si>
  <si>
    <t>-1.010028, 41.624556</t>
  </si>
  <si>
    <t>11474</t>
  </si>
  <si>
    <t>0183057918</t>
  </si>
  <si>
    <t>E.S. GASOLINERA SAN RAFAEL SL</t>
  </si>
  <si>
    <t>SAN RAFAEL-6</t>
  </si>
  <si>
    <t>CR C-731, 7,1</t>
  </si>
  <si>
    <t>1.397306, 38.961306</t>
  </si>
  <si>
    <t>07816</t>
  </si>
  <si>
    <t>EFITEC 95 N - España, EFITEC 98 N - España, DIESEL E+ NEO - España, DIESEL E+10 NEO - España, GO-B BONIF - España, Butano 6 Kg (K6), BLUE+GRANEL - España, Autogás, Butano 12 Kg (NEL)</t>
  </si>
  <si>
    <t>15318</t>
  </si>
  <si>
    <t>0183057942</t>
  </si>
  <si>
    <t>E.S.  EL PARADOR</t>
  </si>
  <si>
    <t>ZORITA</t>
  </si>
  <si>
    <t>CR C-401, 225</t>
  </si>
  <si>
    <t>-5.694889, 39.291028</t>
  </si>
  <si>
    <t>10130</t>
  </si>
  <si>
    <t>15327</t>
  </si>
  <si>
    <t>0183058825</t>
  </si>
  <si>
    <t>DISTRIB.Y SUMINS. SAMANIEGO,S.L.</t>
  </si>
  <si>
    <t>VALENCIA DE LAS TORR</t>
  </si>
  <si>
    <t>CR C-413, 163,9</t>
  </si>
  <si>
    <t>-6.001778, 38.406861</t>
  </si>
  <si>
    <t>06444</t>
  </si>
  <si>
    <t>D: 08:00-20:00</t>
  </si>
  <si>
    <t>07602</t>
  </si>
  <si>
    <t>0183058452</t>
  </si>
  <si>
    <t>E.S.  MEDELGA, S.L.</t>
  </si>
  <si>
    <t>CAMPOS DEL PARAISO</t>
  </si>
  <si>
    <t>CR N-400 (ANTIGUA), 124,7</t>
  </si>
  <si>
    <t>-2.733306, 40.035444</t>
  </si>
  <si>
    <t>16830</t>
  </si>
  <si>
    <t>L-S: 07:00-21:30; D: 08:00-21:30</t>
  </si>
  <si>
    <t>96952</t>
  </si>
  <si>
    <t>0183122084</t>
  </si>
  <si>
    <t>ES PULIANAS GESBALISA</t>
  </si>
  <si>
    <t>C/PEDRO MACHUCA S/N</t>
  </si>
  <si>
    <t>-3.61, 37.211111</t>
  </si>
  <si>
    <t>Cafetería/Bar, Lavado cepillos, Parking turismos, Box presión, Aspiradores, Waylet pago en caja, Adblue Envasado</t>
  </si>
  <si>
    <t>15611</t>
  </si>
  <si>
    <t>0183050020</t>
  </si>
  <si>
    <t>E.S. GASOLINERA LA HOYA SL</t>
  </si>
  <si>
    <t>HOYA, LA</t>
  </si>
  <si>
    <t>CR CV-853 P.K. 6,7</t>
  </si>
  <si>
    <t>-0.678611, 38.196</t>
  </si>
  <si>
    <t>03294</t>
  </si>
  <si>
    <t>15709</t>
  </si>
  <si>
    <t>0183018258</t>
  </si>
  <si>
    <t>ES TORNEO ESTACIÓN DE SERVICIOS, S.</t>
  </si>
  <si>
    <t>CL TORNEO, 70</t>
  </si>
  <si>
    <t>-6.002472, 37.394861</t>
  </si>
  <si>
    <t>41002</t>
  </si>
  <si>
    <t>Cafetería/Bar, Waylet pago en surtidor, Waylet pago en caja, Punto recarga eléctrico Repsol, Recarga eléctrica</t>
  </si>
  <si>
    <t>0183101526</t>
  </si>
  <si>
    <t>E.S. LAS VEGAS, S.L.</t>
  </si>
  <si>
    <t>NAVARREDONDILLA</t>
  </si>
  <si>
    <t>CR C-500 34   D</t>
  </si>
  <si>
    <t>-4.823306, 40.454028</t>
  </si>
  <si>
    <t>05120</t>
  </si>
  <si>
    <t>Parking turismos, Parking camiones, Box presión, Aspiradores, Solred cheque lavado, Waylet pago en caja, Adblue Envasado</t>
  </si>
  <si>
    <t>07385</t>
  </si>
  <si>
    <t>0183055193</t>
  </si>
  <si>
    <t>CR M-607, 10,5</t>
  </si>
  <si>
    <t>-3.697806, 40.4995</t>
  </si>
  <si>
    <t>EFITEC 95 N - España, Efitec 95 Premium, EFITEC 98 N - España, DIESEL E+ NEO - España, DIESEL E+10 NEO - España, BLUE+GRANEL - España, Autogás</t>
  </si>
  <si>
    <t>96710</t>
  </si>
  <si>
    <t>0183113885</t>
  </si>
  <si>
    <t>E.S. GUREAK ZERBITZUGUNEAK BEASAIN</t>
  </si>
  <si>
    <t>CR  N-1 ,P.K. 419</t>
  </si>
  <si>
    <t>-2.194806, 43.045278</t>
  </si>
  <si>
    <t>Cafetería/Bar, Lavado cepillos, Parking turismos, Parking camiones, Box presión, Aspiradores, Solred cheque lavado, Lavandería, Waylet pago en caja</t>
  </si>
  <si>
    <t>06375</t>
  </si>
  <si>
    <t>0183017094</t>
  </si>
  <si>
    <t>E.S. CARRIEDO, S.L.</t>
  </si>
  <si>
    <t>VILLACARRIEDO</t>
  </si>
  <si>
    <t>CR CA-142, 24</t>
  </si>
  <si>
    <t>-3.814194, 43.229528</t>
  </si>
  <si>
    <t>39640</t>
  </si>
  <si>
    <t>L-S: 07:30-22:30; D: 08:30-22:30</t>
  </si>
  <si>
    <t>33932</t>
  </si>
  <si>
    <t>0183005313</t>
  </si>
  <si>
    <t>E.S.  SAN JOSE</t>
  </si>
  <si>
    <t>ANTEQUERA-LOS LLANOS</t>
  </si>
  <si>
    <t>CR N-331, 114,2</t>
  </si>
  <si>
    <t>-4.566444, 37.112694</t>
  </si>
  <si>
    <t>Restaurante, Cafetería/Bar, Parking turismos, Zona de descanso, Duchas, Waylet pago en caja, Recarga eléctrica</t>
  </si>
  <si>
    <t>33301</t>
  </si>
  <si>
    <t>0183013150</t>
  </si>
  <si>
    <t>NUEVO PARAMO STA-M</t>
  </si>
  <si>
    <t>SANTA MARIA DEL PARAMO</t>
  </si>
  <si>
    <t>CR C-621, 46</t>
  </si>
  <si>
    <t>-5.739417, 42.352028</t>
  </si>
  <si>
    <t>24240</t>
  </si>
  <si>
    <t>L-D: 06:45-22:45</t>
  </si>
  <si>
    <t>Lavado cepillos, Parking turismos, Parking camiones, Zona de descanso, Box presión, Aspiradores, Solred cheque lavado, Waylet pago en caja, Punto recarga eléctrico Repsol</t>
  </si>
  <si>
    <t>10867</t>
  </si>
  <si>
    <t>0183007145</t>
  </si>
  <si>
    <t>ES CAMP I SECCIO DE CREDIT SANT ISI</t>
  </si>
  <si>
    <t>BELLCAIRE D'URGELL</t>
  </si>
  <si>
    <t>CR C-53, 135,20</t>
  </si>
  <si>
    <t>0.915694, 41.754333</t>
  </si>
  <si>
    <t>25337</t>
  </si>
  <si>
    <t>11571</t>
  </si>
  <si>
    <t>0183019504</t>
  </si>
  <si>
    <t>E.S. AJOFRIN</t>
  </si>
  <si>
    <t>AJOFRIN</t>
  </si>
  <si>
    <t>CR N-401, 89,5</t>
  </si>
  <si>
    <t>-3.985972, 39.732556</t>
  </si>
  <si>
    <t>45110</t>
  </si>
  <si>
    <t>Cafetería/Bar, Parking turismos, Parking camiones, Box presión, Aspiradores, Waylet pago en caja, Adblue Envasado</t>
  </si>
  <si>
    <t>33589</t>
  </si>
  <si>
    <t>0183002641</t>
  </si>
  <si>
    <t>ES COMBUSTIBLES ARRIBAS Y CANO SL</t>
  </si>
  <si>
    <t>OSSA DE MONTIEL</t>
  </si>
  <si>
    <t>CTRA. C-430, PK.428,4</t>
  </si>
  <si>
    <t>-2.7515, 38.967167</t>
  </si>
  <si>
    <t>02611</t>
  </si>
  <si>
    <t>L-D: 07:30-20:30</t>
  </si>
  <si>
    <t>31276</t>
  </si>
  <si>
    <t>0183050822</t>
  </si>
  <si>
    <t>E.S. PINOMAR</t>
  </si>
  <si>
    <t>CR N-340, 189</t>
  </si>
  <si>
    <t>-4.798833, 36.500167</t>
  </si>
  <si>
    <t>Box presión, Aspiradores, Solred cheque lavado, Lavandería, Waylet pago en caja, Adblue Envasado</t>
  </si>
  <si>
    <t>15536</t>
  </si>
  <si>
    <t>0183011063</t>
  </si>
  <si>
    <t>E.S. LA VENTA S.L.</t>
  </si>
  <si>
    <t>CR N-322, 337,8</t>
  </si>
  <si>
    <t>-2.031861, 38.925833</t>
  </si>
  <si>
    <t>L-D: 07:00-21:30</t>
  </si>
  <si>
    <t>Restaurante, Cafetería/Bar, Taller mecánico, Taller neumáticos, Parking turismos, Parking camiones, Zona de descanso, Waylet pago en caja</t>
  </si>
  <si>
    <t>96397</t>
  </si>
  <si>
    <t>0183106384</t>
  </si>
  <si>
    <t>ES SUNOIL 2022 SL</t>
  </si>
  <si>
    <t>AV LAS SALINAS-LOMA BAJA, S.N.</t>
  </si>
  <si>
    <t>-4.614778, 36.555583</t>
  </si>
  <si>
    <t>Cafetería/Bar, Lavado cepillos, Box presión, Aspiradores, Solred cheque lavado, Lavandería, Waylet pago en surtidor, Waylet pago en caja, Adblue Envasado, Punto recarga eléctrico Repsol, Lavados Klin, Recarga eléctrica</t>
  </si>
  <si>
    <t>00859</t>
  </si>
  <si>
    <t>0183050475</t>
  </si>
  <si>
    <t>ES CARBUMAR S.L.</t>
  </si>
  <si>
    <t>AREVALO</t>
  </si>
  <si>
    <t>CL PLAZA FRAY JUAN GIL 3</t>
  </si>
  <si>
    <t>-4.720528, 41.059611</t>
  </si>
  <si>
    <t>05200</t>
  </si>
  <si>
    <t>34311</t>
  </si>
  <si>
    <t>0183062272</t>
  </si>
  <si>
    <t>E.S. EL PINAR, S.L.</t>
  </si>
  <si>
    <t>CR C-610, P.K. 3,500</t>
  </si>
  <si>
    <t>-4.753333, 41.605444</t>
  </si>
  <si>
    <t>L-V: 06:00-22:00; S: 08:00-22:00; D: 09:00-22:00</t>
  </si>
  <si>
    <t>13229</t>
  </si>
  <si>
    <t>0183062876</t>
  </si>
  <si>
    <t>E.S. AUTOSERVICO CATUXO, S.L</t>
  </si>
  <si>
    <t>TAPIA DE CASARIEGO</t>
  </si>
  <si>
    <t>AVENIDA DE GALICIA Nº 13</t>
  </si>
  <si>
    <t>-6.944278, 43.56825</t>
  </si>
  <si>
    <t>15420</t>
  </si>
  <si>
    <t>0183133842</t>
  </si>
  <si>
    <t>ESTACIÓN CABRERIZOS JUAMEVA COLPS S</t>
  </si>
  <si>
    <t>CABRERIZOS</t>
  </si>
  <si>
    <t>CTRA ALDEALENGUA KM 0,5</t>
  </si>
  <si>
    <t>-5.619194, 40.972556</t>
  </si>
  <si>
    <t>37193</t>
  </si>
  <si>
    <t>05777</t>
  </si>
  <si>
    <t>0183015205</t>
  </si>
  <si>
    <t>E.S. GASOLINERA LANTEJUELA, SL.</t>
  </si>
  <si>
    <t>LANTEJUELA, LA</t>
  </si>
  <si>
    <t>CR SE-700, 8,7</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</si>
  <si>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</si>
  <si>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</si>
  <si>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</si>
  <si>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</si>
  <si>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15570</t>
  </si>
  <si>
    <t>0183013416</t>
  </si>
  <si>
    <t>E.S. VALLE DE IGUÑA S.L.</t>
  </si>
  <si>
    <t>SANTA OLALLA DE MOLLEDO</t>
  </si>
  <si>
    <t>CR N-611, 159</t>
  </si>
  <si>
    <t>-4.049, 43.131389</t>
  </si>
  <si>
    <t>39430</t>
  </si>
  <si>
    <t>EFITEC 95 N - España, EFITEC 98 N - España, Butano 12,5 Kg, DIESEL E+ NEO - España, GO-B BONIF - España, Butano 6 Kg (K6)</t>
  </si>
  <si>
    <t>96458</t>
  </si>
  <si>
    <t>0183108380</t>
  </si>
  <si>
    <t>HERMANOS GARCIA MONTES S.A..</t>
  </si>
  <si>
    <t>CL 1º DE MAYO, S.N.</t>
  </si>
  <si>
    <t>-1.115417, 37.987639</t>
  </si>
  <si>
    <t>Lavado cepillos, Box presión, Aspiradores, Lavandería, Waylet pago en surtidor, Waylet pago en caja, Punto recarga eléctrico Repsol, Lavados Klin</t>
  </si>
  <si>
    <t>33824</t>
  </si>
  <si>
    <t>0183117878</t>
  </si>
  <si>
    <t>E.S. GRUPO MAICAS ALFAMBRA</t>
  </si>
  <si>
    <t>ALFAMBRA</t>
  </si>
  <si>
    <t>CR N-420 CORDOBA-TARRAGONA , P.K</t>
  </si>
  <si>
    <t>-1.025306, 40.529083</t>
  </si>
  <si>
    <t>44160</t>
  </si>
  <si>
    <t>L-V: 07:00-21:00; S: 08:00-21:00; D: 10:00-21:00</t>
  </si>
  <si>
    <t>00231</t>
  </si>
  <si>
    <t>0183017847</t>
  </si>
  <si>
    <t>E.S. J.M. MARTIN MORENO E HIJOS ,CB</t>
  </si>
  <si>
    <t>ALMAGRO</t>
  </si>
  <si>
    <t>CL RONDA SANTO DOMINGO, 3</t>
  </si>
  <si>
    <t>-3.715389, 38.890417</t>
  </si>
  <si>
    <t>13270</t>
  </si>
  <si>
    <t>06388</t>
  </si>
  <si>
    <t>0183079474</t>
  </si>
  <si>
    <t>E.S. ANGEL ORTIZ VILLAJOS INFANTES</t>
  </si>
  <si>
    <t>QUERO</t>
  </si>
  <si>
    <t>CR CM-3130  P.K. 14,60 D</t>
  </si>
  <si>
    <t>-3.241944, 39.5105</t>
  </si>
  <si>
    <t>45790</t>
  </si>
  <si>
    <t>L-V: 08:00-14:00 y 16:00-20:00</t>
  </si>
  <si>
    <t>33959</t>
  </si>
  <si>
    <t>0183006832</t>
  </si>
  <si>
    <t>FRANCISCO TORRES RODRIGUEZ</t>
  </si>
  <si>
    <t>VILLANUEVA DE LOS INFANTES</t>
  </si>
  <si>
    <t>CR CR-604, 1,4</t>
  </si>
  <si>
    <t>-3.025528, 38.7385</t>
  </si>
  <si>
    <t>13320</t>
  </si>
  <si>
    <t>Cafetería/Bar, Lavado cepillos, Box presión, Aspiradores, Waylet pago en caja, Punto recarga eléctrico Repsol</t>
  </si>
  <si>
    <t>13345</t>
  </si>
  <si>
    <t>0183075332</t>
  </si>
  <si>
    <t>E.S. INGENIUS DEVELOPMENT, S.L.</t>
  </si>
  <si>
    <t>AVDA. CABO DE GATA 280</t>
  </si>
  <si>
    <t>-2.432944, 36.816083</t>
  </si>
  <si>
    <t>12189</t>
  </si>
  <si>
    <t>0183057595</t>
  </si>
  <si>
    <t>CR N-340, 665,3</t>
  </si>
  <si>
    <t>-1.116583, 37.991694</t>
  </si>
  <si>
    <t>30007</t>
  </si>
  <si>
    <t>Restaurante, Cafetería/Bar, Lavado cepillos, Box presión, Aspiradores, Solred cheque lavado, Waylet pago en surtidor, Waylet pago en caja, Punto recarga eléctrico Repsol</t>
  </si>
  <si>
    <t>11020</t>
  </si>
  <si>
    <t>0183057710</t>
  </si>
  <si>
    <t>ES MONTSERRAT</t>
  </si>
  <si>
    <t>MONSERRAT</t>
  </si>
  <si>
    <t>CR VP-405 PK 10,1</t>
  </si>
  <si>
    <t>-0.611194, 39.348278</t>
  </si>
  <si>
    <t>46192</t>
  </si>
  <si>
    <t>34044</t>
  </si>
  <si>
    <t>0183003771</t>
  </si>
  <si>
    <t>E.S. LA PISCINA PEÑARROYA</t>
  </si>
  <si>
    <t>PEÑARROYA-PUEBLONUEVO</t>
  </si>
  <si>
    <t>CR N-432, 192,2</t>
  </si>
  <si>
    <t>-5.27525, 38.300639</t>
  </si>
  <si>
    <t>14200</t>
  </si>
  <si>
    <t>Restaurante, Cafetería/Bar, Lavado cepillos, Waylet pago en caja, Punto recarga eléctrico Repsol</t>
  </si>
  <si>
    <t>06708</t>
  </si>
  <si>
    <t>0183075654</t>
  </si>
  <si>
    <t>MARTINEZ SANCHEZ GASOLEOS, SL</t>
  </si>
  <si>
    <t>CL FRANCOS RODRIGUEZ, 110</t>
  </si>
  <si>
    <t>-3.713944, 40.458</t>
  </si>
  <si>
    <t>96070</t>
  </si>
  <si>
    <t>0183078948</t>
  </si>
  <si>
    <t>Ripoll Ibiza</t>
  </si>
  <si>
    <t>CL IBIZA, 31</t>
  </si>
  <si>
    <t>-0.340306, 39.458944</t>
  </si>
  <si>
    <t>15483</t>
  </si>
  <si>
    <t>0183017334</t>
  </si>
  <si>
    <t>ES NOVA CUALEDRO SL</t>
  </si>
  <si>
    <t>CUALEDRO</t>
  </si>
  <si>
    <t>CR OR-8, 12  I</t>
  </si>
  <si>
    <t>-7.603278, 41.988722</t>
  </si>
  <si>
    <t>32689</t>
  </si>
  <si>
    <t>L-S: 07:30-22:00; D: 08:00-21:00</t>
  </si>
  <si>
    <t>Zona de descanso, Box presión, Aspiradores, Waylet pago en caja</t>
  </si>
  <si>
    <t>96093</t>
  </si>
  <si>
    <t>0183079268</t>
  </si>
  <si>
    <t>ES SILLA BLUE ENERGY AND TRADE S.L.</t>
  </si>
  <si>
    <t>CL POLIGONO VII-C PARCELA 29 S.N.</t>
  </si>
  <si>
    <t>-0.42125, 39.362944</t>
  </si>
  <si>
    <t>EFITEC 95 N - España, Butano 12,5 Kg, DIESEL E+ NEO - España, DIESEL E+10 NEO - España, GO-B BONIF - España, Propano 11 Kg, BLUE+GRANEL - España, Butano 12 Kg (NEL)</t>
  </si>
  <si>
    <t>13505</t>
  </si>
  <si>
    <t>0183075290</t>
  </si>
  <si>
    <t>E.S. ASAMA CAMPANAR</t>
  </si>
  <si>
    <t>CL VALLE DE LA BALLESTERA, 44</t>
  </si>
  <si>
    <t>-0.401167, 39.478611</t>
  </si>
  <si>
    <t>13499</t>
  </si>
  <si>
    <t>0183063247</t>
  </si>
  <si>
    <t>E.S.IÑURRITZA</t>
  </si>
  <si>
    <t>ZARAUTZ</t>
  </si>
  <si>
    <t>CL BARRIO IÑURRITZA, S.N.</t>
  </si>
  <si>
    <t>-2.158361, 43.28325</t>
  </si>
  <si>
    <t>20800</t>
  </si>
  <si>
    <t>EFITEC 95 N - España, EFITEC 98 N - España, Butano 12,5 Kg, DIESEL E+ NEO - España, DIESEL E+10 NEO - España, Butano 6 Kg (K6), Butano 12 Kg (NEL)</t>
  </si>
  <si>
    <t>Taller mecánico, Lavado cepillos, Parking turismos, Zona de descanso, Box presión, Aspiradores, Waylet pago en caja</t>
  </si>
  <si>
    <t>92856</t>
  </si>
  <si>
    <t>0183117811</t>
  </si>
  <si>
    <t>E.S. MARTIN REJANO ANTONIO</t>
  </si>
  <si>
    <t>CR  EX-100 ,P.K. 85,6</t>
  </si>
  <si>
    <t>-6.964972, 38.906278</t>
  </si>
  <si>
    <t>L-V: 07:00-22:00; S-D: 10:00-22:00</t>
  </si>
  <si>
    <t>95249</t>
  </si>
  <si>
    <t>0183131101</t>
  </si>
  <si>
    <t>E.S. ARAFRE SA</t>
  </si>
  <si>
    <t>AVDA VESNTISQUERO DE LA CONDESA 50</t>
  </si>
  <si>
    <t>-3.717222, 40.494028</t>
  </si>
  <si>
    <t>Lavado cepillos, Parking turismos, Zona de descanso, Aspiradores, Waylet pago en caja, Punto recarga eléctrico Repsol</t>
  </si>
  <si>
    <t>0183060961</t>
  </si>
  <si>
    <t>E.S. PORZUNA</t>
  </si>
  <si>
    <t>PORZUNA</t>
  </si>
  <si>
    <t>CR CM-403, 111,5</t>
  </si>
  <si>
    <t>-4.162472, 39.153139</t>
  </si>
  <si>
    <t>13120</t>
  </si>
  <si>
    <t>L-S: 07:00-22:00; D: 08:00-15:00</t>
  </si>
  <si>
    <t>12416</t>
  </si>
  <si>
    <t>0183062678</t>
  </si>
  <si>
    <t>ES. LAS LADERAS</t>
  </si>
  <si>
    <t>MONTUENGA DE SORIA</t>
  </si>
  <si>
    <t>AT  A-2  P.K. 174,5 I</t>
  </si>
  <si>
    <t>-2.217778, 41.248361</t>
  </si>
  <si>
    <t>42259</t>
  </si>
  <si>
    <t>L: 06:00-00:00; M-V: 24H; S: 00:00-22:00; D: 08:00-23:00</t>
  </si>
  <si>
    <t>01788</t>
  </si>
  <si>
    <t>0183133362</t>
  </si>
  <si>
    <t>ESTACIÓN DE SERVICIO AVENIDA S.L.</t>
  </si>
  <si>
    <t>AVENIDA REQUEJO 31</t>
  </si>
  <si>
    <t>-5.736361, 41.510583</t>
  </si>
  <si>
    <t>49003</t>
  </si>
  <si>
    <t>96359</t>
  </si>
  <si>
    <t>0183103399</t>
  </si>
  <si>
    <t>ES A.S PANEQUE, S.L.</t>
  </si>
  <si>
    <t>VILLANUEVA DEL TRABUCO</t>
  </si>
  <si>
    <t>CR A-92M P.K. 8 - M.D.</t>
  </si>
  <si>
    <t>-4.328306, 37.069194</t>
  </si>
  <si>
    <t>29313</t>
  </si>
  <si>
    <t>34451</t>
  </si>
  <si>
    <t>0063115604</t>
  </si>
  <si>
    <t>E.S. ECO ALHÁNDIGA</t>
  </si>
  <si>
    <t>CALVARRASA DE ABAJO</t>
  </si>
  <si>
    <t>CR N-501, 84  I</t>
  </si>
  <si>
    <t>-5.555139, 40.946028</t>
  </si>
  <si>
    <t>37181</t>
  </si>
  <si>
    <t>Lavado cepillos, Parking turismos, Parking camiones, Zona de descanso, Aspiradores, Solred cheque lavado, Waylet pago en caja, Recarga eléctrica</t>
  </si>
  <si>
    <t>15048</t>
  </si>
  <si>
    <t>0183002179</t>
  </si>
  <si>
    <t>E.S.YOMAHER,S.L.</t>
  </si>
  <si>
    <t>CALZADA DE VALDUNCIEL</t>
  </si>
  <si>
    <t>CR N-630, 326  D</t>
  </si>
  <si>
    <t>-5.697028, 41.08575</t>
  </si>
  <si>
    <t>37797</t>
  </si>
  <si>
    <t>Restaurante, Cafetería/Bar, Taller mecánico, Waylet pago en caja</t>
  </si>
  <si>
    <t>15401</t>
  </si>
  <si>
    <t>0183006261</t>
  </si>
  <si>
    <t>E.S.  HERSAN S.L</t>
  </si>
  <si>
    <t>CL AVENIDA CARLOS HAYA, 96</t>
  </si>
  <si>
    <t>-4.451083, 36.722944</t>
  </si>
  <si>
    <t>EFITEC 95 N - España, Efitec 95 Premium, DIESEL E+ NEO - España, DIESEL E+10 NEO - España, Butano 6 Kg (K6), Propano 11 Kg, Butano 12 Kg (NEL)</t>
  </si>
  <si>
    <t>34331</t>
  </si>
  <si>
    <t>0183018035</t>
  </si>
  <si>
    <t>E.S. SIERRA EXPOSITO BENITO JOSE</t>
  </si>
  <si>
    <t>TOBOSO, EL</t>
  </si>
  <si>
    <t>CR C-3103, 10</t>
  </si>
  <si>
    <t>-2.989833, 39.504194</t>
  </si>
  <si>
    <t>45820</t>
  </si>
  <si>
    <t>05608</t>
  </si>
  <si>
    <t>0073106296</t>
  </si>
  <si>
    <t>E.S. EL MOLAR SA</t>
  </si>
  <si>
    <t>CR N-1, 40,2</t>
  </si>
  <si>
    <t>-3.577917, 40.712972</t>
  </si>
  <si>
    <t>Cafetería/Bar, Lavado cepillos, Parking turismos, Parking camiones, Zona de descanso, Aspiradores, Waylet pago en caja, Punto recarga eléctrico Repsol</t>
  </si>
  <si>
    <t>33338</t>
  </si>
  <si>
    <t>0183054030</t>
  </si>
  <si>
    <t>ES NERASOIL SOCIEDAD LIMITADA</t>
  </si>
  <si>
    <t>SAUCA</t>
  </si>
  <si>
    <t>CR A-2, 125</t>
  </si>
  <si>
    <t>-2.546583, 41.015972</t>
  </si>
  <si>
    <t>19262</t>
  </si>
  <si>
    <t>34394</t>
  </si>
  <si>
    <t>0183114735</t>
  </si>
  <si>
    <t>E.S. JOSE MARIA ROMERO MARTINEZ</t>
  </si>
  <si>
    <t>SERNA, LA</t>
  </si>
  <si>
    <t>CR C-615, 50,6</t>
  </si>
  <si>
    <t>-4.679639, 42.422417</t>
  </si>
  <si>
    <t>34128</t>
  </si>
  <si>
    <t>05580</t>
  </si>
  <si>
    <t>0183015650</t>
  </si>
  <si>
    <t>E.S.  LAS LAGUNAS</t>
  </si>
  <si>
    <t>CALACEITE</t>
  </si>
  <si>
    <t>CR N-420, 418,5</t>
  </si>
  <si>
    <t>0.192972, 41.016083</t>
  </si>
  <si>
    <t>44610</t>
  </si>
  <si>
    <t>EFITEC 95 N - España, EFITEC 98 N - España, Butano 12,5 Kg, DIESEL E+ NEO - España, GO-B BONIF - España, Propano 11 Kg</t>
  </si>
  <si>
    <t>Restaurante, Cafetería/Bar, Taller neumáticos, Parking turismos, Parking camiones, Waylet pago en caja</t>
  </si>
  <si>
    <t>04788</t>
  </si>
  <si>
    <t>0183014729</t>
  </si>
  <si>
    <t>E.S. MORATILLA ZONAS DE SERVICIO, S</t>
  </si>
  <si>
    <t>CR N-3, 39,2</t>
  </si>
  <si>
    <t>-3.347528, 40.229722</t>
  </si>
  <si>
    <t>Cafetería/Bar, Parking turismos, Zona de descanso, Box presión, Aspiradores, Solred cheque lavado, Waylet pago en caja</t>
  </si>
  <si>
    <t>15573</t>
  </si>
  <si>
    <t>0183014083</t>
  </si>
  <si>
    <t>E.S. HIPONOVA SL</t>
  </si>
  <si>
    <t>MONTEFRIO</t>
  </si>
  <si>
    <t>CR C-335, 26,8</t>
  </si>
  <si>
    <t>-4.005278, 37.326</t>
  </si>
  <si>
    <t>18270</t>
  </si>
  <si>
    <t>07159</t>
  </si>
  <si>
    <t>0183052182</t>
  </si>
  <si>
    <t>SUMINISTROS RAUDA, S.L.</t>
  </si>
  <si>
    <t>ROA DE DUERO</t>
  </si>
  <si>
    <t>CR BU-111, 1</t>
  </si>
  <si>
    <t>-3.923194, 41.6985</t>
  </si>
  <si>
    <t>09300</t>
  </si>
  <si>
    <t>96871</t>
  </si>
  <si>
    <t>0183118181</t>
  </si>
  <si>
    <t>E.S BIP BIP PUERTO DE SAGUNTO</t>
  </si>
  <si>
    <t>CL JUAN ALMAGRO , 2</t>
  </si>
  <si>
    <t>-0.239333, 39.662306</t>
  </si>
  <si>
    <t>34164</t>
  </si>
  <si>
    <t>0183055292</t>
  </si>
  <si>
    <t>ES JURADO CASTILLA MARIA DE LOS DOL</t>
  </si>
  <si>
    <t>PUENTE GENIL</t>
  </si>
  <si>
    <t>CL ESTEPA, S.N.</t>
  </si>
  <si>
    <t>-4.781333, 37.379556</t>
  </si>
  <si>
    <t>14500</t>
  </si>
  <si>
    <t>L-V: 07:00-21:00; S-D: 09:00-14:00</t>
  </si>
  <si>
    <t>EFITEC 95 N - España, DIESEL E+ NEO - España, DIESEL E+10 NEO - España, GO-B BONIF - España, BLUE+GRANEL - España, Butano 12 Kg (NEL)</t>
  </si>
  <si>
    <t>Aspiradores, Waylet pago en caja, Adblue Envasado, Punto recarga eléctrico Repsol</t>
  </si>
  <si>
    <t>12102</t>
  </si>
  <si>
    <t>0183054402</t>
  </si>
  <si>
    <t>US PANES</t>
  </si>
  <si>
    <t>PANES</t>
  </si>
  <si>
    <t>CARRETERA GENERAL Nº 6</t>
  </si>
  <si>
    <t>-4.583, 43.327472</t>
  </si>
  <si>
    <t>33570</t>
  </si>
  <si>
    <t>96655</t>
  </si>
  <si>
    <t>0183111079</t>
  </si>
  <si>
    <t>FEBRER 12</t>
  </si>
  <si>
    <t>CL ARAGON ,217</t>
  </si>
  <si>
    <t>2.676472, 39.589167</t>
  </si>
  <si>
    <t>07008</t>
  </si>
  <si>
    <t>EFITEC 95 N - España, EFITEC 98 N - España, DIESEL E+ NEO - España, DIESEL E+10 NEO - España, Butano 6 Kg (K6), Propano 11 Kg</t>
  </si>
  <si>
    <t>06227</t>
  </si>
  <si>
    <t>0183056357</t>
  </si>
  <si>
    <t>YIPE,C.B.</t>
  </si>
  <si>
    <t>CR N-521, 54,5</t>
  </si>
  <si>
    <t>-6.453667, 39.456028</t>
  </si>
  <si>
    <t>L-S: 07:00-22:00; D: 07:00-14:00</t>
  </si>
  <si>
    <t>15446</t>
  </si>
  <si>
    <t>0183018662</t>
  </si>
  <si>
    <t>E.S. LAS PEDRIZAS</t>
  </si>
  <si>
    <t>CR A-45, 159,5</t>
  </si>
  <si>
    <t>-4.441861, 36.813</t>
  </si>
  <si>
    <t>Parking turismos, Waylet pago en caja, Adblue Envasado, Punto recarga eléctrico Repsol</t>
  </si>
  <si>
    <t>11019</t>
  </si>
  <si>
    <t>0183061902</t>
  </si>
  <si>
    <t>E.S. CANIVELL CARTAVIO</t>
  </si>
  <si>
    <t>CARTAVIO</t>
  </si>
  <si>
    <t>CR N-634, 530,1</t>
  </si>
  <si>
    <t>-6.783639, 43.544278</t>
  </si>
  <si>
    <t>Parking turismos, Box presión, Aspiradores, Solred cheque lavado, Waylet pago en caja</t>
  </si>
  <si>
    <t>96899</t>
  </si>
  <si>
    <t>0183122670</t>
  </si>
  <si>
    <t>AV. DEL CARBONO  Nº 46 (POL.  LOS C</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</si>
  <si>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</si>
  <si>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</si>
  <si>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</si>
  <si>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</si>
  <si>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33933</t>
  </si>
  <si>
    <t>0183002484</t>
  </si>
  <si>
    <t>CARBURANTES DE NTRA SRA DE PEÑARROY</t>
  </si>
  <si>
    <t>MEMBRILLA</t>
  </si>
  <si>
    <t>CR N-430, 368</t>
  </si>
  <si>
    <t>-3.336417, 38.973667</t>
  </si>
  <si>
    <t>13230</t>
  </si>
  <si>
    <t>L-V: 06:30-21:30; S-D: 09:00-14:00</t>
  </si>
  <si>
    <t>96230</t>
  </si>
  <si>
    <t>0183077296</t>
  </si>
  <si>
    <t>ES CANTO DE,N MASANA</t>
  </si>
  <si>
    <t>CR PM-401, 0,4</t>
  </si>
  <si>
    <t>3.158722, 39.473667</t>
  </si>
  <si>
    <t>EFITEC 95 N - España, EFITEC 98 N - España, Butano 12,5 Kg, DIESEL E+ NEO - España, DIESEL E+10 NEO - España, Butano 6 Kg (K6)</t>
  </si>
  <si>
    <t>15294</t>
  </si>
  <si>
    <t>0183052844</t>
  </si>
  <si>
    <t>E.S. SAN RAFAEL,C.B.</t>
  </si>
  <si>
    <t>CABEZA DEL BUEY</t>
  </si>
  <si>
    <t>CR C-420, 69,6</t>
  </si>
  <si>
    <t>-5.230861, 38.716528</t>
  </si>
  <si>
    <t>06600</t>
  </si>
  <si>
    <t>L: 06:00-22:00; D: 06:00-22:00</t>
  </si>
  <si>
    <t>Lavado cepillos, Box presión, Aspiradores, Waylet pago en surtidor, Waylet pago en caja, Adblue Envasado</t>
  </si>
  <si>
    <t>96337</t>
  </si>
  <si>
    <t>0183101559</t>
  </si>
  <si>
    <t>E.S. VALMOTOR II</t>
  </si>
  <si>
    <t>CL OVIDI I MONTLLOR, 18</t>
  </si>
  <si>
    <t>-0.465361, 39.471306</t>
  </si>
  <si>
    <t>L-V: 07:00-21:00; S: 08:00-20:00</t>
  </si>
  <si>
    <t>Box presión, Aspiradores, Solred cheque lavado, Waylet pago en caja, Adblue Envasado, Punto recarga eléctrico Repsol</t>
  </si>
  <si>
    <t>97007</t>
  </si>
  <si>
    <t>0183124817</t>
  </si>
  <si>
    <t>E.S. EL PORTILLO M.D.</t>
  </si>
  <si>
    <t>VALDELAFUENTE</t>
  </si>
  <si>
    <t>CR N-601, 321 M.D.</t>
  </si>
  <si>
    <t>-5.520528, 42.570944</t>
  </si>
  <si>
    <t>24227</t>
  </si>
  <si>
    <t>07062</t>
  </si>
  <si>
    <t>0183016047</t>
  </si>
  <si>
    <t>AUSELLE I FILLS S.L.</t>
  </si>
  <si>
    <t>CELLERA DE TER, LA</t>
  </si>
  <si>
    <t>CR C-63, 41</t>
  </si>
  <si>
    <t>2.62525, 41.966806</t>
  </si>
  <si>
    <t>17165</t>
  </si>
  <si>
    <t>33830</t>
  </si>
  <si>
    <t>0183009703</t>
  </si>
  <si>
    <t>E.S. OLMOS SANZ SL</t>
  </si>
  <si>
    <t>TUDELA DE DUERO</t>
  </si>
  <si>
    <t>CR N-122, 349,6</t>
  </si>
  <si>
    <t>-4.607056, 41.591583</t>
  </si>
  <si>
    <t>47320</t>
  </si>
  <si>
    <t>34289</t>
  </si>
  <si>
    <t>0183007822</t>
  </si>
  <si>
    <t>E.S. CAMPANARIO</t>
  </si>
  <si>
    <t>CAMPANARIO</t>
  </si>
  <si>
    <t>CTRA EX104  KM 20,2</t>
  </si>
  <si>
    <t>-5.623583, 38.859861</t>
  </si>
  <si>
    <t>06460</t>
  </si>
  <si>
    <t>12684</t>
  </si>
  <si>
    <t>0183118520</t>
  </si>
  <si>
    <t>E.S. SERVICIOS ALCUDIA SA 3</t>
  </si>
  <si>
    <t>PLAYA DE MURO</t>
  </si>
  <si>
    <t>CL CRUCERO,12</t>
  </si>
  <si>
    <t>3.109972, 39.81425</t>
  </si>
  <si>
    <t>07458</t>
  </si>
  <si>
    <t>Cafetería/Bar, Lavado cepillos, Parking turismos, Box presión, Aspiradores, Solred cheque lavado, Waylet pago en caja, Adblue Envasado</t>
  </si>
  <si>
    <t>96022</t>
  </si>
  <si>
    <t>0183077635</t>
  </si>
  <si>
    <t>E.S. ELOMENDI S.L.</t>
  </si>
  <si>
    <t>HUARTE-PAMPLONA</t>
  </si>
  <si>
    <t>PG POLIGONO ARETA (RONDA ESTE), S.N</t>
  </si>
  <si>
    <t>-1.60325, 42.818278</t>
  </si>
  <si>
    <t>12835</t>
  </si>
  <si>
    <t>0183058312</t>
  </si>
  <si>
    <t>HDOS DE COCHERO SL</t>
  </si>
  <si>
    <t>ISLA CRISTINA</t>
  </si>
  <si>
    <t>CL ESPAÑA  (PROLONGACION), S.N.</t>
  </si>
  <si>
    <t>-7.310028, 37.199278</t>
  </si>
  <si>
    <t>21410</t>
  </si>
  <si>
    <t>11497</t>
  </si>
  <si>
    <t>0183133008</t>
  </si>
  <si>
    <t>ES HITIGARCA S.L.</t>
  </si>
  <si>
    <t>LA PUEBLA DE MONTALBAN</t>
  </si>
  <si>
    <t>CR C- 403 PK 17,1</t>
  </si>
  <si>
    <t>-4.359528, 39.858944</t>
  </si>
  <si>
    <t>45516</t>
  </si>
  <si>
    <t>L-D: 06:30-21:45</t>
  </si>
  <si>
    <t>96066</t>
  </si>
  <si>
    <t>0183077890</t>
  </si>
  <si>
    <t>SPANPETROL S.L.</t>
  </si>
  <si>
    <t>MANILVA</t>
  </si>
  <si>
    <t>AU A-7, 144,7</t>
  </si>
  <si>
    <t>-5.227889, 36.367722</t>
  </si>
  <si>
    <t>29691</t>
  </si>
  <si>
    <t>Restaurante, Cafetería/Bar, Lavado cepillos, Parking turismos, Box presión, Aspiradores, Solred cheque lavado, Lavandería, Waylet pago en surtidor, Waylet pago en caja</t>
  </si>
  <si>
    <t>97162</t>
  </si>
  <si>
    <t>0183134451</t>
  </si>
  <si>
    <t>FEBRER 18</t>
  </si>
  <si>
    <t>VIA MAJORICA S/N</t>
  </si>
  <si>
    <t>3.194417, 39.572111</t>
  </si>
  <si>
    <t>94328</t>
  </si>
  <si>
    <t>0183124049</t>
  </si>
  <si>
    <t>E.S. AREA DE SERVICIO KM 258</t>
  </si>
  <si>
    <t>SANTA ELENA</t>
  </si>
  <si>
    <t>A-4 KM 258 MD</t>
  </si>
  <si>
    <t>-3.545222, 38.336917</t>
  </si>
  <si>
    <t>23213</t>
  </si>
  <si>
    <t>33357</t>
  </si>
  <si>
    <t>0183013622</t>
  </si>
  <si>
    <t>FEBRER 06</t>
  </si>
  <si>
    <t>SAN JUAN</t>
  </si>
  <si>
    <t>CR C-715, 36,6</t>
  </si>
  <si>
    <t>3.067806, 39.569833</t>
  </si>
  <si>
    <t>07240</t>
  </si>
  <si>
    <t>03203</t>
  </si>
  <si>
    <t>0183014976</t>
  </si>
  <si>
    <t>ES CRESCENCIA CONCESA LOPEZ</t>
  </si>
  <si>
    <t>CR N-332  A, 10,5</t>
  </si>
  <si>
    <t>-0.876667, 37.622083</t>
  </si>
  <si>
    <t>Taller mecánico, Lavado cepillos, Box presión, Waylet pago en caja</t>
  </si>
  <si>
    <t>31622</t>
  </si>
  <si>
    <t>0183057181</t>
  </si>
  <si>
    <t>E.S.  STA CATALINA S.L</t>
  </si>
  <si>
    <t>AGUDO</t>
  </si>
  <si>
    <t>CR ALMADÉN S/N</t>
  </si>
  <si>
    <t>-4.864444, 38.980472</t>
  </si>
  <si>
    <t>13410</t>
  </si>
  <si>
    <t>04127</t>
  </si>
  <si>
    <t>0183077171</t>
  </si>
  <si>
    <t>ES UNICROM INVERSIONES SL</t>
  </si>
  <si>
    <t>CL ISAAC PERAL SN</t>
  </si>
  <si>
    <t>-3.718056, 40.440556</t>
  </si>
  <si>
    <t>L-V: 07:00-22:00; S-D: 09:00-21:00</t>
  </si>
  <si>
    <t>11553</t>
  </si>
  <si>
    <t>0183055540</t>
  </si>
  <si>
    <t>ES VALDEPARES</t>
  </si>
  <si>
    <t>VALDEPARES</t>
  </si>
  <si>
    <t>CR N-634, 535,8</t>
  </si>
  <si>
    <t>-6.845083, 43.555028</t>
  </si>
  <si>
    <t>33746</t>
  </si>
  <si>
    <t>Restaurante, Cafetería/Bar, Parking turismos, Parking camiones, Zona de descanso, Box presión, Aspiradores, Solred cheque lavado, Waylet pago en caja</t>
  </si>
  <si>
    <t>97112</t>
  </si>
  <si>
    <t>0183131408</t>
  </si>
  <si>
    <t>ES LA RANA VERDE</t>
  </si>
  <si>
    <t>CO MOLINO VIEJO, SN</t>
  </si>
  <si>
    <t>-6.167917, 36.396639</t>
  </si>
  <si>
    <t>11139</t>
  </si>
  <si>
    <t>05658</t>
  </si>
  <si>
    <t>0183133610</t>
  </si>
  <si>
    <t>ES CEROR SA</t>
  </si>
  <si>
    <t>CR N-4 549,7</t>
  </si>
  <si>
    <t>-5.969028, 37.321889</t>
  </si>
  <si>
    <t>41014</t>
  </si>
  <si>
    <t>L-S: 06:30-22:30; D: 07:00-22:30</t>
  </si>
  <si>
    <t>12565</t>
  </si>
  <si>
    <t>0183062025</t>
  </si>
  <si>
    <t>E.E.S.S. REYSAN S.L.</t>
  </si>
  <si>
    <t>MARCHENA</t>
  </si>
  <si>
    <t>CR A-92, PK.62,2 MI</t>
  </si>
  <si>
    <t>-5.322694, 37.230333</t>
  </si>
  <si>
    <t>41620</t>
  </si>
  <si>
    <t>94913</t>
  </si>
  <si>
    <t>0183130541</t>
  </si>
  <si>
    <t>E.S. LA LOMA</t>
  </si>
  <si>
    <t>COZVIJAR</t>
  </si>
  <si>
    <t>VIA A-44 KM 153</t>
  </si>
  <si>
    <t>-3.605, 36.987111</t>
  </si>
  <si>
    <t>18659</t>
  </si>
  <si>
    <t>Restaurante, Cafetería/Bar, Lavado cepillos, Parking turismos, Parking camiones, Zona de descanso, Box presión, Duchas, Aspiradores, Solred cheque lavado, Lavandería, Waylet pago en caja</t>
  </si>
  <si>
    <t>11480</t>
  </si>
  <si>
    <t>0183059948</t>
  </si>
  <si>
    <t>ES VILCERGA SL</t>
  </si>
  <si>
    <t>LAXE-E.S.</t>
  </si>
  <si>
    <t>CR AC-429 P.K. 9,5</t>
  </si>
  <si>
    <t>-8.997389, 43.2135</t>
  </si>
  <si>
    <t>15117</t>
  </si>
  <si>
    <t>34395</t>
  </si>
  <si>
    <t>0183004795</t>
  </si>
  <si>
    <t>E.S. JAIME I S.A.</t>
  </si>
  <si>
    <t>OSSO DE CINCA</t>
  </si>
  <si>
    <t>CR A-1234, 22.25  I</t>
  </si>
  <si>
    <t>0.188167, 41.672583</t>
  </si>
  <si>
    <t>22532</t>
  </si>
  <si>
    <t>33894</t>
  </si>
  <si>
    <t>0183005420</t>
  </si>
  <si>
    <t>ES LA PARADA A5 S.L.</t>
  </si>
  <si>
    <t>GUAREÑA</t>
  </si>
  <si>
    <t>CR A-5, 314,2</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</si>
  <si>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</si>
  <si>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</si>
  <si>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</si>
  <si>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</si>
  <si>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01269</t>
  </si>
  <si>
    <t>0183056480</t>
  </si>
  <si>
    <t>E.S. GIL S.L.</t>
  </si>
  <si>
    <t>ONTENIENTE</t>
  </si>
  <si>
    <t>CL AVENIDA DE VALENCIA, 3</t>
  </si>
  <si>
    <t>-0.605667, 38.828</t>
  </si>
  <si>
    <t>46870</t>
  </si>
  <si>
    <t>11786</t>
  </si>
  <si>
    <t>0183055326</t>
  </si>
  <si>
    <t>E.S. VIADEL GONZALEZ C.B.</t>
  </si>
  <si>
    <t>TALAYUELAS</t>
  </si>
  <si>
    <t>CR N-330, 227</t>
  </si>
  <si>
    <t>-1.272889, 39.846556</t>
  </si>
  <si>
    <t>16320</t>
  </si>
  <si>
    <t>L-S: 08:00-20:00</t>
  </si>
  <si>
    <t>33358</t>
  </si>
  <si>
    <t>0183013630</t>
  </si>
  <si>
    <t>FEBRER 05</t>
  </si>
  <si>
    <t>CL JOAN MIRO, S.N.</t>
  </si>
  <si>
    <t>3.207, 39.561306</t>
  </si>
  <si>
    <t>EFITEC 95 N - España, EFITEC 98 N - España, DIESEL E+ NEO - España, DIESEL E+10 NEO - España, GO-B BONIF - España, Butano 6 Kg (K6), Butano 12 Kg (NEL)</t>
  </si>
  <si>
    <t>15559</t>
  </si>
  <si>
    <t>0183003276</t>
  </si>
  <si>
    <t>ES EL HAYA</t>
  </si>
  <si>
    <t>ONTON</t>
  </si>
  <si>
    <t>CR N-634    S.SEBAST.-S.COMPOS 136</t>
  </si>
  <si>
    <t>-3.15475, 43.341194</t>
  </si>
  <si>
    <t>39708</t>
  </si>
  <si>
    <t>Parking camiones, Waylet pago en caja</t>
  </si>
  <si>
    <t>10842</t>
  </si>
  <si>
    <t>0183121623</t>
  </si>
  <si>
    <t>E.S. SANTA FE</t>
  </si>
  <si>
    <t>SANTA FE</t>
  </si>
  <si>
    <t>CR N-329, KM. 3,6</t>
  </si>
  <si>
    <t>-3.699167, 37.192694</t>
  </si>
  <si>
    <t>18320</t>
  </si>
  <si>
    <t>96312</t>
  </si>
  <si>
    <t>0183101906</t>
  </si>
  <si>
    <t>E.S. EL ZOCO</t>
  </si>
  <si>
    <t>CL JOSE Mª MARTORELL, S/N</t>
  </si>
  <si>
    <t>-4.799667, 37.881611</t>
  </si>
  <si>
    <t>96031</t>
  </si>
  <si>
    <t>0183077080</t>
  </si>
  <si>
    <t>ES GALURESA A GRELA</t>
  </si>
  <si>
    <t>AV FINISTERRE, 324</t>
  </si>
  <si>
    <t>-8.424722, 43.357222</t>
  </si>
  <si>
    <t>15010</t>
  </si>
  <si>
    <t>15528</t>
  </si>
  <si>
    <t>0183011188</t>
  </si>
  <si>
    <t>E.S. SAN ISIDRO</t>
  </si>
  <si>
    <t>ALMACILES</t>
  </si>
  <si>
    <t>CR C-330  ALMACILES, 88</t>
  </si>
  <si>
    <t>-2.333306, 37.983278</t>
  </si>
  <si>
    <t>18829</t>
  </si>
  <si>
    <t>06569</t>
  </si>
  <si>
    <t>0183054188</t>
  </si>
  <si>
    <t>U.S. TAIBILLA, S.L.</t>
  </si>
  <si>
    <t>NERPIO</t>
  </si>
  <si>
    <t>CR AB-702, 45,6</t>
  </si>
  <si>
    <t>-2.293444, 38.151167</t>
  </si>
  <si>
    <t>02530</t>
  </si>
  <si>
    <t>Cafetería/Bar, Parking turismos, Parking camiones, Box presión, Aspiradores, Waylet pago en caja</t>
  </si>
  <si>
    <t>34418</t>
  </si>
  <si>
    <t>0183060086</t>
  </si>
  <si>
    <t>E.S. PROINPI S.L.</t>
  </si>
  <si>
    <t>PIEDRAHITA</t>
  </si>
  <si>
    <t>CR N-110, 314,8</t>
  </si>
  <si>
    <t>-5.325556, 40.465194</t>
  </si>
  <si>
    <t>05500</t>
  </si>
  <si>
    <t>Cafetería/Bar, Waylet pago en caja, Punto recarga eléctrico Repsol, Recarga eléctrica</t>
  </si>
  <si>
    <t>15429</t>
  </si>
  <si>
    <t>0183078559</t>
  </si>
  <si>
    <t>GARRIMARTI, S.L.</t>
  </si>
  <si>
    <t>SILES</t>
  </si>
  <si>
    <t>CR A-310, Km 23</t>
  </si>
  <si>
    <t>-2.586056, 38.384944</t>
  </si>
  <si>
    <t>23380</t>
  </si>
  <si>
    <t>00615</t>
  </si>
  <si>
    <t>0063224521</t>
  </si>
  <si>
    <t>CL AVENIDA PIRINEOS 27</t>
  </si>
  <si>
    <t>0.131028, 42.038389</t>
  </si>
  <si>
    <t>06620</t>
  </si>
  <si>
    <t>0183063023</t>
  </si>
  <si>
    <t>U.S. CUACOS YUSTE</t>
  </si>
  <si>
    <t>CUACOS DE YUSTE</t>
  </si>
  <si>
    <t>CR C-904, 19,8</t>
  </si>
  <si>
    <t>-5.596611, 40.049833</t>
  </si>
  <si>
    <t>10430</t>
  </si>
  <si>
    <t>L-V: 09:00-20:00; S: 09:00-14:00</t>
  </si>
  <si>
    <t>11444</t>
  </si>
  <si>
    <t>0183017177</t>
  </si>
  <si>
    <t>ES REIM OIL EESS, S.L.</t>
  </si>
  <si>
    <t>CABANILLAS DEL CAMPO</t>
  </si>
  <si>
    <t>CR CM-9100, 4</t>
  </si>
  <si>
    <t>-3.233833, 40.630611</t>
  </si>
  <si>
    <t>19171</t>
  </si>
  <si>
    <t>05526</t>
  </si>
  <si>
    <t>0008022188</t>
  </si>
  <si>
    <t>ES PETROL BOGATELL</t>
  </si>
  <si>
    <t>CANET DE MAR</t>
  </si>
  <si>
    <t>CR N-2, 660,7</t>
  </si>
  <si>
    <t>2.59175, 41.590556</t>
  </si>
  <si>
    <t>08360</t>
  </si>
  <si>
    <t>33106</t>
  </si>
  <si>
    <t>0183000611</t>
  </si>
  <si>
    <t>E.S. DELICIAS</t>
  </si>
  <si>
    <t>Ctra.Palma del Río CR A-431, 2</t>
  </si>
  <si>
    <t>-4.805472, 37.882944</t>
  </si>
  <si>
    <t>34554</t>
  </si>
  <si>
    <t>0183053362</t>
  </si>
  <si>
    <t>E.S. JESUS GONZALEZ LOPEZ</t>
  </si>
  <si>
    <t>BLASCOSANCHO</t>
  </si>
  <si>
    <t>CR CL-803, 3</t>
  </si>
  <si>
    <t>-4.615028, 40.886444</t>
  </si>
  <si>
    <t>05290</t>
  </si>
  <si>
    <t>L-V: 07:00-19:50; S: 08:00-14:00; D: 09:00-14:00</t>
  </si>
  <si>
    <t>Cafetería/Bar, Parking turismos, Parking camiones, Waylet pago en caja</t>
  </si>
  <si>
    <t>06707</t>
  </si>
  <si>
    <t>0183102797</t>
  </si>
  <si>
    <t>U.S. LUCSAN</t>
  </si>
  <si>
    <t>CL CAMINO DE VALLADOLID, 1</t>
  </si>
  <si>
    <t>-3.927806, 40.574722</t>
  </si>
  <si>
    <t>L-S: 08:00-14:00 y 15:30-20:30</t>
  </si>
  <si>
    <t>33063</t>
  </si>
  <si>
    <t>0063197099</t>
  </si>
  <si>
    <t>ES MERIDA ZONA SUR</t>
  </si>
  <si>
    <t>AVENIDA REINA SOFIA, 3</t>
  </si>
  <si>
    <t>-6.340472, 38.910694</t>
  </si>
  <si>
    <t>Lavado cepillos, Parking turismos, Aspiradores, Waylet pago en surtidor, Waylet pago en caja, Punto recarga eléctrico Repsol, Lavados Klin, Recarga eléctrica</t>
  </si>
  <si>
    <t>15416</t>
  </si>
  <si>
    <t>0183061175</t>
  </si>
  <si>
    <t>E.S. MAGAVI, S.A</t>
  </si>
  <si>
    <t>CR M-505, 15,5</t>
  </si>
  <si>
    <t>-3.994167, 40.571167</t>
  </si>
  <si>
    <t>95270</t>
  </si>
  <si>
    <t>0183138056</t>
  </si>
  <si>
    <t>ES MIRAMADRID</t>
  </si>
  <si>
    <t>PARACUELLOS DE JARAM</t>
  </si>
  <si>
    <t>Pº DE LAS CAMELIAS, 2</t>
  </si>
  <si>
    <t>-3.514111, 40.50375</t>
  </si>
  <si>
    <t>93459</t>
  </si>
  <si>
    <t>0183110857</t>
  </si>
  <si>
    <t>E.S. HINOJEDO FAGRA S.L.</t>
  </si>
  <si>
    <t>HINOJEDO</t>
  </si>
  <si>
    <t>CR  CA-132 ,P.K. 2,5</t>
  </si>
  <si>
    <t>-4.049056, 43.397806</t>
  </si>
  <si>
    <t>39350</t>
  </si>
  <si>
    <t>10949</t>
  </si>
  <si>
    <t>0183016062</t>
  </si>
  <si>
    <t>E.S. PAU</t>
  </si>
  <si>
    <t>PAU</t>
  </si>
  <si>
    <t>CR GE-610, 6,8</t>
  </si>
  <si>
    <t>3.1265, 42.310111</t>
  </si>
  <si>
    <t>17494</t>
  </si>
  <si>
    <t>11986</t>
  </si>
  <si>
    <t>0183062462</t>
  </si>
  <si>
    <t>E.S. DIAZ BARRIGA S.L.</t>
  </si>
  <si>
    <t>VIVARES</t>
  </si>
  <si>
    <t>CR BA-426, 7,9</t>
  </si>
  <si>
    <t>-5.894056, 39.087389</t>
  </si>
  <si>
    <t>06412</t>
  </si>
  <si>
    <t>0183058171</t>
  </si>
  <si>
    <t>E.S. PACO MORENO E HIJOS S.L.</t>
  </si>
  <si>
    <t>HERRERA</t>
  </si>
  <si>
    <t>CR C-338, 25,0</t>
  </si>
  <si>
    <t>-4.849556, 37.359417</t>
  </si>
  <si>
    <t>41567</t>
  </si>
  <si>
    <t>96966</t>
  </si>
  <si>
    <t>0183122621</t>
  </si>
  <si>
    <t>E.S. POBLA-2</t>
  </si>
  <si>
    <t>POBLA TORNESA, LA</t>
  </si>
  <si>
    <t>CV- 10  SALIDA 33</t>
  </si>
  <si>
    <t>0.008472, 40.105333</t>
  </si>
  <si>
    <t>12191</t>
  </si>
  <si>
    <t>Cafetería/Bar, Lavado cepillos, Lavado camiones, Parking turismos, Parking camiones, Zona de descanso, Box presión, Duchas, Aspiradores, Waylet pago en caja, Punto recarga eléctrico Repsol</t>
  </si>
  <si>
    <t>01094</t>
  </si>
  <si>
    <t>0183053156</t>
  </si>
  <si>
    <t>ES CATOALC CARBURANTES, SL</t>
  </si>
  <si>
    <t>ALCUDIA DE CRESPINS</t>
  </si>
  <si>
    <t>CL AVENIDA CASTILLA, 6</t>
  </si>
  <si>
    <t>-0.592528, 38.974333</t>
  </si>
  <si>
    <t>46690</t>
  </si>
  <si>
    <t>15068</t>
  </si>
  <si>
    <t>0183016849</t>
  </si>
  <si>
    <t>SAURA Y VILLENA,S.L.</t>
  </si>
  <si>
    <t>PUEBLA, LA</t>
  </si>
  <si>
    <t>CR F-35, 13,1</t>
  </si>
  <si>
    <t>-0.919778, 37.718056</t>
  </si>
  <si>
    <t>30395</t>
  </si>
  <si>
    <t>L-S: 06:00-22:00; D: 06:30-22:00</t>
  </si>
  <si>
    <t>96003</t>
  </si>
  <si>
    <t>0183077148</t>
  </si>
  <si>
    <t>ES HERMANOS GARCIA MONTES SA</t>
  </si>
  <si>
    <t>CL AVDA. 1º DE MAYO, 21 BIS</t>
  </si>
  <si>
    <t>-1.15775, 37.936583</t>
  </si>
  <si>
    <t>EFITEC 95 N - España, Efitec 95 Premium, DIESEL E+ NEO - España, DIESEL NEXA 100% RENOVABLE - Esp, Propano 11 Kg</t>
  </si>
  <si>
    <t>33585</t>
  </si>
  <si>
    <t>0183005883</t>
  </si>
  <si>
    <t>E.S. RUBEN CANSADO TEJADO</t>
  </si>
  <si>
    <t>CR N-630, 542,6</t>
  </si>
  <si>
    <t>-6.437028, 39.547833</t>
  </si>
  <si>
    <t>10003</t>
  </si>
  <si>
    <t>33850</t>
  </si>
  <si>
    <t>0183008903</t>
  </si>
  <si>
    <t>ES ESPIOIL, SL</t>
  </si>
  <si>
    <t>ESPINOSA DE HENARES</t>
  </si>
  <si>
    <t>CR GU-177 PK.3,8</t>
  </si>
  <si>
    <t>-3.075722, 40.910222</t>
  </si>
  <si>
    <t>19292</t>
  </si>
  <si>
    <t>04412</t>
  </si>
  <si>
    <t>0183005297</t>
  </si>
  <si>
    <t>INICIAT. Y DESARROLLOS LA YUCA, SL</t>
  </si>
  <si>
    <t>GUARDIA DE JAEN, LA</t>
  </si>
  <si>
    <t>CR N-323 A, 40,4</t>
  </si>
  <si>
    <t>-3.733889, 37.777861</t>
  </si>
  <si>
    <t>23170</t>
  </si>
  <si>
    <t>Lavado cepillos, Lavado camiones, Parking turismos, Parking camiones, Zona de descanso, Box presión, Aspiradores, Solred cheque lavado, Waylet pago en caja, Recarga eléctrica</t>
  </si>
  <si>
    <t>15438</t>
  </si>
  <si>
    <t>0183059740</t>
  </si>
  <si>
    <t>E.S. ISÁBENA</t>
  </si>
  <si>
    <t>SERRADUY</t>
  </si>
  <si>
    <t>CR A-1605, 16</t>
  </si>
  <si>
    <t>0.56475, 42.315778</t>
  </si>
  <si>
    <t>22483</t>
  </si>
  <si>
    <t>Taller neumáticos, Waylet pago en caja</t>
  </si>
  <si>
    <t>93405</t>
  </si>
  <si>
    <t>0183135797</t>
  </si>
  <si>
    <t>ES GARCERAN POLIGONO</t>
  </si>
  <si>
    <t>AVDA DE LAS AMERICAS 2-4 PI OESTE</t>
  </si>
  <si>
    <t>-1.209778, 37.959028</t>
  </si>
  <si>
    <t>96216</t>
  </si>
  <si>
    <t>0183077288</t>
  </si>
  <si>
    <t>ES MEGINO</t>
  </si>
  <si>
    <t>CIEMPOZUELOS</t>
  </si>
  <si>
    <t>CR A-4  P.K. 33,00 I</t>
  </si>
  <si>
    <t>-3.656917, 40.1335</t>
  </si>
  <si>
    <t>28350</t>
  </si>
  <si>
    <t>11260</t>
  </si>
  <si>
    <t>0183014398</t>
  </si>
  <si>
    <t>ES RIOS CARBALLIDO</t>
  </si>
  <si>
    <t>LAS NAVAS DE LAS CONCEPCION</t>
  </si>
  <si>
    <t>CR SE-150, 21,2</t>
  </si>
  <si>
    <t>-5.468083, 37.930778</t>
  </si>
  <si>
    <t>41460</t>
  </si>
  <si>
    <t>L-S: 07:00-20:00; D: 09:00-14:00</t>
  </si>
  <si>
    <t>97158</t>
  </si>
  <si>
    <t>0183134246</t>
  </si>
  <si>
    <t>ES ESTACION DE SERVICIO ALCALALI SL</t>
  </si>
  <si>
    <t>ALCALALI</t>
  </si>
  <si>
    <t>PLAZA MOSQUERA 8</t>
  </si>
  <si>
    <t>-0.042083, 38.751972</t>
  </si>
  <si>
    <t>03728</t>
  </si>
  <si>
    <t>EFITEC 95 N - España, Butano 12,5 Kg, DIESEL E+ NEO - España, DIESEL E+10 NEO - España, Butano 6 Kg (K6), Propano 11 Kg, BLUE+GRANEL - España</t>
  </si>
  <si>
    <t>Cafetería/Bar, Lavado camiones, Box presión, Aspiradores, Waylet pago en caja</t>
  </si>
  <si>
    <t>96162</t>
  </si>
  <si>
    <t>0183079615</t>
  </si>
  <si>
    <t>ES ECHEVARRIA VITORIA SL</t>
  </si>
  <si>
    <t>CL AVENIDA HUETOS, 81</t>
  </si>
  <si>
    <t>-2.721583, 42.857472</t>
  </si>
  <si>
    <t>01195</t>
  </si>
  <si>
    <t>EFITEC 95 N - España, EFITEC 98 N - España, Butano 12,5 Kg, DIESEL E+ NEO - España, DIESEL NEXA 100% RENOVABLE - Esp, Butano 6 Kg (K6), Propano 11 Kg, BLUE+GRANEL - España, GNC</t>
  </si>
  <si>
    <t>05514</t>
  </si>
  <si>
    <t>0183013713</t>
  </si>
  <si>
    <t>E.S. J.OLIVER DURAN,SA</t>
  </si>
  <si>
    <t>SON FERRIOL</t>
  </si>
  <si>
    <t>CR C-715, 5,7</t>
  </si>
  <si>
    <t>2.721056, 39.571194</t>
  </si>
  <si>
    <t>07198</t>
  </si>
  <si>
    <t>EFITEC 95 N - España, EFITEC 98 N - España, DIESEL E+ NEO - España, DIESEL NEXA 100% RENOVABLE - Esp, GO-B BONIF - España, Butano 6 Kg (K6), BLUE+GRANEL - España, Butano 12 Kg (NEL)</t>
  </si>
  <si>
    <t>Lavado cepillos, Parking turismos, Box presión, Aspiradores, Waylet pago en caja, Adblue Envasado, Recarga eléctrica</t>
  </si>
  <si>
    <t>33129</t>
  </si>
  <si>
    <t>0183100718</t>
  </si>
  <si>
    <t>E.S. QUIROGA S.L.</t>
  </si>
  <si>
    <t>QUIROGA</t>
  </si>
  <si>
    <t>CL REAL, 143</t>
  </si>
  <si>
    <t>-7.264722, 42.474222</t>
  </si>
  <si>
    <t>27320</t>
  </si>
  <si>
    <t>05679</t>
  </si>
  <si>
    <t>0063194153</t>
  </si>
  <si>
    <t>E.S. SERGIL S.L.</t>
  </si>
  <si>
    <t>VALMOJADO</t>
  </si>
  <si>
    <t>AVDA. MADRID 25</t>
  </si>
  <si>
    <t>-4.09, 40.208389</t>
  </si>
  <si>
    <t>45940</t>
  </si>
  <si>
    <t>96806</t>
  </si>
  <si>
    <t>0183116367</t>
  </si>
  <si>
    <t>E.S. LA INMACULADA</t>
  </si>
  <si>
    <t>CR  A-356 , P.K. 45,800 D</t>
  </si>
  <si>
    <t>-4.111111, 36.779944</t>
  </si>
  <si>
    <t>Lavado cepillos, Parking turismos, Box presión, Aspiradores, Solred cheque lavado, Lavandería, Waylet pago en caja, Lavados Klin</t>
  </si>
  <si>
    <t>07333</t>
  </si>
  <si>
    <t>0183006055</t>
  </si>
  <si>
    <t>E.S.  LOS PATOJOS, SL</t>
  </si>
  <si>
    <t>PATOJOS, LOS</t>
  </si>
  <si>
    <t>CR N-332  "LOS PATOJOS", 2,9</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</si>
  <si>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</si>
  <si>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</si>
  <si>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</si>
  <si>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</si>
  <si>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34339</t>
  </si>
  <si>
    <t>0183017656</t>
  </si>
  <si>
    <t>ALGABA, LA</t>
  </si>
  <si>
    <t>CR A-3131 P.K.1,9</t>
  </si>
  <si>
    <t>-6.024528, 37.461806</t>
  </si>
  <si>
    <t>41980</t>
  </si>
  <si>
    <t>12946</t>
  </si>
  <si>
    <t>0183062322</t>
  </si>
  <si>
    <t>E.S.  RAMBAR,S.A.</t>
  </si>
  <si>
    <t>SALOBREÑA</t>
  </si>
  <si>
    <t>AVDA. DEL MEDITERRANEO 29</t>
  </si>
  <si>
    <t>-3.584083, 36.740333</t>
  </si>
  <si>
    <t>18680</t>
  </si>
  <si>
    <t>Cafetería/Bar, Lavado cepillos, Parking turismos, Zona de descanso, Box presión, Aspiradores, Solred cheque lavado, Lavandería, Waylet pago en caja, Adblue Envasado, Punto recarga eléctrico Repsol, Lavados Klin</t>
  </si>
  <si>
    <t>04954</t>
  </si>
  <si>
    <t>0183130004</t>
  </si>
  <si>
    <t>ES PETROL STATION CONSULTING</t>
  </si>
  <si>
    <t>SISANTE</t>
  </si>
  <si>
    <t>CR NACIONAL 310 KM 174</t>
  </si>
  <si>
    <t>-2.211028, 39.409722</t>
  </si>
  <si>
    <t>16700</t>
  </si>
  <si>
    <t>97156</t>
  </si>
  <si>
    <t>0183134337</t>
  </si>
  <si>
    <t>E.S. LLORCA S.L.</t>
  </si>
  <si>
    <t>ORIHUELA-COSTA</t>
  </si>
  <si>
    <t>PARCELA ZC-1 SECTOR 2 EL BARRANCO</t>
  </si>
  <si>
    <t>-0.749917, 37.934333</t>
  </si>
  <si>
    <t>03189</t>
  </si>
  <si>
    <t>Restaurante, Cafetería/Bar, Lavado cepillos, Box presión, Aspiradores, Waylet pago en caja</t>
  </si>
  <si>
    <t>92658</t>
  </si>
  <si>
    <t>0183136365</t>
  </si>
  <si>
    <t>ES EL MAÑO</t>
  </si>
  <si>
    <t>BAZA</t>
  </si>
  <si>
    <t>CTRA. DE BENAMAUREL, PK. 2,2</t>
  </si>
  <si>
    <t>-2.765861, 37.508639</t>
  </si>
  <si>
    <t>18800</t>
  </si>
  <si>
    <t>L-V: 06:00-23:00; S: 06:00-22:00; D: 08:00-20:00</t>
  </si>
  <si>
    <t>02478</t>
  </si>
  <si>
    <t>0183058775</t>
  </si>
  <si>
    <t>ES MIGUEL ANGEL CAVA CAVA</t>
  </si>
  <si>
    <t>BETETA</t>
  </si>
  <si>
    <t>CR CM-210, PK.53</t>
  </si>
  <si>
    <t>-2.079278, 40.574056</t>
  </si>
  <si>
    <t>16870</t>
  </si>
  <si>
    <t>13031</t>
  </si>
  <si>
    <t>0183063049</t>
  </si>
  <si>
    <t>E.S. ROLO, S.L..</t>
  </si>
  <si>
    <t>MORALEJA</t>
  </si>
  <si>
    <t>CR C-526, 46,1</t>
  </si>
  <si>
    <t>-6.661222, 40.07325</t>
  </si>
  <si>
    <t>10840</t>
  </si>
  <si>
    <t>Cafetería/Bar, Lavado cepillos, Box presión, Aspiradores, Waylet pago en caja, Lavados Klin</t>
  </si>
  <si>
    <t>93798</t>
  </si>
  <si>
    <t>0183124007</t>
  </si>
  <si>
    <t>E.S. ALBUÑAN</t>
  </si>
  <si>
    <t>ALBUÑAN</t>
  </si>
  <si>
    <t>CR GUADIZ-JEREZ CR-V-4914 KM 6</t>
  </si>
  <si>
    <t>-3.143639, 37.238194</t>
  </si>
  <si>
    <t>18518</t>
  </si>
  <si>
    <t>0183137355</t>
  </si>
  <si>
    <t>ES BORRIOL</t>
  </si>
  <si>
    <t>BORRIOL</t>
  </si>
  <si>
    <t>ZARAGOZA S/N</t>
  </si>
  <si>
    <t>-0.073722, 40.041778</t>
  </si>
  <si>
    <t>12190</t>
  </si>
  <si>
    <t>15624</t>
  </si>
  <si>
    <t>0183052596</t>
  </si>
  <si>
    <t>ES ESTACIO SERVEI FALGAS S.L.</t>
  </si>
  <si>
    <t>LA POBLA DE LILLET</t>
  </si>
  <si>
    <t>CR B-402, KM 10</t>
  </si>
  <si>
    <t>1.9785, 42.245111</t>
  </si>
  <si>
    <t>08696</t>
  </si>
  <si>
    <t>03941</t>
  </si>
  <si>
    <t>0183063411</t>
  </si>
  <si>
    <t>ES MARTINEZ SANCHEZ GASOLEOS, S.L.</t>
  </si>
  <si>
    <t>CR M-601, 1,03</t>
  </si>
  <si>
    <t>-4.006556, 40.646167</t>
  </si>
  <si>
    <t>13273</t>
  </si>
  <si>
    <t>0183062249</t>
  </si>
  <si>
    <t>ES BURJASSOT</t>
  </si>
  <si>
    <t>BURJASOT</t>
  </si>
  <si>
    <t>CL CAMI DEL PONT TRENCAT, SN</t>
  </si>
  <si>
    <t>-0.405694, 39.501167</t>
  </si>
  <si>
    <t>46100</t>
  </si>
  <si>
    <t>31445</t>
  </si>
  <si>
    <t>0183053784</t>
  </si>
  <si>
    <t>E.S. DE ARBO, S.L.</t>
  </si>
  <si>
    <t>ARBO</t>
  </si>
  <si>
    <t>CR PO-400, 18</t>
  </si>
  <si>
    <t>-8.322472, 42.105444</t>
  </si>
  <si>
    <t>36430</t>
  </si>
  <si>
    <t>07387</t>
  </si>
  <si>
    <t>0183059088</t>
  </si>
  <si>
    <t>E.S. LOS ALAMICOS EXPLOTACIONES AGR</t>
  </si>
  <si>
    <t>CR N-332  LOS CAZADORORES,7,7</t>
  </si>
  <si>
    <t>-1.402167, 37.567556</t>
  </si>
  <si>
    <t>Lavado cepillos, Lavado camiones, Zona de descanso, Aspiradores, Waylet pago en caja</t>
  </si>
  <si>
    <t>33304</t>
  </si>
  <si>
    <t>0183019116</t>
  </si>
  <si>
    <t>E.S. CANIVELL AV. LUGO</t>
  </si>
  <si>
    <t>AVILES</t>
  </si>
  <si>
    <t>CL AVENIDA LUGO, 24</t>
  </si>
  <si>
    <t>-5.927, 43.566361</t>
  </si>
  <si>
    <t>Lavado cepillos, Parking turismos, Box presión, Aspiradores, Solred cheque lavado, Waylet pago en caja, Punto recarga eléctrico Repsol, Recarga eléctrica</t>
  </si>
  <si>
    <t>02284</t>
  </si>
  <si>
    <t>0183057421</t>
  </si>
  <si>
    <t>CL PLAZA PUERTA MADRID S.N.</t>
  </si>
  <si>
    <t>-4.112417, 40.936222</t>
  </si>
  <si>
    <t>40006</t>
  </si>
  <si>
    <t>L-V: 07:30-18:30; S: 09:00-15:30</t>
  </si>
  <si>
    <t>00574</t>
  </si>
  <si>
    <t>0183057009</t>
  </si>
  <si>
    <t>ES JESÚS GÓMEZ GÓMEZ</t>
  </si>
  <si>
    <t>MALPARTIDA DE PLASEN</t>
  </si>
  <si>
    <t>CL AVDA. DE CONSTITUCION, S.N.</t>
  </si>
  <si>
    <t>-6.046667, 39.976833</t>
  </si>
  <si>
    <t>L-V: 07:00-22:00; S: 07:00-15:00; D: 08:00-15:00</t>
  </si>
  <si>
    <t>10111</t>
  </si>
  <si>
    <t>0183006436</t>
  </si>
  <si>
    <t>.S. PEREZ GAMERO</t>
  </si>
  <si>
    <t>CL NOGUERAS, 5</t>
  </si>
  <si>
    <t>-3.947917, 39.871444</t>
  </si>
  <si>
    <t>L-V: 06:15-22:30; S-D: 07:00-22:30</t>
  </si>
  <si>
    <t>Restaurante, Cafetería/Bar, Lavado cepillos, Lavado camiones, Box presión, Aspiradores, Waylet pago en caja</t>
  </si>
  <si>
    <t>06610</t>
  </si>
  <si>
    <t>0183058239</t>
  </si>
  <si>
    <t>ES JOSERAL 2016 SL</t>
  </si>
  <si>
    <t>CUEVAS DEL CAMPO</t>
  </si>
  <si>
    <t>CR. A-315, PK.76</t>
  </si>
  <si>
    <t>-2.938722, 37.608806</t>
  </si>
  <si>
    <t>18813</t>
  </si>
  <si>
    <t>Cafetería/Bar, Lavado cepillos, Parking turismos, Box presión, Solred cheque lavado, Waylet pago en caja</t>
  </si>
  <si>
    <t>96839</t>
  </si>
  <si>
    <t>0183117654</t>
  </si>
  <si>
    <t>LERIDA</t>
  </si>
  <si>
    <t>CL AVDA.DEL EJERCITO , 2</t>
  </si>
  <si>
    <t>0.616111, 41.607889</t>
  </si>
  <si>
    <t>25194</t>
  </si>
  <si>
    <t>15402</t>
  </si>
  <si>
    <t>0183009331</t>
  </si>
  <si>
    <t>E.S. GRUPO LO BARÓ, S.L.</t>
  </si>
  <si>
    <t>ALTET, EL</t>
  </si>
  <si>
    <t>CL AVENIDA DE CARTAGENA, 59</t>
  </si>
  <si>
    <t>-0.538778, 38.276</t>
  </si>
  <si>
    <t>03195</t>
  </si>
  <si>
    <t>Cafetería/Bar, Lavado cepillos, Parking turismos, Box presión, Aspiradores, Solred cheque lavado, Waylet pago en caja, Adblue Envasado, Punto recarga eléctrico Repsol</t>
  </si>
  <si>
    <t>96945</t>
  </si>
  <si>
    <t>0183122647</t>
  </si>
  <si>
    <t>ESTACIONES DE SERVICIO ALMERIEN</t>
  </si>
  <si>
    <t>AGUADULCE</t>
  </si>
  <si>
    <t>JOSÉ MARÍA MOLINA PARCELA NUM.2 SEC</t>
  </si>
  <si>
    <t>-2.582556, 36.822694</t>
  </si>
  <si>
    <t>04720</t>
  </si>
  <si>
    <t>04962</t>
  </si>
  <si>
    <t>0183001247</t>
  </si>
  <si>
    <t>E.S. RUYTOL-LA VEGA</t>
  </si>
  <si>
    <t>TORRE DEL MAR</t>
  </si>
  <si>
    <t>CL AVENIDA DE ANDALUCIA, 169</t>
  </si>
  <si>
    <t>-4.101833, 36.737278</t>
  </si>
  <si>
    <t>29740</t>
  </si>
  <si>
    <t>Cafetería/Bar, Lavado cepillos, Parking turismos, Box presión, Aspiradores, Solred cheque lavado, Waylet pago en surtidor, Waylet pago en caja, Adblue Envasado, Punto recarga eléctrico Repsol</t>
  </si>
  <si>
    <t>05796</t>
  </si>
  <si>
    <t>0183010172</t>
  </si>
  <si>
    <t>E.S. IGUALADA, S.L.</t>
  </si>
  <si>
    <t>CL AV MESTRE MUNTANER 59</t>
  </si>
  <si>
    <t>1.620222, 41.5875</t>
  </si>
  <si>
    <t>Cafetería/Bar, Taller mecánico, Parking turismos, Waylet pago en caja</t>
  </si>
  <si>
    <t>97144</t>
  </si>
  <si>
    <t>0183133891</t>
  </si>
  <si>
    <t>ES LOS IBONES</t>
  </si>
  <si>
    <t>PASEO LAGOS DEL ALBA (N232) Nº 2 KM</t>
  </si>
  <si>
    <t>-0.927083, 41.660778</t>
  </si>
  <si>
    <t>L-V: 07:00-23:00; S-D: 08:00-22:00</t>
  </si>
  <si>
    <t>Cafetería/Bar, Lavado cepillos, Zona de descanso, Solred cheque lavado, Waylet pago en surtidor, Waylet pago en caja, Recarga eléctrica</t>
  </si>
  <si>
    <t>03827</t>
  </si>
  <si>
    <t>0183005446</t>
  </si>
  <si>
    <t>E.S.  EL CARMEN</t>
  </si>
  <si>
    <t>CL AVENIDA DEL PINTOR SOROLLA, 76</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</si>
  <si>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</si>
  <si>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</si>
  <si>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</si>
  <si>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</si>
  <si>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96657</t>
  </si>
  <si>
    <t>0183111087</t>
  </si>
  <si>
    <t>ES AQUATERRA SERVICIOS INFRAESTRUCT</t>
  </si>
  <si>
    <t>MECO</t>
  </si>
  <si>
    <t>AU R-2 ,P.K. 35,5 M.D.</t>
  </si>
  <si>
    <t>-3.295, 40.554361</t>
  </si>
  <si>
    <t>28880</t>
  </si>
  <si>
    <t>05687</t>
  </si>
  <si>
    <t>0183008366</t>
  </si>
  <si>
    <t>ES DAYNER PEDRALBA SL</t>
  </si>
  <si>
    <t>PEDRALBA</t>
  </si>
  <si>
    <t>CR VP-6116, 29,0</t>
  </si>
  <si>
    <t>-0.725278, 39.601583</t>
  </si>
  <si>
    <t>46164</t>
  </si>
  <si>
    <t>L-S: 06:00-21:00; D: 07:00-14:00</t>
  </si>
  <si>
    <t>33044</t>
  </si>
  <si>
    <t>0183008929</t>
  </si>
  <si>
    <t>ARGAMASILLA DE ALBA</t>
  </si>
  <si>
    <t>CR N-310, 82,5</t>
  </si>
  <si>
    <t>-3.108861, 39.127306</t>
  </si>
  <si>
    <t>13710</t>
  </si>
  <si>
    <t>Lavado camiones, Zona de descanso, Box presión, Duchas, Aspiradores, Waylet pago en caja</t>
  </si>
  <si>
    <t>97178</t>
  </si>
  <si>
    <t>0183135003</t>
  </si>
  <si>
    <t>15057</t>
  </si>
  <si>
    <t>0063207492</t>
  </si>
  <si>
    <t>E.S. BERLANGA, S.L.</t>
  </si>
  <si>
    <t>BERLANGA</t>
  </si>
  <si>
    <t>CR N-432 131,1</t>
  </si>
  <si>
    <t>-5.832472, 38.273722</t>
  </si>
  <si>
    <t>06930</t>
  </si>
  <si>
    <t>10517</t>
  </si>
  <si>
    <t>0183018761</t>
  </si>
  <si>
    <t>GARCIA SALIDO AZAHARA</t>
  </si>
  <si>
    <t>SABIOTE</t>
  </si>
  <si>
    <t>CR C-604, 6,2</t>
  </si>
  <si>
    <t>-3.320306, 38.059833</t>
  </si>
  <si>
    <t>23410</t>
  </si>
  <si>
    <t>96107</t>
  </si>
  <si>
    <t>0183050442</t>
  </si>
  <si>
    <t>E.S. FENOLLOSA LUCIA FRANCISCO RAFA</t>
  </si>
  <si>
    <t>AV BARCELONA , 107</t>
  </si>
  <si>
    <t>-0.335333, 39.562889</t>
  </si>
  <si>
    <t>Lavado cepillos, Lavado camiones, Parking turismos, Parking camiones, Zona de descanso, Box presión, Aspiradores, Solred cheque lavado, Waylet pago en caja</t>
  </si>
  <si>
    <t>34506</t>
  </si>
  <si>
    <t>0183052950</t>
  </si>
  <si>
    <t>E.S. AHIGAL,S.L.</t>
  </si>
  <si>
    <t>AHIGAL</t>
  </si>
  <si>
    <t>CR CC-L  AHIGAL-GUIJO GRANADIL, 1</t>
  </si>
  <si>
    <t>-6.17725, 40.192694</t>
  </si>
  <si>
    <t>10650</t>
  </si>
  <si>
    <t>33727</t>
  </si>
  <si>
    <t>0063192207</t>
  </si>
  <si>
    <t>E.S. NAVARRO TEJERO SA</t>
  </si>
  <si>
    <t>REMOLINOS</t>
  </si>
  <si>
    <t>CR A-126, 46,7</t>
  </si>
  <si>
    <t>-1.177194, 41.836167</t>
  </si>
  <si>
    <t>50637</t>
  </si>
  <si>
    <t>L-V: 06:30-20:30; S-D: 08:00-15:00 y 18:00-20:00</t>
  </si>
  <si>
    <t>Restaurante, Cafetería/Bar, Parking turismos, Parking camiones, Box presión, Aspiradores, Waylet pago en caja, Punto recarga eléctrico Repsol</t>
  </si>
  <si>
    <t>33448</t>
  </si>
  <si>
    <t>0183017946</t>
  </si>
  <si>
    <t>Ripoll Viveros</t>
  </si>
  <si>
    <t>CL AV. JAIME ROIG,ESQ.PRIMADO R, S.</t>
  </si>
  <si>
    <t>-0.362472, 39.483306</t>
  </si>
  <si>
    <t>46010</t>
  </si>
  <si>
    <t>Cafetería/Bar, Lavado cepillos, Aspiradores, Solred cheque lavado, Waylet pago en surtidor, Waylet pago en caja, Punto recarga eléctrico Repsol</t>
  </si>
  <si>
    <t>96044</t>
  </si>
  <si>
    <t>0183078930</t>
  </si>
  <si>
    <t>IVILARA S.L.</t>
  </si>
  <si>
    <t>BENIPARRELL</t>
  </si>
  <si>
    <t>CR N-340 232,9</t>
  </si>
  <si>
    <t>-0.414056, 39.378389</t>
  </si>
  <si>
    <t>46469</t>
  </si>
  <si>
    <t>96874</t>
  </si>
  <si>
    <t>0183118264</t>
  </si>
  <si>
    <t>ES COLON TERRASSA SL</t>
  </si>
  <si>
    <t>CR N-150  18</t>
  </si>
  <si>
    <t>2.024056, 41.558833</t>
  </si>
  <si>
    <t>Lavado cepillos, Aspiradores, Waylet pago en caja</t>
  </si>
  <si>
    <t>96854</t>
  </si>
  <si>
    <t>0183118223</t>
  </si>
  <si>
    <t>E.S. INVERSIONES SANROFER,S.L.</t>
  </si>
  <si>
    <t>VALDEMORO</t>
  </si>
  <si>
    <t>CL ARTURO DUPERIER ,S.N.</t>
  </si>
  <si>
    <t>-3.669472, 40.165972</t>
  </si>
  <si>
    <t>28340</t>
  </si>
  <si>
    <t>94863</t>
  </si>
  <si>
    <t>0183135433</t>
  </si>
  <si>
    <t>GASOLINERAS HERMANOS RECHE SL</t>
  </si>
  <si>
    <t>CHIRIVEL</t>
  </si>
  <si>
    <t>A-92, PK.389</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</si>
  <si>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</si>
  <si>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</si>
  <si>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</si>
  <si>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</si>
  <si>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34130</t>
  </si>
  <si>
    <t>0183002682</t>
  </si>
  <si>
    <t>ES GALURESA PUENTECESURES</t>
  </si>
  <si>
    <t>PONTECESURES</t>
  </si>
  <si>
    <t>CL JOSE NOVO, S.N.</t>
  </si>
  <si>
    <t>-8.652861, 42.72575</t>
  </si>
  <si>
    <t>36649</t>
  </si>
  <si>
    <t>06433</t>
  </si>
  <si>
    <t>0183106830</t>
  </si>
  <si>
    <t>ES AVANZA BAJO GUADALQUIVIR SDD.COO</t>
  </si>
  <si>
    <t>EL TROBAL</t>
  </si>
  <si>
    <t>CR EL TROBAL - LOS PALACIOS,S.N.</t>
  </si>
  <si>
    <t>-5.946355, 37.107627</t>
  </si>
  <si>
    <t>41727</t>
  </si>
  <si>
    <t>L-V: 08:00-20:00; S-D: 09:00-19:00</t>
  </si>
  <si>
    <t>15289</t>
  </si>
  <si>
    <t>0183014703</t>
  </si>
  <si>
    <t>E.S. "LA REINA"</t>
  </si>
  <si>
    <t>SANTA CRUZ</t>
  </si>
  <si>
    <t>CR N-432, 298,4</t>
  </si>
  <si>
    <t>-4.646833, 37.737417</t>
  </si>
  <si>
    <t>14820</t>
  </si>
  <si>
    <t>31326</t>
  </si>
  <si>
    <t>0183057538</t>
  </si>
  <si>
    <t>HROS.DE GERARDO OTERO RASCON,C.B.</t>
  </si>
  <si>
    <t>SAN ILDEFONSO O LA G</t>
  </si>
  <si>
    <t>CR CL-601, 120,1  I</t>
  </si>
  <si>
    <t>-4.020333, 40.904472</t>
  </si>
  <si>
    <t>40100</t>
  </si>
  <si>
    <t>34519</t>
  </si>
  <si>
    <t>0183019009</t>
  </si>
  <si>
    <t>E.S. VOLORIU,S.L.</t>
  </si>
  <si>
    <t>ORGANYA</t>
  </si>
  <si>
    <t>CR C-14, 162</t>
  </si>
  <si>
    <t>1.33025, 42.212111</t>
  </si>
  <si>
    <t>25794</t>
  </si>
  <si>
    <t>04381</t>
  </si>
  <si>
    <t>0183059021</t>
  </si>
  <si>
    <t>U.S. MORALES Y JAIME SL</t>
  </si>
  <si>
    <t>YEBENES, LOS</t>
  </si>
  <si>
    <t>CL FUENTE NUEVA, 24</t>
  </si>
  <si>
    <t>-3.866611, 39.580167</t>
  </si>
  <si>
    <t>45470</t>
  </si>
  <si>
    <t>L-S: 07:00-14:00 y 15:30-22:00</t>
  </si>
  <si>
    <t>33868</t>
  </si>
  <si>
    <t>0183109958</t>
  </si>
  <si>
    <t>ES LORENA Y NATALIA, SOCIEDAD LIMIT</t>
  </si>
  <si>
    <t>MINGLANILLA</t>
  </si>
  <si>
    <t>CR N-3 P.K. 225</t>
  </si>
  <si>
    <t>-1.600111, 39.533583</t>
  </si>
  <si>
    <t>16260</t>
  </si>
  <si>
    <t>Cafetería/Bar, Parking turismos, Waylet pago en caja, Punto recarga eléctrico Repsol, Recarga eléctrica</t>
  </si>
  <si>
    <t>96974</t>
  </si>
  <si>
    <t>0183123132</t>
  </si>
  <si>
    <t>E.S. CAN NADAL</t>
  </si>
  <si>
    <t>C/ CAN NADAL Nº 4</t>
  </si>
  <si>
    <t>2.247944, 41.589222</t>
  </si>
  <si>
    <t>Cafetería/Bar, Lavado cepillos, Lavado camiones, Parking camiones, Box presión, Duchas, Aspiradores, Solred cheque lavado, Waylet pago en caja</t>
  </si>
  <si>
    <t>10743</t>
  </si>
  <si>
    <t>0183062934</t>
  </si>
  <si>
    <t>CA´N PARRINO,S.L.</t>
  </si>
  <si>
    <t>SAN LORENZO DE CARDASAR</t>
  </si>
  <si>
    <t>CR C-715, 54,8</t>
  </si>
  <si>
    <t>3.270694, 39.600722</t>
  </si>
  <si>
    <t>07530</t>
  </si>
  <si>
    <t>15111</t>
  </si>
  <si>
    <t>0183058536</t>
  </si>
  <si>
    <t>E.S. MONTEJANO</t>
  </si>
  <si>
    <t>CL AVENIDA CARABANCHEL ALTO, 180</t>
  </si>
  <si>
    <t>-3.754417, 40.3585</t>
  </si>
  <si>
    <t>Lavado cepillos, Lavado camiones, Box presión, Solred cheque lavado, Waylet pago en caja, Punto recarga eléctrico Repsol</t>
  </si>
  <si>
    <t>34570</t>
  </si>
  <si>
    <t>0183001452</t>
  </si>
  <si>
    <t>ES CATOALC CARBURANTES S.L.</t>
  </si>
  <si>
    <t>ALGEMESI</t>
  </si>
  <si>
    <t>CR CV-42, 7</t>
  </si>
  <si>
    <t>-0.421806, 39.220694</t>
  </si>
  <si>
    <t>46680</t>
  </si>
  <si>
    <t>15493</t>
  </si>
  <si>
    <t>0183016468</t>
  </si>
  <si>
    <t>ES NETEJAMATIC JAMC SL</t>
  </si>
  <si>
    <t>XATIVA</t>
  </si>
  <si>
    <t>CL CTRA. LLOSA DE RANES, S.N. 6</t>
  </si>
  <si>
    <t>-0.524472, 38.994389</t>
  </si>
  <si>
    <t>46800</t>
  </si>
  <si>
    <t>L-V: 07:00-21:00; S: 08:00-18:00</t>
  </si>
  <si>
    <t>EFITEC 95 N - España, Efitec 95 Premium, DIESEL E+ NEO - España, DIESEL NEXA 100% RENOVABLE - Esp, Butano 6 Kg (K6), BLUE+GRANEL - España, Autogás, Butano 12 Kg (NEL)</t>
  </si>
  <si>
    <t>33568</t>
  </si>
  <si>
    <t>0183005354</t>
  </si>
  <si>
    <t>ES VALDASTILLAS</t>
  </si>
  <si>
    <t>VALDASTILLAS</t>
  </si>
  <si>
    <t>CR N-110, 382,2</t>
  </si>
  <si>
    <t>-5.890833, 40.136417</t>
  </si>
  <si>
    <t>10614</t>
  </si>
  <si>
    <t>33214</t>
  </si>
  <si>
    <t>0183052349</t>
  </si>
  <si>
    <t>E.S. LOUZAREGOS S.L.</t>
  </si>
  <si>
    <t>VIANA DO BOLO</t>
  </si>
  <si>
    <t>CL CARRETERA LALIN A GUDIÑA, 61</t>
  </si>
  <si>
    <t>-7.101333, 42.188778</t>
  </si>
  <si>
    <t>32550</t>
  </si>
  <si>
    <t>L-V: 07:30-22:00; S: 08:00-22:00; D: 09:00-21:00</t>
  </si>
  <si>
    <t>Taller mecánico, Parking turismos, Parking camiones, Box presión, Aspiradores, Waylet pago en caja</t>
  </si>
  <si>
    <t>94204</t>
  </si>
  <si>
    <t>0183121599</t>
  </si>
  <si>
    <t>E.S. CANIVELL LA CORREDORIA</t>
  </si>
  <si>
    <t>OVIEDO-LA CORREDORIA</t>
  </si>
  <si>
    <t>CL MOLIN LA CASUCA S/N</t>
  </si>
  <si>
    <t>-5.818139, 43.388806</t>
  </si>
  <si>
    <t>93258</t>
  </si>
  <si>
    <t>0183135805</t>
  </si>
  <si>
    <t>ES PETRONALCA NOAIN FOGÓN</t>
  </si>
  <si>
    <t>CTRA N-240 KM 7,2</t>
  </si>
  <si>
    <t>-1.624167, 42.756667</t>
  </si>
  <si>
    <t>L-J: 06:00-21:00; V-S: 06:00-22:00; D: 07:00-21:00</t>
  </si>
  <si>
    <t>11062</t>
  </si>
  <si>
    <t>0183058999</t>
  </si>
  <si>
    <t>ES BEROGLEZ INVERSIONES SLU</t>
  </si>
  <si>
    <t>CR N-6, 391</t>
  </si>
  <si>
    <t>-6.657917, 42.566694</t>
  </si>
  <si>
    <t>L-S: 06:00-23:00; D: 00:08-23:00</t>
  </si>
  <si>
    <t>12126</t>
  </si>
  <si>
    <t>0183135185</t>
  </si>
  <si>
    <t>E.S. ARRIATE</t>
  </si>
  <si>
    <t>ARRIATE</t>
  </si>
  <si>
    <t>CR MA-428, RONDA-ARRIATE</t>
  </si>
  <si>
    <t>-5.142722, 36.786806</t>
  </si>
  <si>
    <t>29350</t>
  </si>
  <si>
    <t>34488</t>
  </si>
  <si>
    <t>0183010479</t>
  </si>
  <si>
    <t>E.S. G.ORDOÑEZ,S.L.</t>
  </si>
  <si>
    <t>CL VALLE INCLAN, 8</t>
  </si>
  <si>
    <t>-8.771389, 42.59375</t>
  </si>
  <si>
    <t>L-S: 09:00-22:00</t>
  </si>
  <si>
    <t>11528</t>
  </si>
  <si>
    <t>0183053628</t>
  </si>
  <si>
    <t>E.S.EL PINARILLO</t>
  </si>
  <si>
    <t>PADILLA DE DUERO</t>
  </si>
  <si>
    <t>CR N-122, 312</t>
  </si>
  <si>
    <t>-4.175444, 41.612611</t>
  </si>
  <si>
    <t>47314</t>
  </si>
  <si>
    <t>L-V: 07:00-22:00; S-D: 09:00-22:00</t>
  </si>
  <si>
    <t>Restaurante, Cafetería/Bar, Lavado cepillos, Parking turismos, Parking camiones, Box presión, Aspiradores, Waylet pago en caja</t>
  </si>
  <si>
    <t>97035</t>
  </si>
  <si>
    <t>0183125533</t>
  </si>
  <si>
    <t>E.S. PETROCAR LEVANTE SL</t>
  </si>
  <si>
    <t>P.I. Madrigueres SUD-61</t>
  </si>
  <si>
    <t>0.09375, 38.835694</t>
  </si>
  <si>
    <t>Cafetería/Bar, Lavado cepillos, Lavado camiones, Box presión, Aspiradores, Waylet pago en caja</t>
  </si>
  <si>
    <t>15252</t>
  </si>
  <si>
    <t>0183015940</t>
  </si>
  <si>
    <t>E.S. PRIETO, C.B..</t>
  </si>
  <si>
    <t>ASPE</t>
  </si>
  <si>
    <t>CL AVENIDA 3 DE AGOSTO, 5</t>
  </si>
  <si>
    <t>-0.774111, 38.336722</t>
  </si>
  <si>
    <t>03680</t>
  </si>
  <si>
    <t>34072</t>
  </si>
  <si>
    <t>0063212633</t>
  </si>
  <si>
    <t>E.S. MARACENA</t>
  </si>
  <si>
    <t>MARACENA</t>
  </si>
  <si>
    <t>CL CAMINO ALBOLOTE, S.N.</t>
  </si>
  <si>
    <t>-3.631917, 37.208917</t>
  </si>
  <si>
    <t>18200</t>
  </si>
  <si>
    <t>34653</t>
  </si>
  <si>
    <t>0183058304</t>
  </si>
  <si>
    <t>ES YARIMA SL</t>
  </si>
  <si>
    <t>VILLANUEVA DEL DUQUE</t>
  </si>
  <si>
    <t>CR A-420, 105</t>
  </si>
  <si>
    <t>-4.979694, 38.392139</t>
  </si>
  <si>
    <t>14250</t>
  </si>
  <si>
    <t>15187</t>
  </si>
  <si>
    <t>0183053693</t>
  </si>
  <si>
    <t>E.S. ADISJUBER,S.L.</t>
  </si>
  <si>
    <t>CR N-340, 118</t>
  </si>
  <si>
    <t>-5.410139, 36.207222</t>
  </si>
  <si>
    <t>11360</t>
  </si>
  <si>
    <t>Restaurante, Cafetería/Bar, Lavado camiones, Parking turismos, Parking camiones, Zona de descanso, Box presión, Aspiradores, Waylet pago en surtidor, Waylet pago en caja</t>
  </si>
  <si>
    <t>34425</t>
  </si>
  <si>
    <t>0183057199</t>
  </si>
  <si>
    <t>E.S. CARBURANTES LA PERDIZ</t>
  </si>
  <si>
    <t>BURGO DE OSMA, EL</t>
  </si>
  <si>
    <t>CR N-122, 210</t>
  </si>
  <si>
    <t>-3.058417, 41.586833</t>
  </si>
  <si>
    <t>42300</t>
  </si>
  <si>
    <t>04557</t>
  </si>
  <si>
    <t>0183053164</t>
  </si>
  <si>
    <t>ES MOGENTE</t>
  </si>
  <si>
    <t>MOGENTE</t>
  </si>
  <si>
    <t>AVINGUDA HIJAS DE LA CARIDAD, 21</t>
  </si>
  <si>
    <t>-0.754167, 38.878611</t>
  </si>
  <si>
    <t>46640</t>
  </si>
  <si>
    <t>Parking turismos, Parking camiones, Box presión, Aspiradores, Waylet pago en surtidor, Waylet pago en caja, Adblue Envasado, Punto recarga eléctrico Repsol</t>
  </si>
  <si>
    <t>31399</t>
  </si>
  <si>
    <t>0183059575</t>
  </si>
  <si>
    <t>E.S.  EL ROSALEJO</t>
  </si>
  <si>
    <t>CR N-321, 80</t>
  </si>
  <si>
    <t>-3.976917, 37.71425</t>
  </si>
  <si>
    <t>96938</t>
  </si>
  <si>
    <t>0183123991</t>
  </si>
  <si>
    <t>E.S. SAN JUAN BOSCO, S.A. - R II</t>
  </si>
  <si>
    <t>AV JOSE ATARES 18 DPLO</t>
  </si>
  <si>
    <t>-0.887417, 41.662111</t>
  </si>
  <si>
    <t>50018</t>
  </si>
  <si>
    <t>99546</t>
  </si>
  <si>
    <t>0183136415</t>
  </si>
  <si>
    <t>ES GALURESA RAMALLOSA</t>
  </si>
  <si>
    <t>A RAMALLOSA</t>
  </si>
  <si>
    <t>TRAVESIA DA RAMALLOSA, 7</t>
  </si>
  <si>
    <t>-8.548222, 42.798139</t>
  </si>
  <si>
    <t>15883</t>
  </si>
  <si>
    <t>Cafetería/Bar, Lavado cepillos, Parking turismos, Box presión, Aspiradores, Waylet pago en caja</t>
  </si>
  <si>
    <t>96140</t>
  </si>
  <si>
    <t>0183102318</t>
  </si>
  <si>
    <t>ES CODISOIL VILLALPANDO</t>
  </si>
  <si>
    <t>VILLALPANDO</t>
  </si>
  <si>
    <t>CR C-612, 49</t>
  </si>
  <si>
    <t>-5.417667, 41.860417</t>
  </si>
  <si>
    <t>49630</t>
  </si>
  <si>
    <t>33627</t>
  </si>
  <si>
    <t>0183079284</t>
  </si>
  <si>
    <t>E.S. OJEN,S.L.</t>
  </si>
  <si>
    <t>OJEN</t>
  </si>
  <si>
    <t>CL CARRETERA, 2</t>
  </si>
  <si>
    <t>-4.857861, 36.56525</t>
  </si>
  <si>
    <t>29610</t>
  </si>
  <si>
    <t>L-V: 06:00-22:00; S: 07:00-20:00; D: 08:30-14:30</t>
  </si>
  <si>
    <t>34025</t>
  </si>
  <si>
    <t>0183001536</t>
  </si>
  <si>
    <t>VERIN ENERGY SL</t>
  </si>
  <si>
    <t>CR N-525, 165,1  D</t>
  </si>
  <si>
    <t>-7.415861, 41.945472</t>
  </si>
  <si>
    <t>L-V: 06:00-23:00</t>
  </si>
  <si>
    <t>Cafetería/Bar, Lavado cepillos, Parking turismos, Parking camiones, Zona de descanso, Box presión, Duchas, Aspiradores, Waylet pago en caja, Punto recarga eléctrico Repsol, Lavados Klin</t>
  </si>
  <si>
    <t>07539</t>
  </si>
  <si>
    <t>0183014158</t>
  </si>
  <si>
    <t>ES FERRUGAS NORTE SL</t>
  </si>
  <si>
    <t>CR BI-633 DURANGO-ONDARROA ,P.K.51,</t>
  </si>
  <si>
    <t>-2.495722, 43.280111</t>
  </si>
  <si>
    <t>13173</t>
  </si>
  <si>
    <t>0183012665</t>
  </si>
  <si>
    <t>ES ARIDEXA</t>
  </si>
  <si>
    <t>VENTAS DE HUELMA</t>
  </si>
  <si>
    <t>CR C-340, 20,8</t>
  </si>
  <si>
    <t>-3.813139, 37.070722</t>
  </si>
  <si>
    <t>18131</t>
  </si>
  <si>
    <t>06165</t>
  </si>
  <si>
    <t>0183017300</t>
  </si>
  <si>
    <t>ES HERMANOS NAVAMUEL ESPERANZA SA</t>
  </si>
  <si>
    <t>PULGAR</t>
  </si>
  <si>
    <t>CR CM-4013 , P.K.23,4 M.I.</t>
  </si>
  <si>
    <t>-4.155833, 39.690556</t>
  </si>
  <si>
    <t>45125</t>
  </si>
  <si>
    <t>L: 07:00-19:00</t>
  </si>
  <si>
    <t>Taller neumáticos, Lavado cepillos, Box presión, Waylet pago en caja</t>
  </si>
  <si>
    <t>33018</t>
  </si>
  <si>
    <t>0183000512</t>
  </si>
  <si>
    <t>ES GRA VIELLA IZQ</t>
  </si>
  <si>
    <t>CR AS-17, 24,9</t>
  </si>
  <si>
    <t>-5.784917, 43.402722</t>
  </si>
  <si>
    <t>33818</t>
  </si>
  <si>
    <t>0183015551</t>
  </si>
  <si>
    <t>E.S.   LA PISTA,S.L.</t>
  </si>
  <si>
    <t>CAÑAVERAL</t>
  </si>
  <si>
    <t>CR N-630, 509,3</t>
  </si>
  <si>
    <t>-6.386611, 39.793917</t>
  </si>
  <si>
    <t>10820</t>
  </si>
  <si>
    <t>EFITEC 95 N - España, Butano 12,5 Kg, DIESEL E+ NEO - España, DIESEL E+10 NEO - España</t>
  </si>
  <si>
    <t>15052</t>
  </si>
  <si>
    <t>0183016740</t>
  </si>
  <si>
    <t>GUBAU, S.A.</t>
  </si>
  <si>
    <t>ARENYS DE MUNT</t>
  </si>
  <si>
    <t>CR B-511, 2,2</t>
  </si>
  <si>
    <t>2.5425, 41.597778</t>
  </si>
  <si>
    <t>08358</t>
  </si>
  <si>
    <t>15209</t>
  </si>
  <si>
    <t>0183050111</t>
  </si>
  <si>
    <t>E.S.  SEBASTIAN MORENO SORIANO Y DO</t>
  </si>
  <si>
    <t>HUELMA</t>
  </si>
  <si>
    <t>CR N-324, P.K. 24,5</t>
  </si>
  <si>
    <t>-3.452778, 37.647778</t>
  </si>
  <si>
    <t>23560</t>
  </si>
  <si>
    <t>92604</t>
  </si>
  <si>
    <t>0183107853</t>
  </si>
  <si>
    <t>E.S. HORPOSA</t>
  </si>
  <si>
    <t>CR PO-410, 1,26</t>
  </si>
  <si>
    <t>-8.615, 42.126889</t>
  </si>
  <si>
    <t>L-V: 06:00-23:00; S: 07:00-23:00; D: 08:00-23:00</t>
  </si>
  <si>
    <t>31001</t>
  </si>
  <si>
    <t>0183061522</t>
  </si>
  <si>
    <t>E.S. BARRUERA,S.C.P.</t>
  </si>
  <si>
    <t>BARRUERA</t>
  </si>
  <si>
    <t>CR L-500, 11,8</t>
  </si>
  <si>
    <t>0.80275, 42.5045</t>
  </si>
  <si>
    <t>25527</t>
  </si>
  <si>
    <t>00641</t>
  </si>
  <si>
    <t>0183103647</t>
  </si>
  <si>
    <t>E.S.  ROLO,S.L.</t>
  </si>
  <si>
    <t>CAMINOMORISCO</t>
  </si>
  <si>
    <t>CR C-512, 49</t>
  </si>
  <si>
    <t>-6.292389, 40.32575</t>
  </si>
  <si>
    <t>10620</t>
  </si>
  <si>
    <t>02157</t>
  </si>
  <si>
    <t>0183063973</t>
  </si>
  <si>
    <t>ES AGUADO ROS S.L.</t>
  </si>
  <si>
    <t>PG INDUSTRIAL-CALLE GUIPUZCOA, 9</t>
  </si>
  <si>
    <t>-4.515778, 42.003556</t>
  </si>
  <si>
    <t>L-V: 07:00-21:00; S: 08:00-15:00; D: 08:00-14:00</t>
  </si>
  <si>
    <t>00209</t>
  </si>
  <si>
    <t>0183053818</t>
  </si>
  <si>
    <t>A.S. CEBOLLERO RIBAS J</t>
  </si>
  <si>
    <t>CL COSO ALTO 65</t>
  </si>
  <si>
    <t>-0.4105, 42.141194</t>
  </si>
  <si>
    <t>22003</t>
  </si>
  <si>
    <t>15376</t>
  </si>
  <si>
    <t>0183050830</t>
  </si>
  <si>
    <t>ES ESTEPONA</t>
  </si>
  <si>
    <t>CR N-340, 148</t>
  </si>
  <si>
    <t>-5.205972, 36.388667</t>
  </si>
  <si>
    <t>Lavado cepillos, Parking turismos, Aspiradores, Solred cheque lavado, Lavandería, Waylet pago en caja, Adblue Envasado</t>
  </si>
  <si>
    <t>15102</t>
  </si>
  <si>
    <t>0183060326</t>
  </si>
  <si>
    <t>ES AGP HUESCA COMBUSTIBLES, S.L</t>
  </si>
  <si>
    <t>CR A-23, 362,51</t>
  </si>
  <si>
    <t>-0.424583, 42.147806</t>
  </si>
  <si>
    <t>22090</t>
  </si>
  <si>
    <t>96354</t>
  </si>
  <si>
    <t>0183104363</t>
  </si>
  <si>
    <t>JUAN ANTONIO MARQUEZ FERNANDEZ</t>
  </si>
  <si>
    <t>CR N-332, 224,2</t>
  </si>
  <si>
    <t>-0.202861, 38.968389</t>
  </si>
  <si>
    <t>Cafetería/Bar, Parking turismos, Zona de descanso, Waylet pago en caja</t>
  </si>
  <si>
    <t>33174</t>
  </si>
  <si>
    <t>0035005958</t>
  </si>
  <si>
    <t>E.S. RANI SL</t>
  </si>
  <si>
    <t>CL AVENIDA PADRE CLARET, 8</t>
  </si>
  <si>
    <t>-4.115778, 40.948194</t>
  </si>
  <si>
    <t>40001</t>
  </si>
  <si>
    <t>96063</t>
  </si>
  <si>
    <t>0183078385</t>
  </si>
  <si>
    <t>TRANSRAID,S.L.</t>
  </si>
  <si>
    <t>TARREGA</t>
  </si>
  <si>
    <t>CR A-2, 507,39</t>
  </si>
  <si>
    <t>1.136278, 41.662472</t>
  </si>
  <si>
    <t>25300</t>
  </si>
  <si>
    <t>Taller mecánico, Taller neumáticos, Parking turismos, Parking camiones, Duchas, Waylet pago en caja</t>
  </si>
  <si>
    <t>93632</t>
  </si>
  <si>
    <t>0183136688</t>
  </si>
  <si>
    <t>ES HNOS MARTINEZ ADRIAN S.L</t>
  </si>
  <si>
    <t>MONTEQUINTO</t>
  </si>
  <si>
    <t>CALLE VIA APIA NÚM 60</t>
  </si>
  <si>
    <t>-5.938278, 37.347611</t>
  </si>
  <si>
    <t>41089</t>
  </si>
  <si>
    <t>97005</t>
  </si>
  <si>
    <t>0183124718</t>
  </si>
  <si>
    <t>ES ORTIZ CONSTRUCCIONES Y PROYECTOS</t>
  </si>
  <si>
    <t>CL ALTO DEL RETIRO, 2</t>
  </si>
  <si>
    <t>-3.58775, 40.367472</t>
  </si>
  <si>
    <t>Cafetería/Bar, Lavado cepillos, Parking turismos, Box presión, Aspiradores, Solred cheque lavado, Waylet pago en surtidor, Waylet pago en caja, Adblue Envasado, Recarga eléctrica</t>
  </si>
  <si>
    <t>34457</t>
  </si>
  <si>
    <t>0183119270</t>
  </si>
  <si>
    <t>E.S. FEBRER PINARO, S.L.</t>
  </si>
  <si>
    <t>PORTO CRISTO</t>
  </si>
  <si>
    <t>CR PORTO CRISTO-SON SERVERA</t>
  </si>
  <si>
    <t>3.339444, 39.547667</t>
  </si>
  <si>
    <t>07680</t>
  </si>
  <si>
    <t>EFITEC 95 N - España, EFITEC 98 N - España, Butano 12,5 Kg, DIESEL E+ NEO - España, DIESEL E+10 NEO - España, GO-B BONIF - España, Butano 6 Kg (K6), Propano 11 Kg, BLUE+GRANEL - España, Butano 12 Kg (NEL)</t>
  </si>
  <si>
    <t>05767</t>
  </si>
  <si>
    <t>0183012327</t>
  </si>
  <si>
    <t>FLOREZ SIERRA,S.L.</t>
  </si>
  <si>
    <t>CANGAS DE NARCEA</t>
  </si>
  <si>
    <t>CL AVENIDA OVIEDO, S.N.</t>
  </si>
  <si>
    <t>-6.546389, 43.180833</t>
  </si>
  <si>
    <t>33800</t>
  </si>
  <si>
    <t>07199</t>
  </si>
  <si>
    <t>0183003821</t>
  </si>
  <si>
    <t>E.S. BALDOPLUS SL</t>
  </si>
  <si>
    <t>POZO DE GUADALAJARA</t>
  </si>
  <si>
    <t>CR GU-221, 20,6</t>
  </si>
  <si>
    <t>-3.181917, 40.495194</t>
  </si>
  <si>
    <t>19161</t>
  </si>
  <si>
    <t>15047</t>
  </si>
  <si>
    <t>0183006253</t>
  </si>
  <si>
    <t>E.S. TANA</t>
  </si>
  <si>
    <t>CR A-45  P.K. 165,00 I</t>
  </si>
  <si>
    <t>-4.424417, 36.768611</t>
  </si>
  <si>
    <t>EFITEC 95 N - España, EFITEC 98 N - España, Butano 12,5 Kg, DIESEL E+ NEO - España, DIESEL E+10 NEO - España, Butano 6 Kg (K6), Propano 11 Kg, BLUE+GRANEL - España, Autogás</t>
  </si>
  <si>
    <t>25294</t>
  </si>
  <si>
    <t>0183057512</t>
  </si>
  <si>
    <t>E.S. CARBURANTES GEOT,S.L.</t>
  </si>
  <si>
    <t>GARCILLAN</t>
  </si>
  <si>
    <t>CR C-605, 14  I</t>
  </si>
  <si>
    <t>-4.263944, 40.986333</t>
  </si>
  <si>
    <t>40120</t>
  </si>
  <si>
    <t>15711</t>
  </si>
  <si>
    <t>0183001270</t>
  </si>
  <si>
    <t>ES PBK 2012 SL</t>
  </si>
  <si>
    <t>USURBIL</t>
  </si>
  <si>
    <t>CR N-634, 6,2</t>
  </si>
  <si>
    <t>-2.070472, 43.271361</t>
  </si>
  <si>
    <t>20170</t>
  </si>
  <si>
    <t>11734</t>
  </si>
  <si>
    <t>0183054568</t>
  </si>
  <si>
    <t>E.S.EL ESPINAR SL</t>
  </si>
  <si>
    <t>ESPINAR, EL</t>
  </si>
  <si>
    <t>CL AVDA LAS PEÑITAS, 104</t>
  </si>
  <si>
    <t>-4.234611, 40.717417</t>
  </si>
  <si>
    <t>40400</t>
  </si>
  <si>
    <t>01395</t>
  </si>
  <si>
    <t>0183003169</t>
  </si>
  <si>
    <t>E.S.  PLAZA DE ESPAÑA</t>
  </si>
  <si>
    <t>CL PLAZA ESPAÑA, S.N.</t>
  </si>
  <si>
    <t>-0.991944, 37.605944</t>
  </si>
  <si>
    <t>96289</t>
  </si>
  <si>
    <t>0183101823</t>
  </si>
  <si>
    <t>FEBRER S.A.</t>
  </si>
  <si>
    <t>CL SANT IGNASI, 68</t>
  </si>
  <si>
    <t>2.675944, 39.574389</t>
  </si>
  <si>
    <t>96313</t>
  </si>
  <si>
    <t>0183101997</t>
  </si>
  <si>
    <t>ES REPSOL CEAO 2</t>
  </si>
  <si>
    <t>AVDA. BENIGNO RIVERA, 99.Pol. Ind.</t>
  </si>
  <si>
    <t>-7.569472, 43.044333</t>
  </si>
  <si>
    <t>96317</t>
  </si>
  <si>
    <t>0063205181</t>
  </si>
  <si>
    <t>ES AREA DE SERVICIO SAN BENITO SL</t>
  </si>
  <si>
    <t>CR A-2, 49,68</t>
  </si>
  <si>
    <t>-3.210278, 40.610278</t>
  </si>
  <si>
    <t>06221</t>
  </si>
  <si>
    <t>0183104983</t>
  </si>
  <si>
    <t>US ESTACION DE SERVICIO FRANCISCA P</t>
  </si>
  <si>
    <t>CECLAVIN</t>
  </si>
  <si>
    <t>CR C-213, 10,5</t>
  </si>
  <si>
    <t>-6.775111, 39.826083</t>
  </si>
  <si>
    <t>10870</t>
  </si>
  <si>
    <t>L: 08:00-20:00</t>
  </si>
  <si>
    <t>Taller mecánico, Waylet pago en caja</t>
  </si>
  <si>
    <t>97177</t>
  </si>
  <si>
    <t>0183135219</t>
  </si>
  <si>
    <t>CR VP-1041, PK. 21 M.I.</t>
  </si>
  <si>
    <t>EFITEC 95 N - España, Butano 12,5 Kg, DIESEL E+ NEO - España, Butano 6 Kg (K6), Butano 12 Kg (NEL)</t>
  </si>
  <si>
    <t>05414</t>
  </si>
  <si>
    <t>0183001056</t>
  </si>
  <si>
    <t>E.S. BEHOBIA S.L.</t>
  </si>
  <si>
    <t>GI 636, PK 17,000</t>
  </si>
  <si>
    <t>-1.760472, 43.342111</t>
  </si>
  <si>
    <t>05375</t>
  </si>
  <si>
    <t>0183129857</t>
  </si>
  <si>
    <t>ES INMATERGIES SL</t>
  </si>
  <si>
    <t>CR N-431 PK 110,60</t>
  </si>
  <si>
    <t>-7.14675, 37.28825</t>
  </si>
  <si>
    <t>07359</t>
  </si>
  <si>
    <t>0183011154</t>
  </si>
  <si>
    <t>CR N-322, 359</t>
  </si>
  <si>
    <t>-1.845083, 39.033139</t>
  </si>
  <si>
    <t>Cafetería/Bar, Parking turismos, Parking camiones, Zona de descanso, Box presión, Aspiradores, Waylet pago en caja</t>
  </si>
  <si>
    <t>34522</t>
  </si>
  <si>
    <t>0183052265</t>
  </si>
  <si>
    <t>E.S. GASOLPER ONTENIENTE</t>
  </si>
  <si>
    <t>CL AVENIDA DOS DE MAYO, 207</t>
  </si>
  <si>
    <t>-0.605306, 38.8185</t>
  </si>
  <si>
    <t>04083</t>
  </si>
  <si>
    <t>0183050970</t>
  </si>
  <si>
    <t>E.S. EL BRUCH, S.A.</t>
  </si>
  <si>
    <t>BRUC, EL</t>
  </si>
  <si>
    <t>CR A-2, 567</t>
  </si>
  <si>
    <t>1.750389, 41.593333</t>
  </si>
  <si>
    <t>08194</t>
  </si>
  <si>
    <t>96664</t>
  </si>
  <si>
    <t>0183111483</t>
  </si>
  <si>
    <t>ES AQUATERRA LEGANES</t>
  </si>
  <si>
    <t>CR  R-5 ,P.K. 5,5 M.I.</t>
  </si>
  <si>
    <t>-3.804444, 40.335556</t>
  </si>
  <si>
    <t>11148</t>
  </si>
  <si>
    <t>0183079128</t>
  </si>
  <si>
    <t>E.S. NIMACI S.L.</t>
  </si>
  <si>
    <t>FONTANILLES</t>
  </si>
  <si>
    <t>CR C-31 P.K. 344,8</t>
  </si>
  <si>
    <t>3.145944, 42.0045</t>
  </si>
  <si>
    <t>17257</t>
  </si>
  <si>
    <t>94454</t>
  </si>
  <si>
    <t>0183122662</t>
  </si>
  <si>
    <t>E.S. CARBURANTES Y SERVICIOS JOVIPE</t>
  </si>
  <si>
    <t>POLIGONO INDUSTRIAL VALDELAFUENTE N</t>
  </si>
  <si>
    <t>-3.906306, 40.302111</t>
  </si>
  <si>
    <t>Cafetería/Bar, Lavado cepillos, Parking turismos, Box presión, Waylet pago en caja</t>
  </si>
  <si>
    <t>10770</t>
  </si>
  <si>
    <t>0183138064</t>
  </si>
  <si>
    <t>ES SUMINISTROS PLIEGO  ALHAMA</t>
  </si>
  <si>
    <t>CR MU-602 P.K. 41,70 D, PK 41</t>
  </si>
  <si>
    <t>-1.38725, 37.808306</t>
  </si>
  <si>
    <t>Parking camiones, Zona de descanso, Box presión, Aspiradores, Waylet pago en caja</t>
  </si>
  <si>
    <t>96092</t>
  </si>
  <si>
    <t>0183079607</t>
  </si>
  <si>
    <t>ES COLOMAR INVERSIONES Y SERVICIOS</t>
  </si>
  <si>
    <t>VILLAOBISPO D.L.REGU</t>
  </si>
  <si>
    <t>CR N-621, 4.5</t>
  </si>
  <si>
    <t>-5.549667, 42.622167</t>
  </si>
  <si>
    <t>24195</t>
  </si>
  <si>
    <t>11232</t>
  </si>
  <si>
    <t>0183013614</t>
  </si>
  <si>
    <t>E S.   MURO</t>
  </si>
  <si>
    <t>MURO</t>
  </si>
  <si>
    <t>VI DE SERVICIO,3-ESQ. BISBE MIQUEL</t>
  </si>
  <si>
    <t>3.052639, 39.7415</t>
  </si>
  <si>
    <t>07440</t>
  </si>
  <si>
    <t>L-S: 06:30-21:30; D: 08:00-14:00</t>
  </si>
  <si>
    <t>06507</t>
  </si>
  <si>
    <t>0183063064</t>
  </si>
  <si>
    <t>US ANGORA NR, SL</t>
  </si>
  <si>
    <t>VILLANUEVA DE LA VERA</t>
  </si>
  <si>
    <t>CR C-501, 80,7</t>
  </si>
  <si>
    <t>-5.433389, 40.132694</t>
  </si>
  <si>
    <t>10470</t>
  </si>
  <si>
    <t>Taller neumáticos, Zona de descanso, Box presión, Aspiradores, Waylet pago en surtidor, Waylet pago en caja</t>
  </si>
  <si>
    <t>33902</t>
  </si>
  <si>
    <t>0073127417</t>
  </si>
  <si>
    <t>ES EDIFICACIONES TIFAN</t>
  </si>
  <si>
    <t>DE MAJADAHONDA</t>
  </si>
  <si>
    <t>CL CR.MAJADAHONDA-EL PLANTIO, 66</t>
  </si>
  <si>
    <t>-3.849556, 40.474944</t>
  </si>
  <si>
    <t>96843</t>
  </si>
  <si>
    <t>0183120088</t>
  </si>
  <si>
    <t>E.S. GLEM, S.L. CASTALLA 2</t>
  </si>
  <si>
    <t>CR CV-815 P.K. 5,700</t>
  </si>
  <si>
    <t>-0.654917, 38.57825</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</si>
  <si>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</si>
  <si>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</si>
  <si>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13346</t>
  </si>
  <si>
    <t>0183076868</t>
  </si>
  <si>
    <t>E.S. MILA</t>
  </si>
  <si>
    <t>CR N-310, 85,1</t>
  </si>
  <si>
    <t>-3.079389, 39.131944</t>
  </si>
  <si>
    <t>96953</t>
  </si>
  <si>
    <t>0183122001</t>
  </si>
  <si>
    <t>AREA DE SERVICIO EL POLEAR, S.L.</t>
  </si>
  <si>
    <t>VILLANUEVA DEL TRABU</t>
  </si>
  <si>
    <t>AUTOVIA  A92M, 8 M.I.</t>
  </si>
  <si>
    <t>-4.326944, 37.067778</t>
  </si>
  <si>
    <t>03379</t>
  </si>
  <si>
    <t>0183051937</t>
  </si>
  <si>
    <t>US GASOLEOS ROSAN</t>
  </si>
  <si>
    <t>TIETAR DEL CAUDILLO</t>
  </si>
  <si>
    <t>CL CRUCE CAMINOS IRYDA, 8</t>
  </si>
  <si>
    <t>-5.484528, 40.030861</t>
  </si>
  <si>
    <t>10319</t>
  </si>
  <si>
    <t>10037</t>
  </si>
  <si>
    <t>0183122910</t>
  </si>
  <si>
    <t>ES GASOLEOS CHICHARRO S.L.</t>
  </si>
  <si>
    <t>VILLAMIEL DE TOLEDO</t>
  </si>
  <si>
    <t>CR. CM-4011 KM. 18</t>
  </si>
  <si>
    <t>-4.14925, 39.987389</t>
  </si>
  <si>
    <t>45594</t>
  </si>
  <si>
    <t>L-V: 07:00-20:00; S-D: 09:00-16:00</t>
  </si>
  <si>
    <t>13116</t>
  </si>
  <si>
    <t>0183062470</t>
  </si>
  <si>
    <t>E.S. LA TORRE</t>
  </si>
  <si>
    <t>AV DE ANDALUCIA, 14</t>
  </si>
  <si>
    <t>-4.082944, 36.748167</t>
  </si>
  <si>
    <t>Lavado cepillos, Lavado camiones, Parking turismos, Box presión, Solred cheque lavado, Lavandería, Waylet pago en caja, Adblue Envasado</t>
  </si>
  <si>
    <t>33355</t>
  </si>
  <si>
    <t>0183013671</t>
  </si>
  <si>
    <t>FEBRER 01</t>
  </si>
  <si>
    <t>CL EUSEBIO ESTADA, 64</t>
  </si>
  <si>
    <t>2.660667, 39.582056</t>
  </si>
  <si>
    <t>07004</t>
  </si>
  <si>
    <t>33295</t>
  </si>
  <si>
    <t>0063157531</t>
  </si>
  <si>
    <t>E.S. MARIGOMEZ DOMINGO</t>
  </si>
  <si>
    <t>CARBONERO EL MAYOR</t>
  </si>
  <si>
    <t>CR CL-601, 83,7</t>
  </si>
  <si>
    <t>-4.263333, 41.11775</t>
  </si>
  <si>
    <t>40270</t>
  </si>
  <si>
    <t>Cafetería/Bar, Aspiradores, Solred cheque lavado, Waylet pago en surtidor, Waylet pago en caja, Punto recarga eléctrico Repsol</t>
  </si>
  <si>
    <t>07543</t>
  </si>
  <si>
    <t>0183013101</t>
  </si>
  <si>
    <t>ES RIBES DEL FRESER</t>
  </si>
  <si>
    <t>CAMPELLES</t>
  </si>
  <si>
    <t>CR N-152, 118</t>
  </si>
  <si>
    <t>2.160667, 42.286806</t>
  </si>
  <si>
    <t>17534</t>
  </si>
  <si>
    <t>05701</t>
  </si>
  <si>
    <t>0183005370</t>
  </si>
  <si>
    <t>E.S. N.SRA.DEL OLIVAR</t>
  </si>
  <si>
    <t>LECERA</t>
  </si>
  <si>
    <t>CR A-222, 40,8</t>
  </si>
  <si>
    <t>-0.710861, 41.208861</t>
  </si>
  <si>
    <t>50131</t>
  </si>
  <si>
    <t>Restaurante, Cafetería/Bar, Taller neumáticos, Parking turismos, Parking camiones, Box presión, Aspiradores, Waylet pago en caja</t>
  </si>
  <si>
    <t>33831</t>
  </si>
  <si>
    <t>0183055821</t>
  </si>
  <si>
    <t>E.S. LA ATALAYA COMBUSTIBLES SL</t>
  </si>
  <si>
    <t>CR N-401, 183,6</t>
  </si>
  <si>
    <t>-3.924722, 39.022</t>
  </si>
  <si>
    <t>Lavado camiones, Box presión, Waylet pago en caja</t>
  </si>
  <si>
    <t>92812</t>
  </si>
  <si>
    <t>0183131325</t>
  </si>
  <si>
    <t>E.S. LAS PALMERAS</t>
  </si>
  <si>
    <t>HUEVAR DE ALJARAFE</t>
  </si>
  <si>
    <t>URBANIZACION VIRGEN DEL ROCIO KM 7</t>
  </si>
  <si>
    <t>-6.270222, 37.363306</t>
  </si>
  <si>
    <t>41830</t>
  </si>
  <si>
    <t>L-V: 07:00-21:00; S: 08:00-15:00; D: 09:00-14:00</t>
  </si>
  <si>
    <t>12641</t>
  </si>
  <si>
    <t>0183060185</t>
  </si>
  <si>
    <t>PLAYA POBLA DE FARNA</t>
  </si>
  <si>
    <t>CL CAMINO VIEJO DE MASAMAGRELL,</t>
  </si>
  <si>
    <t>-0.294972, 39.5625</t>
  </si>
  <si>
    <t>46137</t>
  </si>
  <si>
    <t>L-V: 07:00-21:00; S: 07:00-15:00</t>
  </si>
  <si>
    <t>Cafetería/Bar, Lavado cepillos, Zona de descanso, Box presión, Aspiradores, Solred cheque lavado, Waylet pago en caja</t>
  </si>
  <si>
    <t>96371</t>
  </si>
  <si>
    <t>0183105683</t>
  </si>
  <si>
    <t>ES ZOILO RIOS - PINSEQUE</t>
  </si>
  <si>
    <t>PINSEQUE</t>
  </si>
  <si>
    <t>CR A-68, 258,20</t>
  </si>
  <si>
    <t>-1.076389, 41.738306</t>
  </si>
  <si>
    <t>50298</t>
  </si>
  <si>
    <t>Restaurante, Cafetería/Bar, Lavado cepillos, Parking turismos, Parking camiones, Box presión, Duchas, Aspiradores, Solred cheque lavado, Waylet pago en surtidor, Waylet pago en caja</t>
  </si>
  <si>
    <t>96769</t>
  </si>
  <si>
    <t>0183113299</t>
  </si>
  <si>
    <t>E.S. LAVANCARO</t>
  </si>
  <si>
    <t>CL CARLOS I , 8</t>
  </si>
  <si>
    <t>-3.867417, 40.095861</t>
  </si>
  <si>
    <t>07450</t>
  </si>
  <si>
    <t>0183014711</t>
  </si>
  <si>
    <t>ESTACION DE SERVICIO NEVADA SLU</t>
  </si>
  <si>
    <t>CARABIAS</t>
  </si>
  <si>
    <t>CR A-1, 130</t>
  </si>
  <si>
    <t>-3.678028, 41.439806</t>
  </si>
  <si>
    <t>40540</t>
  </si>
  <si>
    <t>01085</t>
  </si>
  <si>
    <t>0183063510</t>
  </si>
  <si>
    <t>GARAGE TIBURCIO,S.L.</t>
  </si>
  <si>
    <t>MARIN</t>
  </si>
  <si>
    <t>CL CONCEPCION ARENAL, 84</t>
  </si>
  <si>
    <t>-8.694, 42.393361</t>
  </si>
  <si>
    <t>36900</t>
  </si>
  <si>
    <t>L-D: 07:30-22:30</t>
  </si>
  <si>
    <t>96896</t>
  </si>
  <si>
    <t>0183119411</t>
  </si>
  <si>
    <t>AREA DE SERVICIO LAS SALINAS</t>
  </si>
  <si>
    <t>MOLINA DE SEGURA</t>
  </si>
  <si>
    <t>Ctra. Molina-Fortuna Rotonda A-3  A</t>
  </si>
  <si>
    <t>-1.199778, 38.07375</t>
  </si>
  <si>
    <t>30500</t>
  </si>
  <si>
    <t>Restaurante, Cafetería/Bar, Lavado cepillos, Parking turismos, Zona de descanso, Box presión, Aspiradores, Waylet pago en caja, Lavados Klin</t>
  </si>
  <si>
    <t>33546</t>
  </si>
  <si>
    <t>0082016197</t>
  </si>
  <si>
    <t>E.S. G.R.A. BLANCO I. Y S MIERES</t>
  </si>
  <si>
    <t>CL BARRIO DE ARROXO, S.N.</t>
  </si>
  <si>
    <t>-5.777056, 43.257972</t>
  </si>
  <si>
    <t>33765</t>
  </si>
  <si>
    <t>0086002169</t>
  </si>
  <si>
    <t>E.S. ORILLAMAR,SA</t>
  </si>
  <si>
    <t>CL AVENIDA ORILLAMAR, 53</t>
  </si>
  <si>
    <t>-8.733278, 42.233611</t>
  </si>
  <si>
    <t>36202</t>
  </si>
  <si>
    <t>11785</t>
  </si>
  <si>
    <t>0183057686</t>
  </si>
  <si>
    <t>E.S. GESTOSO, SRL</t>
  </si>
  <si>
    <t>SAN CRISTOBAL DE ENTREVIÑAS</t>
  </si>
  <si>
    <t>CR N-630, 210,1</t>
  </si>
  <si>
    <t>-5.650056, 42.033167</t>
  </si>
  <si>
    <t>49690</t>
  </si>
  <si>
    <t>L-V: 07:30-21:30; S: 08:00-15:00; D: 15:00-21:30</t>
  </si>
  <si>
    <t>05481</t>
  </si>
  <si>
    <t>0183015239</t>
  </si>
  <si>
    <t>E.S. MARMA S.L.</t>
  </si>
  <si>
    <t>PUENTE ALMUHEY</t>
  </si>
  <si>
    <t>CR LE-232, 26,3</t>
  </si>
  <si>
    <t>-4.978667, 42.782972</t>
  </si>
  <si>
    <t>24880</t>
  </si>
  <si>
    <t>15706</t>
  </si>
  <si>
    <t>0183053016</t>
  </si>
  <si>
    <t>CANTERO Y GARCIA,S.C</t>
  </si>
  <si>
    <t>GUADALCANAL</t>
  </si>
  <si>
    <t>CR C-432, 25,0</t>
  </si>
  <si>
    <t>-5.822444, 38.090306</t>
  </si>
  <si>
    <t>41390</t>
  </si>
  <si>
    <t>Taller neumáticos, Box presión, Aspiradores, Solred cheque lavado, Waylet pago en caja, Adblue Envasado</t>
  </si>
  <si>
    <t>97059</t>
  </si>
  <si>
    <t>0183130293</t>
  </si>
  <si>
    <t>E.S. BUTARQUE AREA DE SERVICIOS SL</t>
  </si>
  <si>
    <t>CL HULLA, 22</t>
  </si>
  <si>
    <t>-3.676417, 40.340389</t>
  </si>
  <si>
    <t>33786</t>
  </si>
  <si>
    <t>0073121717</t>
  </si>
  <si>
    <t>ES ANGEL MANUEL EXPOSITO, SOCIEDAD</t>
  </si>
  <si>
    <t>CL TIBURCIO, 98</t>
  </si>
  <si>
    <t>-3.618194, 39.062222</t>
  </si>
  <si>
    <t>EFITEC 95 N - España, EFITEC 98 N - España, Butano 12,5 Kg, DIESEL E+ NEO - España, Diésel e+5, DIESEL NEXA 100% RENOVABLE - Esp, Propano 11 Kg, BLUE+GRANEL - España, Autogás, Butano 12 Kg (NEL)</t>
  </si>
  <si>
    <t>31589</t>
  </si>
  <si>
    <t>0183075548</t>
  </si>
  <si>
    <t>IND.DEL VALLE,S.A.</t>
  </si>
  <si>
    <t>CORTIJOS NUEVOS</t>
  </si>
  <si>
    <t>CR A-6301, km. 26</t>
  </si>
  <si>
    <t>-2.727528, 38.248056</t>
  </si>
  <si>
    <t>23293</t>
  </si>
  <si>
    <t>Taller mecánico, Taller neumáticos, Lavado cepillos, Box presión, Aspiradores, Waylet pago en caja</t>
  </si>
  <si>
    <t>07229</t>
  </si>
  <si>
    <t>0202081626</t>
  </si>
  <si>
    <t>E.S.  ABRIL, S.A.</t>
  </si>
  <si>
    <t>CR N-332, 116,4</t>
  </si>
  <si>
    <t>-0.421472, 38.411889</t>
  </si>
  <si>
    <t>03550</t>
  </si>
  <si>
    <t>15945</t>
  </si>
  <si>
    <t>0183133297</t>
  </si>
  <si>
    <t>Ripoll Paiporta</t>
  </si>
  <si>
    <t>PAIPORTA</t>
  </si>
  <si>
    <t>CARRETERA DE BENTÚSSER, S/N</t>
  </si>
  <si>
    <t>-0.410556, 39.427194</t>
  </si>
  <si>
    <t>46200</t>
  </si>
  <si>
    <t>Cafetería/Bar, Lavado cepillos, Lavado camiones, Box presión, Aspiradores, Solred cheque lavado, Waylet pago en caja</t>
  </si>
  <si>
    <t>34548</t>
  </si>
  <si>
    <t>0183063593</t>
  </si>
  <si>
    <t>E.S.GONZALEZ G.E HIJ</t>
  </si>
  <si>
    <t>ALCOLEA DE TAJO</t>
  </si>
  <si>
    <t>CR-CM- 4101 PK 32,4</t>
  </si>
  <si>
    <t>-5.171306, 39.80575</t>
  </si>
  <si>
    <t>45571</t>
  </si>
  <si>
    <t>Lavado cepillos, Parking turismos, Parking camiones, Box presión, Aspiradores, Solred cheque lavado, Waylet pago en caja, Adblue Envasado</t>
  </si>
  <si>
    <t>15132</t>
  </si>
  <si>
    <t>0183132323</t>
  </si>
  <si>
    <t>E.S. LA JOYA</t>
  </si>
  <si>
    <t>ALHAMA DE GRANADA</t>
  </si>
  <si>
    <t>CL DUQUE DE MANDAS 52</t>
  </si>
  <si>
    <t>-3.990778, 37.003667</t>
  </si>
  <si>
    <t>18120</t>
  </si>
  <si>
    <t>EFITEC 95 N - España, EFITEC 98 N - España, DIESEL E+ NEO - España, GO-B BONIF - España, Propano 11 Kg, Butano 12 Kg (NEL)</t>
  </si>
  <si>
    <t>96971</t>
  </si>
  <si>
    <t>0183122993</t>
  </si>
  <si>
    <t>E.S. POLIGAS S.L.</t>
  </si>
  <si>
    <t>C/ PLATA Nº 41</t>
  </si>
  <si>
    <t>-4.705028, 41.618306</t>
  </si>
  <si>
    <t>Lavado cepillos, Parking turismos, Box presión, Aspiradores, Solred cheque lavado, Waylet pago en caja, Punto recarga eléctrico Repsol, Lavados Klin</t>
  </si>
  <si>
    <t>96531</t>
  </si>
  <si>
    <t>0183108265</t>
  </si>
  <si>
    <t>ES CA S,HEREU</t>
  </si>
  <si>
    <t>SON SERVERA</t>
  </si>
  <si>
    <t>CL CR SON SERVERA-CALA MILLOR, 1</t>
  </si>
  <si>
    <t>3.370222, 39.614028</t>
  </si>
  <si>
    <t>Cafetería/Bar, Lavado cepillos, Lavado camiones, Zona de descanso, Box presión, Aspiradores, Solred cheque lavado, Waylet pago en caja</t>
  </si>
  <si>
    <t>13315</t>
  </si>
  <si>
    <t>0183062298</t>
  </si>
  <si>
    <t>PG P.IND.PEDROCHES,PAR.8S I-2, S/N.</t>
  </si>
  <si>
    <t>-4.758806, 37.904972</t>
  </si>
  <si>
    <t>33150</t>
  </si>
  <si>
    <t>0183054774</t>
  </si>
  <si>
    <t>E.S. ESPARGA,S.L..</t>
  </si>
  <si>
    <t>CL DIPUTACION, 371</t>
  </si>
  <si>
    <t>2.175167, 41.396722</t>
  </si>
  <si>
    <t>31171</t>
  </si>
  <si>
    <t>0183011048</t>
  </si>
  <si>
    <t>VILLAQUILAMBRE</t>
  </si>
  <si>
    <t>CR N-621, 5</t>
  </si>
  <si>
    <t>-5.548, 42.626417</t>
  </si>
  <si>
    <t>L-S: 08:00-14:30</t>
  </si>
  <si>
    <t>96964</t>
  </si>
  <si>
    <t>0183132539</t>
  </si>
  <si>
    <t>ES VIÑAS DEL EGIDO RESTAURACION SL</t>
  </si>
  <si>
    <t>CASAR DE CACERES</t>
  </si>
  <si>
    <t>A-66 PK 539, MD</t>
  </si>
  <si>
    <t>-6.399917, 39.559889</t>
  </si>
  <si>
    <t>10190</t>
  </si>
  <si>
    <t>Restaurante, Cafetería/Bar, Parking turismos, Parking camiones, Zona de descanso, Duchas, Waylet pago en caja, Adblue Envasado, Recarga eléctrica</t>
  </si>
  <si>
    <t>12479</t>
  </si>
  <si>
    <t>0183063361</t>
  </si>
  <si>
    <t>ES LANDAZURI FUELS</t>
  </si>
  <si>
    <t>ALDEA DEL PUENTE, LA</t>
  </si>
  <si>
    <t>CR N-625, 31,4</t>
  </si>
  <si>
    <t>-5.282639, 42.560028</t>
  </si>
  <si>
    <t>24920</t>
  </si>
  <si>
    <t>Lavado cepillos, Parking turismos, Aspiradores, Solred cheque lavado, Waylet pago en surtidor, Waylet pago en caja</t>
  </si>
  <si>
    <t>96369</t>
  </si>
  <si>
    <t>0183108513</t>
  </si>
  <si>
    <t>E.S. GARDOAN 63,S.L.</t>
  </si>
  <si>
    <t>SAGUNTO</t>
  </si>
  <si>
    <t>V-23 Puçol-Sagunto P.K. 0,5</t>
  </si>
  <si>
    <t>-0.29675, 39.632944</t>
  </si>
  <si>
    <t>46500</t>
  </si>
  <si>
    <t>EFITEC 95 N - España, Efitec 95 Premium, Butano 12,5 Kg, DIESEL E+ NEO - España, DIESEL NEXA 100% RENOVABLE - Esp, BLUE+GRANEL - España</t>
  </si>
  <si>
    <t>00250</t>
  </si>
  <si>
    <t>0183059542</t>
  </si>
  <si>
    <t>ES COSCU BROTO SL</t>
  </si>
  <si>
    <t>BROTO</t>
  </si>
  <si>
    <t>CR N-260, 478</t>
  </si>
  <si>
    <t>-0.123389, 42.606472</t>
  </si>
  <si>
    <t>22370</t>
  </si>
  <si>
    <t>33280</t>
  </si>
  <si>
    <t>0183055029</t>
  </si>
  <si>
    <t>E.S. HISPANO MURANO</t>
  </si>
  <si>
    <t>CL URB.ANDALUCIA NUEVA-P.BANUS, S.N</t>
  </si>
  <si>
    <t>-4.955139, 36.486889</t>
  </si>
  <si>
    <t>33336</t>
  </si>
  <si>
    <t>0183052554</t>
  </si>
  <si>
    <t>BENABARRE</t>
  </si>
  <si>
    <t>CR N-230, 65,5</t>
  </si>
  <si>
    <t>0.485444, 42.100917</t>
  </si>
  <si>
    <t>22580</t>
  </si>
  <si>
    <t>97039</t>
  </si>
  <si>
    <t>0183133792</t>
  </si>
  <si>
    <t>ES O REI DAS TARTAS</t>
  </si>
  <si>
    <t>ABADIN</t>
  </si>
  <si>
    <t>A-8 SALIDA 552 AUTOVIA A-8 (LU-P-01</t>
  </si>
  <si>
    <t>-7.426694, 43.379889</t>
  </si>
  <si>
    <t>27730</t>
  </si>
  <si>
    <t>Restaurante, Cafetería/Bar, Parking turismos, Parking camiones, Zona de descanso, Box presión, Duchas, Aspiradores, Waylet pago en caja, Punto recarga eléctrico Repsol</t>
  </si>
  <si>
    <t>94354</t>
  </si>
  <si>
    <t>0183124569</t>
  </si>
  <si>
    <t>E.S. CARBURANTES DE PONFERRADA, S.L</t>
  </si>
  <si>
    <t>TRABADELO</t>
  </si>
  <si>
    <t>CR N-6 414,5</t>
  </si>
  <si>
    <t>-6.876556, 42.646333</t>
  </si>
  <si>
    <t>24523</t>
  </si>
  <si>
    <t>Restaurante, Cafetería/Bar, Lavado camiones, Parking turismos, Parking camiones, Zona de descanso, Box presión, Duchas, Aspiradores, Waylet pago en surtidor, Waylet pago en caja, Punto recarga eléctrico Repsol</t>
  </si>
  <si>
    <t>33049</t>
  </si>
  <si>
    <t>0183002401</t>
  </si>
  <si>
    <t>ES SALAS GESTION DE CARBURANTES ARE</t>
  </si>
  <si>
    <t>LEDANCA</t>
  </si>
  <si>
    <t>CR A-2, 95</t>
  </si>
  <si>
    <t>-2.836028, 40.859361</t>
  </si>
  <si>
    <t>19195</t>
  </si>
  <si>
    <t>97173</t>
  </si>
  <si>
    <t>0183135029</t>
  </si>
  <si>
    <t>1.440139, 38.922167</t>
  </si>
  <si>
    <t>EFITEC 95 N - España, DIESEL E+ NEO - España, Butano 6 Kg (K6), Butano 12 Kg (NEL)</t>
  </si>
  <si>
    <t>Aspiradores, Waylet pago en caja, Adblue Envasado</t>
  </si>
  <si>
    <t>92288</t>
  </si>
  <si>
    <t>0183134915</t>
  </si>
  <si>
    <t>ES GARCERAN 1, S.L.</t>
  </si>
  <si>
    <t>PURIAS</t>
  </si>
  <si>
    <t>CARRETERA CR-11, PK 13</t>
  </si>
  <si>
    <t>-1.650944, 37.571917</t>
  </si>
  <si>
    <t>30813</t>
  </si>
  <si>
    <t>Cafetería/Bar, Zona de descanso, Duchas, Waylet pago en caja</t>
  </si>
  <si>
    <t>0183056902</t>
  </si>
  <si>
    <t>E.S. ZOTAJO Y GAS S.L.</t>
  </si>
  <si>
    <t>LORA DEL RIO</t>
  </si>
  <si>
    <t>CR CONSTANTINA, SN</t>
  </si>
  <si>
    <t>-5.533778, 37.661611</t>
  </si>
  <si>
    <t>41440</t>
  </si>
  <si>
    <t>Cafetería/Bar, Parking turismos, Box presión, Aspiradores, Waylet pago en caja, Adblue Envasado, Lavados Klin</t>
  </si>
  <si>
    <t>11978</t>
  </si>
  <si>
    <t>0183059229</t>
  </si>
  <si>
    <t>E.S. AMASA S.L.U.</t>
  </si>
  <si>
    <t>VILLABONA</t>
  </si>
  <si>
    <t>CR N-1, 440,7</t>
  </si>
  <si>
    <t>-2.055528, 43.177167</t>
  </si>
  <si>
    <t>20150</t>
  </si>
  <si>
    <t>EFITEC 95 N - España, EFITEC 98 N - España, DIESEL E+ NEO - España, DIESEL E+10 NEO - España, GO-B BONIF - España, Butano 6 Kg (K6), BLUE+GRANEL - España</t>
  </si>
  <si>
    <t>05362</t>
  </si>
  <si>
    <t>0183016575</t>
  </si>
  <si>
    <t>E.S.MONTE REAL, S.L.</t>
  </si>
  <si>
    <t>BAYONA</t>
  </si>
  <si>
    <t>CL SANTA MARTA ,10</t>
  </si>
  <si>
    <t>-8.840056, 42.114111</t>
  </si>
  <si>
    <t>36300</t>
  </si>
  <si>
    <t>Taller mecánico, Lavado cepillos, Parking turismos, Zona de descanso, Box presión, Aspiradores, Solred cheque lavado, Waylet pago en caja</t>
  </si>
  <si>
    <t>04943</t>
  </si>
  <si>
    <t>0183000173</t>
  </si>
  <si>
    <t>ESTABLECIM. DURA SL.</t>
  </si>
  <si>
    <t>CR N-340, 728,9</t>
  </si>
  <si>
    <t>-0.592472, 38.29175</t>
  </si>
  <si>
    <t>12419</t>
  </si>
  <si>
    <t>0183060177</t>
  </si>
  <si>
    <t>E.S. SAVICMASA,S.L.</t>
  </si>
  <si>
    <t>MORATA DE TAJUÑA</t>
  </si>
  <si>
    <t>CR M-311, 4,9</t>
  </si>
  <si>
    <t>-3.480556, 40.245167</t>
  </si>
  <si>
    <t>28530</t>
  </si>
  <si>
    <t>Restaurante, Cafetería/Bar, Lavado cepillos, Parking turismos, Parking camiones, Zona de descanso, Box presión, Aspiradores, Waylet pago en caja</t>
  </si>
  <si>
    <t>33791</t>
  </si>
  <si>
    <t>0183012517</t>
  </si>
  <si>
    <t>ES COMBUSTIBLES GUTIERREZ, S.L.</t>
  </si>
  <si>
    <t>EL CASAR</t>
  </si>
  <si>
    <t>CR N-320, PK. 314,4</t>
  </si>
  <si>
    <t>-3.42675, 40.705389</t>
  </si>
  <si>
    <t>19170</t>
  </si>
  <si>
    <t>96188</t>
  </si>
  <si>
    <t>0183080027</t>
  </si>
  <si>
    <t>E.S. SERVICIOS ALCUDIA SA 4</t>
  </si>
  <si>
    <t>ALCUDIA</t>
  </si>
  <si>
    <t>CL POLLENTIA ESQ. CL. L,ESTEL, S</t>
  </si>
  <si>
    <t>3.127083, 39.850056</t>
  </si>
  <si>
    <t>33065</t>
  </si>
  <si>
    <t>0183000470</t>
  </si>
  <si>
    <t>CL CRUZ, S.N.</t>
  </si>
  <si>
    <t>2.82375, 41.97525</t>
  </si>
  <si>
    <t>17002</t>
  </si>
  <si>
    <t>07291</t>
  </si>
  <si>
    <t>0183129006</t>
  </si>
  <si>
    <t>E.S. HERMANOS LORENZO ARRIBAS SLL</t>
  </si>
  <si>
    <t>VILLAR DE DOMINGO GA</t>
  </si>
  <si>
    <t>C/ SANTO CRISTO, SN</t>
  </si>
  <si>
    <t>-2.290667, 40.234444</t>
  </si>
  <si>
    <t>16480</t>
  </si>
  <si>
    <t>96897</t>
  </si>
  <si>
    <t>0183120104</t>
  </si>
  <si>
    <t>E.S. LA COLINA</t>
  </si>
  <si>
    <t>CL AVDA. MANUEL FRAGA IRIBARNE, 9</t>
  </si>
  <si>
    <t>-4.494806, 36.641389</t>
  </si>
  <si>
    <t>EFITEC 95 N - España, Efitec 95 Premium, DIESEL E+ NEO - España, DIESEL E+10 NEO - España, Butano 6 Kg (K6), Propano 11 Kg, Autogás, Butano 12 Kg (NEL)</t>
  </si>
  <si>
    <t>04397</t>
  </si>
  <si>
    <t>0183078666</t>
  </si>
  <si>
    <t>CONSTANTINA</t>
  </si>
  <si>
    <t>CR C-432, 74,2</t>
  </si>
  <si>
    <t>-5.6185, 37.862111</t>
  </si>
  <si>
    <t>41450</t>
  </si>
  <si>
    <t>33954</t>
  </si>
  <si>
    <t>0183007921</t>
  </si>
  <si>
    <t>E.S. "SAHEFE"</t>
  </si>
  <si>
    <t>VILLANUEVA DE CORBOBA</t>
  </si>
  <si>
    <t>CR C-420, 154</t>
  </si>
  <si>
    <t>-4.619333, 38.322028</t>
  </si>
  <si>
    <t>07203</t>
  </si>
  <si>
    <t>0183050848</t>
  </si>
  <si>
    <t>E.S.PTE V CENTENARIO</t>
  </si>
  <si>
    <t>CR N-4, 548</t>
  </si>
  <si>
    <t>-5.971194, 37.338333</t>
  </si>
  <si>
    <t>41013</t>
  </si>
  <si>
    <t>Cafetería/Bar, Lavado cepillos, Lavado camiones, Parking turismos, Parking camiones, Zona de descanso, Box presión, Aspiradores, Solred cheque lavado, Lavandería, Waylet pago en caja, Adblue Envasado</t>
  </si>
  <si>
    <t>11988</t>
  </si>
  <si>
    <t>0183118397</t>
  </si>
  <si>
    <t>ES PROVALEST, SL</t>
  </si>
  <si>
    <t>CASAS DE BARCENA</t>
  </si>
  <si>
    <t>CR N-340 P.K. 4,2</t>
  </si>
  <si>
    <t>-0.360083, 39.516778</t>
  </si>
  <si>
    <t>46131</t>
  </si>
  <si>
    <t>96576</t>
  </si>
  <si>
    <t>0183107697</t>
  </si>
  <si>
    <t>E.S. ALMENARA CASAS INVERSIONES SL</t>
  </si>
  <si>
    <t>CORRAL DE ALMAGUER</t>
  </si>
  <si>
    <t>CR N-301, 97</t>
  </si>
  <si>
    <t>-3.175083, 39.767778</t>
  </si>
  <si>
    <t>45880</t>
  </si>
  <si>
    <t>97006</t>
  </si>
  <si>
    <t>0183124197</t>
  </si>
  <si>
    <t>E.S EL OLIVAR</t>
  </si>
  <si>
    <t>LACHAR</t>
  </si>
  <si>
    <t>A-92 SALIDA 220</t>
  </si>
  <si>
    <t>-3.853361, 37.193</t>
  </si>
  <si>
    <t>18327</t>
  </si>
  <si>
    <t>96199</t>
  </si>
  <si>
    <t>0183079854</t>
  </si>
  <si>
    <t>E.S. ERRONDO, S.L.</t>
  </si>
  <si>
    <t>CR GI-632, 1</t>
  </si>
  <si>
    <t>-2.220417, 43.050028</t>
  </si>
  <si>
    <t>L-S: 05:30-21:30; D: 07:00-21:30</t>
  </si>
  <si>
    <t>Restaurante, Cafetería/Bar, Parking turismos, Parking camiones, Box presión, Aspiradores, Waylet pago en caja, Recarga eléctrica</t>
  </si>
  <si>
    <t>96023</t>
  </si>
  <si>
    <t>0183077619</t>
  </si>
  <si>
    <t>E.S.MONTELLOS</t>
  </si>
  <si>
    <t>MONTELLOS</t>
  </si>
  <si>
    <t>CR C-542 3,3</t>
  </si>
  <si>
    <t>-8.231972, 43.266167</t>
  </si>
  <si>
    <t>15319</t>
  </si>
  <si>
    <t>34416</t>
  </si>
  <si>
    <t>0183008002</t>
  </si>
  <si>
    <t>E.S. EXPLOTACION CARBURANTES CANIDO</t>
  </si>
  <si>
    <t>PUEBLA DE BROLLON</t>
  </si>
  <si>
    <t>CR N-120, 511</t>
  </si>
  <si>
    <t>-7.397833, 42.527806</t>
  </si>
  <si>
    <t>27330</t>
  </si>
  <si>
    <t>0183011113</t>
  </si>
  <si>
    <t>E.S. S. PRUDENCIO S.L.</t>
  </si>
  <si>
    <t>CL CTRA. DE JAEN, 79</t>
  </si>
  <si>
    <t>-1.883694, 38.988111</t>
  </si>
  <si>
    <t>96645</t>
  </si>
  <si>
    <t>0183110774</t>
  </si>
  <si>
    <t>AREA SERVICIO LOS NOGALES, S.L.</t>
  </si>
  <si>
    <t>PEDROSA DEL REY</t>
  </si>
  <si>
    <t>CR VP-6701  VILLAESTER- PEDROSA DEL</t>
  </si>
  <si>
    <t>-5.213694, 41.51825</t>
  </si>
  <si>
    <t>47112</t>
  </si>
  <si>
    <t>Restaurante, Cafetería/Bar, Parking turismos, Parking camiones, Box presión, Duchas, Aspiradores, Waylet pago en caja, Punto recarga eléctrico Repsol</t>
  </si>
  <si>
    <t>07106</t>
  </si>
  <si>
    <t>0183056696</t>
  </si>
  <si>
    <t>ES GESTION DE ESTACIONES DE SERVICI</t>
  </si>
  <si>
    <t>MONTIJO</t>
  </si>
  <si>
    <t>CL AVENIDA COLON, S.N.</t>
  </si>
  <si>
    <t>-6.620167, 38.903083</t>
  </si>
  <si>
    <t>06480</t>
  </si>
  <si>
    <t>EFITEC 95 N - España, Efitec 95 Premium, DIESEL E+ NEO - España, DIESEL NEXA 100% RENOVABLE - Esp, Propano 11 Kg, Butano 12 Kg (NEL)</t>
  </si>
  <si>
    <t>Cafetería/Bar, Lavado cepillos, Parking turismos, Aspiradores, Solred cheque lavado, Waylet pago en caja, Punto recarga eléctrico Repsol, Recarga eléctrica</t>
  </si>
  <si>
    <t>05474</t>
  </si>
  <si>
    <t>0183001478</t>
  </si>
  <si>
    <t>E.S. SAN EUSTAQUIO, S.L.</t>
  </si>
  <si>
    <t>SANLUCAR LA MAYOR</t>
  </si>
  <si>
    <t>CR N-431, 18,7</t>
  </si>
  <si>
    <t>-6.197472, 37.386639</t>
  </si>
  <si>
    <t>41800</t>
  </si>
  <si>
    <t>33565</t>
  </si>
  <si>
    <t>0183009901</t>
  </si>
  <si>
    <t>ES QUINTANAR I</t>
  </si>
  <si>
    <t>QUINTANAR DE LA ORDEN</t>
  </si>
  <si>
    <t>CR N-301, PK.119</t>
  </si>
  <si>
    <t>-3.049778, 39.600194</t>
  </si>
  <si>
    <t>45800</t>
  </si>
  <si>
    <t>96781</t>
  </si>
  <si>
    <t>0183115245</t>
  </si>
  <si>
    <t>E.S. CARRERA CUESTA,S.L.</t>
  </si>
  <si>
    <t>REINOSA</t>
  </si>
  <si>
    <t>CL AVDA CANTABRIA ,73-75</t>
  </si>
  <si>
    <t>-4.131667, 43.003861</t>
  </si>
  <si>
    <t>39200</t>
  </si>
  <si>
    <t>L-S: 07:00-22:30</t>
  </si>
  <si>
    <t>31108</t>
  </si>
  <si>
    <t>0183053677</t>
  </si>
  <si>
    <t>INCA</t>
  </si>
  <si>
    <t>CL GENERAL LUQUE, SN</t>
  </si>
  <si>
    <t>2.901972, 39.711556</t>
  </si>
  <si>
    <t>05660</t>
  </si>
  <si>
    <t>0183055870</t>
  </si>
  <si>
    <t>E.S. JACINTO MANUEL MIGUEL SANTANDE</t>
  </si>
  <si>
    <t>MEDINACELI</t>
  </si>
  <si>
    <t>CR N-2, 150</t>
  </si>
  <si>
    <t>-2.421167, 41.168972</t>
  </si>
  <si>
    <t>42240</t>
  </si>
  <si>
    <t>Restaurante, Cafetería/Bar, Lavado cepillos, Parking turismos, Parking camiones, Duchas, Aspiradores, Waylet pago en caja, Punto recarga eléctrico Repsol</t>
  </si>
  <si>
    <t>33294</t>
  </si>
  <si>
    <t>0183011956</t>
  </si>
  <si>
    <t>E.S. ATLANTIC ROMERO GESTION SL</t>
  </si>
  <si>
    <t>CL AVENIDA ANDALUCIA, S.N.</t>
  </si>
  <si>
    <t>-3.637917, 37.198278</t>
  </si>
  <si>
    <t>Cafetería/Bar, Lavado cepillos, Waylet pago en surtidor, Waylet pago en caja, Punto recarga eléctrico Repsol, Recarga eléctrica</t>
  </si>
  <si>
    <t>03461</t>
  </si>
  <si>
    <t>0183055383</t>
  </si>
  <si>
    <t>E.S. CARAMANZA MARKETING Y MEDIO AM</t>
  </si>
  <si>
    <t>MEDINA DE RIOSECO</t>
  </si>
  <si>
    <t>CR N-601, PK. 233,6</t>
  </si>
  <si>
    <t>-5.051389, 41.889167</t>
  </si>
  <si>
    <t>47800</t>
  </si>
  <si>
    <t>02682</t>
  </si>
  <si>
    <t>0183052406</t>
  </si>
  <si>
    <t>ES PALMA DEL RIO</t>
  </si>
  <si>
    <t>CL AVENIDA PAZ, S.N.</t>
  </si>
  <si>
    <t>-5.272694, 37.700056</t>
  </si>
  <si>
    <t>33077</t>
  </si>
  <si>
    <t>0183001866</t>
  </si>
  <si>
    <t>E.S. PADORNELO</t>
  </si>
  <si>
    <t>PADORNELO</t>
  </si>
  <si>
    <t>CR N-525, 103  I</t>
  </si>
  <si>
    <t>-6.838472, 42.033417</t>
  </si>
  <si>
    <t>49574</t>
  </si>
  <si>
    <t>15164</t>
  </si>
  <si>
    <t>0183054527</t>
  </si>
  <si>
    <t>E.S. RP CENTRE LLEIDA, S.L.U</t>
  </si>
  <si>
    <t>CL ACADEMIA, 30</t>
  </si>
  <si>
    <t>0.618139, 41.611111</t>
  </si>
  <si>
    <t>25002</t>
  </si>
  <si>
    <t>Cafetería/Bar, Lavado cepillos, Waylet pago en caja, Adblue Envasado</t>
  </si>
  <si>
    <t>11549</t>
  </si>
  <si>
    <t>0183124825</t>
  </si>
  <si>
    <t>ES PINAR DE HIERRO</t>
  </si>
  <si>
    <t>N-340 KM 11,375</t>
  </si>
  <si>
    <t>-6.11925, 36.388583</t>
  </si>
  <si>
    <t>EFITEC 95 N - España, DIESEL E+ NEO - España, DIESEL E+10 NEO - España, Butano 6 Kg (K6), Propano 11 Kg, BLUE+GRANEL - España, Butano 12 Kg (NEL)</t>
  </si>
  <si>
    <t>03619</t>
  </si>
  <si>
    <t>0183051515</t>
  </si>
  <si>
    <t>E.S. DISCARPE, S.L.</t>
  </si>
  <si>
    <t>PEÑAFIEL</t>
  </si>
  <si>
    <t>CR N-122, 307</t>
  </si>
  <si>
    <t>-4.114806, 41.602528</t>
  </si>
  <si>
    <t>47300</t>
  </si>
  <si>
    <t>33950</t>
  </si>
  <si>
    <t>0183004928</t>
  </si>
  <si>
    <t>E.S. MARIA CARMEN DOMENECH MARTINEZ</t>
  </si>
  <si>
    <t>CR C-148  (A), 5,3</t>
  </si>
  <si>
    <t>0.794611, 41.786</t>
  </si>
  <si>
    <t>L-V: 06:00-22:00; S-D: 07:00-21:00</t>
  </si>
  <si>
    <t>31359</t>
  </si>
  <si>
    <t>0183105022</t>
  </si>
  <si>
    <t>ES ALER MULTIENERGÍA, S.L</t>
  </si>
  <si>
    <t>CR M-607 28</t>
  </si>
  <si>
    <t>-3.731972, 40.638889</t>
  </si>
  <si>
    <t>31193</t>
  </si>
  <si>
    <t>0183053115</t>
  </si>
  <si>
    <t>E.S. LOS MARTINEZ,S.L.</t>
  </si>
  <si>
    <t>ALBATERA</t>
  </si>
  <si>
    <t>CR N-340, 696,7</t>
  </si>
  <si>
    <t>-0.848722, 38.199417</t>
  </si>
  <si>
    <t>03340</t>
  </si>
  <si>
    <t>Parking turismos, Parking camiones, Solred cheque lavado, Waylet pago en caja</t>
  </si>
  <si>
    <t>05465</t>
  </si>
  <si>
    <t>0183003730</t>
  </si>
  <si>
    <t>ES DAVIDIGA, S.L.</t>
  </si>
  <si>
    <t>MONTEHERMOSO</t>
  </si>
  <si>
    <t>CR C-204, 27,3</t>
  </si>
  <si>
    <t>-6.353056, 40.086944</t>
  </si>
  <si>
    <t>10810</t>
  </si>
  <si>
    <t>97157</t>
  </si>
  <si>
    <t>0183134592</t>
  </si>
  <si>
    <t>Ripoll Benimaclet</t>
  </si>
  <si>
    <t>CARRER D´EMILI BARÓ Nº 85</t>
  </si>
  <si>
    <t>-0.357444, 39.49375</t>
  </si>
  <si>
    <t>12564</t>
  </si>
  <si>
    <t>0183062017</t>
  </si>
  <si>
    <t>ES REYSAN SL</t>
  </si>
  <si>
    <t>CR A-92, 62,2  D</t>
  </si>
  <si>
    <t>-5.323028, 37.228972</t>
  </si>
  <si>
    <t>96276</t>
  </si>
  <si>
    <t>0183103357</t>
  </si>
  <si>
    <t>ES XELARRIZ S.L.</t>
  </si>
  <si>
    <t>SAN SEBASTIAN DE LOS</t>
  </si>
  <si>
    <t>CL AVDA. EINSTEIN, 5</t>
  </si>
  <si>
    <t>-3.610167, 40.544417</t>
  </si>
  <si>
    <t>Cafetería/Bar, Lavado cepillos, Box presión, Aspiradores, Solred cheque lavado, Waylet pago en surtidor, Waylet pago en caja, Adblue Envasado, Punto recarga eléctrico Repsol</t>
  </si>
  <si>
    <t>10863</t>
  </si>
  <si>
    <t>0183012772</t>
  </si>
  <si>
    <t>E.S. AGRIC. MONTSANT</t>
  </si>
  <si>
    <t>CORNUDELLA DE MONTSANT</t>
  </si>
  <si>
    <t>CR C-242, 45,4</t>
  </si>
  <si>
    <t>0.904917, 41.263889</t>
  </si>
  <si>
    <t>43360</t>
  </si>
  <si>
    <t>L-D: 8:00-21:00</t>
  </si>
  <si>
    <t>Parking turismos, Parking camiones, Zona de descanso, Box presión, Aspiradores, Waylet pago en caja, Recarga eléctrica</t>
  </si>
  <si>
    <t>33926</t>
  </si>
  <si>
    <t>0183005834</t>
  </si>
  <si>
    <t>GLEM SL.CARRT YECLA</t>
  </si>
  <si>
    <t>VILLENA-EL JARDIN</t>
  </si>
  <si>
    <t>CL CARRETERA DE YECLA, 6</t>
  </si>
  <si>
    <t>-0.870667, 38.635889</t>
  </si>
  <si>
    <t>31528</t>
  </si>
  <si>
    <t>0183008325</t>
  </si>
  <si>
    <t>E.S. LA FUENTE,S.L.</t>
  </si>
  <si>
    <t>CL AVENIDA ARIAS DE VELASCO, 2</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</si>
  <si>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</si>
  <si>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</si>
  <si>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</si>
  <si>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13430</t>
  </si>
  <si>
    <t>0183075977</t>
  </si>
  <si>
    <t>ESTEVE MIRET,S.L.</t>
  </si>
  <si>
    <t>ALFARRAS</t>
  </si>
  <si>
    <t>CL AVENIDA LERIDA, 75</t>
  </si>
  <si>
    <t>0.568806, 41.824</t>
  </si>
  <si>
    <t>25120</t>
  </si>
  <si>
    <t>15718</t>
  </si>
  <si>
    <t>0183062702</t>
  </si>
  <si>
    <t>E.S. DEL REY GZLEZ,SL</t>
  </si>
  <si>
    <t>ALATOZ</t>
  </si>
  <si>
    <t>CR CM-332, 46,4</t>
  </si>
  <si>
    <t>-1.346083, 39.100389</t>
  </si>
  <si>
    <t>02152</t>
  </si>
  <si>
    <t>15633</t>
  </si>
  <si>
    <t>0008375693</t>
  </si>
  <si>
    <t>E.S.CAN JARDI, S.A.</t>
  </si>
  <si>
    <t>CR C-1413, 7,7</t>
  </si>
  <si>
    <t>2.017611, 41.464389</t>
  </si>
  <si>
    <t>Cafetería/Bar, Lavado cepillos, Parking turismos, Aspiradores, Solred cheque lavado, Waylet pago en caja, Adblue Envasado, Punto recarga eléctrico Repsol</t>
  </si>
  <si>
    <t>03632</t>
  </si>
  <si>
    <t>0183057173</t>
  </si>
  <si>
    <t>ES GASOTO SALDAÑA</t>
  </si>
  <si>
    <t>SALDAÑA</t>
  </si>
  <si>
    <t>CR C-615, 62,5</t>
  </si>
  <si>
    <t>-4.736056, 42.518417</t>
  </si>
  <si>
    <t>15701</t>
  </si>
  <si>
    <t>0183008093</t>
  </si>
  <si>
    <t>ES CORVERA EL CISNE</t>
  </si>
  <si>
    <t>CORVERA</t>
  </si>
  <si>
    <t>CR MU-601, 6.9</t>
  </si>
  <si>
    <t>-1.131667, 37.779028</t>
  </si>
  <si>
    <t>30153</t>
  </si>
  <si>
    <t>13218</t>
  </si>
  <si>
    <t>0183062033</t>
  </si>
  <si>
    <t>E.S. GUREAK ZERBITZUGUNEAK TOLOSA</t>
  </si>
  <si>
    <t>TOLOSA - GUREGAS</t>
  </si>
  <si>
    <t>CR N-1, 437,2</t>
  </si>
  <si>
    <t>-2.068778, 43.152861</t>
  </si>
  <si>
    <t>Cafetería/Bar, Parking turismos, Parking camiones, Box presión, Aspiradores, Waylet pago en caja, Punto recarga eléctrico Repsol</t>
  </si>
  <si>
    <t>07628</t>
  </si>
  <si>
    <t>0183055672</t>
  </si>
  <si>
    <t>E.S. CALIFORNIA,S.L.</t>
  </si>
  <si>
    <t>AIGUAVIVA</t>
  </si>
  <si>
    <t>CR N-2, 708</t>
  </si>
  <si>
    <t>2.791306, 41.917028</t>
  </si>
  <si>
    <t>17181</t>
  </si>
  <si>
    <t>Parking turismos, Parking camiones, Duchas, Waylet pago en caja</t>
  </si>
  <si>
    <t>01892</t>
  </si>
  <si>
    <t>0183058106</t>
  </si>
  <si>
    <t>E.S. RAMON VIÑA CANEDO</t>
  </si>
  <si>
    <t>PORTOMOURO</t>
  </si>
  <si>
    <t>CR C-545, 15  I</t>
  </si>
  <si>
    <t>-8.646944, 42.960222</t>
  </si>
  <si>
    <t>96914</t>
  </si>
  <si>
    <t>0183121938</t>
  </si>
  <si>
    <t>ES. LO BOLARIN</t>
  </si>
  <si>
    <t>POL. IND. LO BOLARIN (P-H16)</t>
  </si>
  <si>
    <t>-0.900667, 37.628111</t>
  </si>
  <si>
    <t>13030</t>
  </si>
  <si>
    <t>0183109008</t>
  </si>
  <si>
    <t>ES BIOMOVIL CARBURANTES</t>
  </si>
  <si>
    <t>CR SE-180, 10,6</t>
  </si>
  <si>
    <t>-6.054917, 37.535139</t>
  </si>
  <si>
    <t>01219</t>
  </si>
  <si>
    <t>0183052463</t>
  </si>
  <si>
    <t>E.S. GOMEZ VILLALBA S.L.</t>
  </si>
  <si>
    <t>CASTIELFABIB</t>
  </si>
  <si>
    <t>CR N-330, 272</t>
  </si>
  <si>
    <t>-1.249028, 40.127028</t>
  </si>
  <si>
    <t>46141</t>
  </si>
  <si>
    <t>33721</t>
  </si>
  <si>
    <t>0183003938</t>
  </si>
  <si>
    <t>CR N-620 P.K. 244 BJ</t>
  </si>
  <si>
    <t>-5.727361, 40.951056</t>
  </si>
  <si>
    <t>L-V: 07:30-21:30; S-D: 08:00-15:00</t>
  </si>
  <si>
    <t>Restaurante, Cafetería/Bar, Parking turismos, Parking camiones, Zona de descanso, Duchas, Aspiradores, Waylet pago en caja, Adblue Envasado</t>
  </si>
  <si>
    <t>05372</t>
  </si>
  <si>
    <t>0183001080</t>
  </si>
  <si>
    <t>E.S. VILLABONA SA</t>
  </si>
  <si>
    <t>CR N-1, 440,9</t>
  </si>
  <si>
    <t>-2.055778, 43.178611</t>
  </si>
  <si>
    <t>31161</t>
  </si>
  <si>
    <t>0152000170</t>
  </si>
  <si>
    <t>ES  SAN MIGUEL SL</t>
  </si>
  <si>
    <t>CL AVENIDA DE LA LIBERTAD, 76</t>
  </si>
  <si>
    <t>-3.363806, 38.016278</t>
  </si>
  <si>
    <t>96558</t>
  </si>
  <si>
    <t>0183107515</t>
  </si>
  <si>
    <t>ES MONTE RUZI, S.L.</t>
  </si>
  <si>
    <t>GATA DE GORGOS</t>
  </si>
  <si>
    <t>CR N-332, PK.187,5</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</si>
  <si>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</si>
  <si>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</si>
  <si>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</si>
  <si>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</si>
  <si>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04535</t>
  </si>
  <si>
    <t>0202054144</t>
  </si>
  <si>
    <t>ES GRUPO EMPRESARIAL PETROGO SL</t>
  </si>
  <si>
    <t>CR N-301, 384</t>
  </si>
  <si>
    <t>-1.209278, 38.046611</t>
  </si>
  <si>
    <t>33507</t>
  </si>
  <si>
    <t>0183063353</t>
  </si>
  <si>
    <t>E.S. DANIMA S.L.</t>
  </si>
  <si>
    <t>ALMODOVAR DEL CAMPO</t>
  </si>
  <si>
    <t>CR PUERTOLLANO, 38</t>
  </si>
  <si>
    <t>-4.168778, 38.712</t>
  </si>
  <si>
    <t>13580</t>
  </si>
  <si>
    <t>Cafetería/Bar, Lavado cepillos, Lavado camiones, Parking turismos, Box presión, Aspiradores, Solred cheque lavado, Waylet pago en surtidor, Waylet pago en caja</t>
  </si>
  <si>
    <t>15098</t>
  </si>
  <si>
    <t>0183063106</t>
  </si>
  <si>
    <t>E.S. NUESTRA SEÑORA DEL PRADO</t>
  </si>
  <si>
    <t>CR CR-722, 11,7</t>
  </si>
  <si>
    <t>-4.285806, 39.217889</t>
  </si>
  <si>
    <t>13114</t>
  </si>
  <si>
    <t>11374</t>
  </si>
  <si>
    <t>0183062215</t>
  </si>
  <si>
    <t>E.S. REP. ARGENTINA</t>
  </si>
  <si>
    <t>CL REPUBLICA ARGENTINA, 8</t>
  </si>
  <si>
    <t>-8.717917, 42.238472</t>
  </si>
  <si>
    <t>36201</t>
  </si>
  <si>
    <t>L-S: 07:30-22:30; D: 07:30-15:00</t>
  </si>
  <si>
    <t>Lavado cepillos, Parking turismos, Aspiradores, Solred cheque lavado, Waylet pago en caja, Adblue Envasado</t>
  </si>
  <si>
    <t>97048</t>
  </si>
  <si>
    <t>0183125590</t>
  </si>
  <si>
    <t>E.S. PETROPRIN SL</t>
  </si>
  <si>
    <t>LA FERRERA-SIERO</t>
  </si>
  <si>
    <t>AU. AS-I, PK 19 SALIDA NOREÑA</t>
  </si>
  <si>
    <t>-5.686722, 43.395694</t>
  </si>
  <si>
    <t>Cafetería/Bar, Lavado cepillos, Parking turismos, Parking camiones, Zona de descanso, Box presión, Aspiradores, Solred cheque lavado, Waylet pago en caja</t>
  </si>
  <si>
    <t>04379</t>
  </si>
  <si>
    <t>0183075860</t>
  </si>
  <si>
    <t>ES MARTINEZ SANCHEZ GASOLEOS SL</t>
  </si>
  <si>
    <t>CL SAN GERMAN, 14 B</t>
  </si>
  <si>
    <t>-3.693917, 40.456583</t>
  </si>
  <si>
    <t>28020</t>
  </si>
  <si>
    <t>L-V: 07:00-21:30; S: 08:00-15:30</t>
  </si>
  <si>
    <t>07077</t>
  </si>
  <si>
    <t>0183136381</t>
  </si>
  <si>
    <t>ES PETRONALCA NOAIN PUEBLO</t>
  </si>
  <si>
    <t>CALLE REAL NUMERO 66</t>
  </si>
  <si>
    <t>-1.633722, 42.762889</t>
  </si>
  <si>
    <t>06097</t>
  </si>
  <si>
    <t>0183060979</t>
  </si>
  <si>
    <t>U.S. TRICEHO SLU</t>
  </si>
  <si>
    <t>PARAMO DEL SIL</t>
  </si>
  <si>
    <t>CR CL-631, 36,8</t>
  </si>
  <si>
    <t>-6.524778, 42.807139</t>
  </si>
  <si>
    <t>24470</t>
  </si>
  <si>
    <t>15211</t>
  </si>
  <si>
    <t>0183008259</t>
  </si>
  <si>
    <t>E.S.  ROGEN S.L.</t>
  </si>
  <si>
    <t>COIN</t>
  </si>
  <si>
    <t>CR C-344, 63</t>
  </si>
  <si>
    <t>-4.753139, 36.663139</t>
  </si>
  <si>
    <t>29100</t>
  </si>
  <si>
    <t>00058</t>
  </si>
  <si>
    <t>0183105329</t>
  </si>
  <si>
    <t>US SAN FRANCISCO</t>
  </si>
  <si>
    <t>CL PLAZA SAN FRANCISCO S.N.</t>
  </si>
  <si>
    <t>-0.893778, 41.640833</t>
  </si>
  <si>
    <t>50006</t>
  </si>
  <si>
    <t>L-V: 07:00-21:00; S: 08:00-14:30</t>
  </si>
  <si>
    <t>33335</t>
  </si>
  <si>
    <t>0063212401</t>
  </si>
  <si>
    <t>ES ENERGY FINANCE CONSULTING SL</t>
  </si>
  <si>
    <t>RIPOLL</t>
  </si>
  <si>
    <t>CL PASEO RAGULL, 12-14</t>
  </si>
  <si>
    <t>2.19075, 42.197083</t>
  </si>
  <si>
    <t>17500</t>
  </si>
  <si>
    <t>03343</t>
  </si>
  <si>
    <t>0183057041</t>
  </si>
  <si>
    <t>ES DIAZ LABELLA S.L.</t>
  </si>
  <si>
    <t>MORALEJA, LA</t>
  </si>
  <si>
    <t>CL PLAZA MORALEJA, S.N.</t>
  </si>
  <si>
    <t>-3.651083, 40.515639</t>
  </si>
  <si>
    <t>28109</t>
  </si>
  <si>
    <t>L-V: 07:00-22:00; S: 07:00-15:00 y 17:00-22:00; D: 09:00-15:00</t>
  </si>
  <si>
    <t>96630</t>
  </si>
  <si>
    <t>0183109701</t>
  </si>
  <si>
    <t>E.S.JORBA, S.L.</t>
  </si>
  <si>
    <t>JORBA</t>
  </si>
  <si>
    <t>CR A-2, 543,1  DE</t>
  </si>
  <si>
    <t>1.509722, 41.618806</t>
  </si>
  <si>
    <t>08719</t>
  </si>
  <si>
    <t>03891</t>
  </si>
  <si>
    <t>0183001064</t>
  </si>
  <si>
    <t>E.S. ZARAUTZ S.A.</t>
  </si>
  <si>
    <t>CR N-634, 17,6</t>
  </si>
  <si>
    <t>-2.158833, 43.284944</t>
  </si>
  <si>
    <t>34541</t>
  </si>
  <si>
    <t>0183013465</t>
  </si>
  <si>
    <t>E.S. GABRIEL TOMAS ANTONAYA</t>
  </si>
  <si>
    <t>IBROS</t>
  </si>
  <si>
    <t>CR N-322, 128</t>
  </si>
  <si>
    <t>-3.578167, 38.071333</t>
  </si>
  <si>
    <t>23450</t>
  </si>
  <si>
    <t>05952</t>
  </si>
  <si>
    <t>0183054808</t>
  </si>
  <si>
    <t>E.S. HERMANOS LOS ARCOS ROBLES S.L.</t>
  </si>
  <si>
    <t>VIANA</t>
  </si>
  <si>
    <t>CR N-111, 80,4</t>
  </si>
  <si>
    <t>-2.374028, 42.512583</t>
  </si>
  <si>
    <t>31230</t>
  </si>
  <si>
    <t>13011</t>
  </si>
  <si>
    <t>0183060664</t>
  </si>
  <si>
    <t>E.S. CAN RITA (FORMENTERA)</t>
  </si>
  <si>
    <t>SAN FRANCISCO</t>
  </si>
  <si>
    <t>CR PM-820, 4,6</t>
  </si>
  <si>
    <t>1.445417, 38.708444</t>
  </si>
  <si>
    <t>07860</t>
  </si>
  <si>
    <t>34492</t>
  </si>
  <si>
    <t>0183004530</t>
  </si>
  <si>
    <t>ES CRIVERGI  VALLS</t>
  </si>
  <si>
    <t>CR N-240, PK.20</t>
  </si>
  <si>
    <t>1.249472, 41.2885</t>
  </si>
  <si>
    <t>07135</t>
  </si>
  <si>
    <t>0063227029</t>
  </si>
  <si>
    <t>VITICO S.L.</t>
  </si>
  <si>
    <t>NAVALVILLAR DE PELA</t>
  </si>
  <si>
    <t>CR N-430, 138</t>
  </si>
  <si>
    <t>-5.504611, 39.110361</t>
  </si>
  <si>
    <t>06760</t>
  </si>
  <si>
    <t>11705</t>
  </si>
  <si>
    <t>0183053388</t>
  </si>
  <si>
    <t>E.S. GETXOGASO, S.A.</t>
  </si>
  <si>
    <t>GETXO</t>
  </si>
  <si>
    <t>CR BI-634, 18</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</si>
  <si>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</si>
  <si>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</si>
  <si>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</si>
  <si>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</si>
  <si>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</si>
  <si>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33145</t>
  </si>
  <si>
    <t>0183002112</t>
  </si>
  <si>
    <t>E.S.TRIVES, S.L.</t>
  </si>
  <si>
    <t>PUEBLA DE TRIVES</t>
  </si>
  <si>
    <t>CR OR-536 OURENSE - RUA, S.N.  I</t>
  </si>
  <si>
    <t>-7.260361, 42.340417</t>
  </si>
  <si>
    <t>32780</t>
  </si>
  <si>
    <t>L-V: 06:30-23:00; S-D: 08:00-23:00</t>
  </si>
  <si>
    <t>33836</t>
  </si>
  <si>
    <t>0183107432</t>
  </si>
  <si>
    <t>ES DANIEL IBAÑEZ DE LA PEÑA SLU</t>
  </si>
  <si>
    <t>BERNINCHES</t>
  </si>
  <si>
    <t>CR N-320, 239,5</t>
  </si>
  <si>
    <t>-2.857028, 40.551639</t>
  </si>
  <si>
    <t>19133</t>
  </si>
  <si>
    <t>Taller neumáticos, Parking turismos, Parking camiones, Box presión, Aspiradores, Waylet pago en surtidor, Waylet pago en caja</t>
  </si>
  <si>
    <t>96203</t>
  </si>
  <si>
    <t>0183076967</t>
  </si>
  <si>
    <t>LARRAURI</t>
  </si>
  <si>
    <t>CR BI-631, 20</t>
  </si>
  <si>
    <t>-2.805417, 43.370667</t>
  </si>
  <si>
    <t>48120</t>
  </si>
  <si>
    <t>Lavado cepillos, Parking turismos, Box presión, Aspiradores, Solred cheque lavado, Waylet pago en caja, Adblue Envasado, Lavados Klin</t>
  </si>
  <si>
    <t>33794</t>
  </si>
  <si>
    <t>0183008283</t>
  </si>
  <si>
    <t>E.S. ARISTOIL GLOBAL SL</t>
  </si>
  <si>
    <t>MATALLANA DE VALMADR</t>
  </si>
  <si>
    <t>CR N-601, 291,9</t>
  </si>
  <si>
    <t>-5.329472, 42.360083</t>
  </si>
  <si>
    <t>24290</t>
  </si>
  <si>
    <t>Parking turismos, Waylet pago en surtidor, Waylet pago en caja, Punto recarga eléctrico Repsol, Recarga eléctrica</t>
  </si>
  <si>
    <t>07435</t>
  </si>
  <si>
    <t>0183012384</t>
  </si>
  <si>
    <t>E.S.MURIEDAS ATEDENA COMUNICACION,</t>
  </si>
  <si>
    <t>MURIEDAS</t>
  </si>
  <si>
    <t>AVENIDA DE BURGOS Nº 56</t>
  </si>
  <si>
    <t>-3.858806, 43.419778</t>
  </si>
  <si>
    <t>Taller mecánico, Lavado cepillos, Parking turismos, Parking camiones, Box presión, Aspiradores, Waylet pago en caja</t>
  </si>
  <si>
    <t>94503</t>
  </si>
  <si>
    <t>0183119098</t>
  </si>
  <si>
    <t>BADIA DEL VALLES</t>
  </si>
  <si>
    <t>CL TIBIDABO S/N</t>
  </si>
  <si>
    <t>2.11225, 41.516361</t>
  </si>
  <si>
    <t>08214</t>
  </si>
  <si>
    <t>15982</t>
  </si>
  <si>
    <t>0183008267</t>
  </si>
  <si>
    <t>E.S.  AYALA S.L.</t>
  </si>
  <si>
    <t>CL AYALA, SN</t>
  </si>
  <si>
    <t>-4.433444, 36.708056</t>
  </si>
  <si>
    <t>29002</t>
  </si>
  <si>
    <t>Lavandería, Waylet pago en caja, Adblue Envasado</t>
  </si>
  <si>
    <t>96842</t>
  </si>
  <si>
    <t>0183117258</t>
  </si>
  <si>
    <t>E.S. AZALEA DEL REY SL</t>
  </si>
  <si>
    <t>CR A-42  P.K. 63,30 D</t>
  </si>
  <si>
    <t>-4.008778, 39.913778</t>
  </si>
  <si>
    <t>0183011923</t>
  </si>
  <si>
    <t>ES PROINPI  MACOTERA</t>
  </si>
  <si>
    <t>MACOTERA</t>
  </si>
  <si>
    <t>CR C-610, 47  D</t>
  </si>
  <si>
    <t>-5.279389, 40.830472</t>
  </si>
  <si>
    <t>37310</t>
  </si>
  <si>
    <t>L-V: 08:30-20:30; S-D: 09:00-15:00</t>
  </si>
  <si>
    <t>03159</t>
  </si>
  <si>
    <t>0183007095</t>
  </si>
  <si>
    <t>ES CARBUGEST SANTA EULALIA</t>
  </si>
  <si>
    <t>CL SANTA EULALIA, 27</t>
  </si>
  <si>
    <t>2.130083, 41.367639</t>
  </si>
  <si>
    <t>92837</t>
  </si>
  <si>
    <t>0183122977</t>
  </si>
  <si>
    <t>ES SANT JOAN DESPI COLOVAR</t>
  </si>
  <si>
    <t>SANT JOAN DESPI</t>
  </si>
  <si>
    <t>AVDA BARCELONA, 28</t>
  </si>
  <si>
    <t>2.065917, 41.367639</t>
  </si>
  <si>
    <t>08970</t>
  </si>
  <si>
    <t>Cafetería/Bar, Lavado cepillos, Lavado camiones, Box presión, Aspiradores, Lavandería, Waylet pago en caja</t>
  </si>
  <si>
    <t>96568</t>
  </si>
  <si>
    <t>0183107614</t>
  </si>
  <si>
    <t>ES LLODRA SL</t>
  </si>
  <si>
    <t>SANTA MARIA DEL CAMI</t>
  </si>
  <si>
    <t>CR C-713, 13,1</t>
  </si>
  <si>
    <t>2.757056, 39.64825</t>
  </si>
  <si>
    <t>07320</t>
  </si>
  <si>
    <t>EFITEC 95 N - España, EFITEC 98 N - España, DIESEL E+ NEO - España, Butano 6 Kg (K6), Propano 11 Kg, Butano 12 Kg (NEL)</t>
  </si>
  <si>
    <t>31381</t>
  </si>
  <si>
    <t>0183062082</t>
  </si>
  <si>
    <t>ES MARTAL OIL, SL</t>
  </si>
  <si>
    <t>CL AVENIDA JIJONA, 88</t>
  </si>
  <si>
    <t>-0.483944, 38.358556</t>
  </si>
  <si>
    <t>03012</t>
  </si>
  <si>
    <t>34177</t>
  </si>
  <si>
    <t>0183017490</t>
  </si>
  <si>
    <t>ES TOCA TEKA K5, SA</t>
  </si>
  <si>
    <t>SAN VICENÇ DE CASTEL</t>
  </si>
  <si>
    <t>CR C-55, PK. 21,7</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</si>
  <si>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</si>
  <si>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</si>
  <si>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</si>
  <si>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</si>
  <si>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34428</t>
  </si>
  <si>
    <t>0183018803</t>
  </si>
  <si>
    <t>E.S. MARSAL</t>
  </si>
  <si>
    <t>CL MURALLA SAN FRANCESC, 54</t>
  </si>
  <si>
    <t>1.820306, 41.721778</t>
  </si>
  <si>
    <t>96951</t>
  </si>
  <si>
    <t>0183122191</t>
  </si>
  <si>
    <t>ES GASOCENTRO MARANCHON SL</t>
  </si>
  <si>
    <t>MOLINA DE ARAGON</t>
  </si>
  <si>
    <t>CTRA. N-211 PK. 60,5 P.I. Los Tobar</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</si>
  <si>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</si>
  <si>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</si>
  <si>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</si>
  <si>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</si>
  <si>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96587</t>
  </si>
  <si>
    <t>0183107929</t>
  </si>
  <si>
    <t>ES ENERGIA DEL BAIX. CUBELLES</t>
  </si>
  <si>
    <t>Rest. Autoservicio, Cafetería/Bar, Waylet pago en surtidor, Waylet pago en caja</t>
  </si>
  <si>
    <t>15265</t>
  </si>
  <si>
    <t>0183078732</t>
  </si>
  <si>
    <t>E.S. BAZARRA S.L.</t>
  </si>
  <si>
    <t>CEE</t>
  </si>
  <si>
    <t>LUGAR DE BAZARRA, 64</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</si>
  <si>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</si>
  <si>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</si>
  <si>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</si>
  <si>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</si>
  <si>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15777</t>
  </si>
  <si>
    <t>0183005842</t>
  </si>
  <si>
    <t>ES BLANLEI CAMPELLO</t>
  </si>
  <si>
    <t>EL CAMPELLO</t>
  </si>
  <si>
    <t>CR N-332 118,3</t>
  </si>
  <si>
    <t>-0.406444, 38.424639</t>
  </si>
  <si>
    <t>EFITEC 95 N - España, DIESEL E+ NEO - España, DIESEL NEXA 100% RENOVABLE - Esp, Propano 11 Kg</t>
  </si>
  <si>
    <t>15823</t>
  </si>
  <si>
    <t>0183012376</t>
  </si>
  <si>
    <t>PETROLEVANTE S.L.</t>
  </si>
  <si>
    <t>BENEJUZAR</t>
  </si>
  <si>
    <t>CR JACARILLA, S.N.</t>
  </si>
  <si>
    <t>-0.843056, 38.076944</t>
  </si>
  <si>
    <t>03390</t>
  </si>
  <si>
    <t>00915</t>
  </si>
  <si>
    <t>0183076306</t>
  </si>
  <si>
    <t>U.S. GASOLEOS HUERTA JR SC</t>
  </si>
  <si>
    <t>HUERTA DEL REY</t>
  </si>
  <si>
    <t>CR C-111, 40,9</t>
  </si>
  <si>
    <t>-3.345889, 41.835056</t>
  </si>
  <si>
    <t>09430</t>
  </si>
  <si>
    <t>L-V: 08:30-20:30; S: 08:30-14:30 y 16:00-20:30; D: 10:00-14:30 y 16:00-20:30</t>
  </si>
  <si>
    <t>33240</t>
  </si>
  <si>
    <t>0183019413</t>
  </si>
  <si>
    <t>GESMAESA-RIAÑO</t>
  </si>
  <si>
    <t>RIAÑO-LANGREO</t>
  </si>
  <si>
    <t>CR AS-17, 37.400</t>
  </si>
  <si>
    <t>-5.7135, 43.327639</t>
  </si>
  <si>
    <t>33664</t>
  </si>
  <si>
    <t>0183012525</t>
  </si>
  <si>
    <t>ES COMBUSTIBLES GUTIERREZ</t>
  </si>
  <si>
    <t>YUNQUERA DE HENARES</t>
  </si>
  <si>
    <t>CR GU-130, 12,5 CALLE REAL 121</t>
  </si>
  <si>
    <t>-3.166861, 40.750139</t>
  </si>
  <si>
    <t>19210</t>
  </si>
  <si>
    <t>12567</t>
  </si>
  <si>
    <t>0183062173</t>
  </si>
  <si>
    <t>E.S. S. ISIDRO-PARADOR</t>
  </si>
  <si>
    <t>CR A-391, 3,8</t>
  </si>
  <si>
    <t>-2.601222, 36.798611</t>
  </si>
  <si>
    <t>33089</t>
  </si>
  <si>
    <t>0183002435</t>
  </si>
  <si>
    <t>E.S. BAYO LIROLA S.A.</t>
  </si>
  <si>
    <t>NIJAR</t>
  </si>
  <si>
    <t>CR N-340, 487</t>
  </si>
  <si>
    <t>-2.127806, 36.955639</t>
  </si>
  <si>
    <t>EFITEC 95 N - España, EFITEC 98 N - España, DIESEL E+ NEO - España, DIESEL NEXA 100% RENOVABLE - Esp, GO-B BONIF - España, Propano 11 Kg, Autogás, Butano 12 Kg (NEL)</t>
  </si>
  <si>
    <t>33380</t>
  </si>
  <si>
    <t>0183051705</t>
  </si>
  <si>
    <t>JOSE Mª BARRAGAN MERIDA</t>
  </si>
  <si>
    <t>BRAZATORTAS</t>
  </si>
  <si>
    <t>CR N-420, 141,9</t>
  </si>
  <si>
    <t>-4.298667, 38.66225</t>
  </si>
  <si>
    <t>13450</t>
  </si>
  <si>
    <t>Restaurante, Cafetería/Bar, Aspiradores, Waylet pago en surtidor, Waylet pago en caja, Punto recarga eléctrico Repsol</t>
  </si>
  <si>
    <t>05540</t>
  </si>
  <si>
    <t>0183007863</t>
  </si>
  <si>
    <t>E/S LA MILAGROSA DE TREBUJENA,S.L</t>
  </si>
  <si>
    <t>TREBUJENA</t>
  </si>
  <si>
    <t>AV SEVILLA, 45</t>
  </si>
  <si>
    <t>-6.171722, 36.871722</t>
  </si>
  <si>
    <t>11560</t>
  </si>
  <si>
    <t>93999</t>
  </si>
  <si>
    <t>0183120427</t>
  </si>
  <si>
    <t>ESTACIONES DE SERVICIO BERTÓLEZ S.L</t>
  </si>
  <si>
    <t>SAN CIPRIAN DE VIÑAS</t>
  </si>
  <si>
    <t>RUA PONTE SEVILLA, 18</t>
  </si>
  <si>
    <t>-7.865111, 42.313028</t>
  </si>
  <si>
    <t>32005</t>
  </si>
  <si>
    <t>Lavado cepillos, Parking turismos, Zona de descanso, Box presión, Aspiradores, Waylet pago en caja, Adblue Envasado, Punto recarga eléctrico Repsol</t>
  </si>
  <si>
    <t>15816</t>
  </si>
  <si>
    <t>0183015932</t>
  </si>
  <si>
    <t>E.S. PRIETO, C.B.</t>
  </si>
  <si>
    <t>HONDON DE LAS NIEVES</t>
  </si>
  <si>
    <t>CL AVENIDA VIRGEN DE LAS NIEVES, S.</t>
  </si>
  <si>
    <t>-0.849528, 38.310167</t>
  </si>
  <si>
    <t>03688</t>
  </si>
  <si>
    <t>33888</t>
  </si>
  <si>
    <t>0183010362</t>
  </si>
  <si>
    <t>E.S. JOSE MANUEL OSORIO PICAZO</t>
  </si>
  <si>
    <t>TARAZONA DE LA MANCH</t>
  </si>
  <si>
    <t>CL AVENIDA DE LA RODA, 1</t>
  </si>
  <si>
    <t>-1.911389, 39.25975</t>
  </si>
  <si>
    <t>02100</t>
  </si>
  <si>
    <t>Restaurante, Cafetería/Bar, Taller mecánico, Taller neumáticos, Parking turismos, Box presión, Aspiradores, Solred cheque lavado, Waylet pago en surtidor, Waylet pago en caja, Punto recarga eléctrico Repsol</t>
  </si>
  <si>
    <t>05565</t>
  </si>
  <si>
    <t>0183057876</t>
  </si>
  <si>
    <t>E.S.SE.SANCHEZ TRIGO</t>
  </si>
  <si>
    <t>SANTA CRUZ DE LA ZARZA</t>
  </si>
  <si>
    <t>CR N-400, 82,4</t>
  </si>
  <si>
    <t>-3.180194, 39.97575</t>
  </si>
  <si>
    <t>45370</t>
  </si>
  <si>
    <t>Taller neumáticos, Parking turismos, Parking camiones, Aspiradores, Waylet pago en caja, Adblue Envasado</t>
  </si>
  <si>
    <t>05643</t>
  </si>
  <si>
    <t>0183005057</t>
  </si>
  <si>
    <t>ES VILLABLANCO SANTOVEÑA, S.L</t>
  </si>
  <si>
    <t>TAMAMES</t>
  </si>
  <si>
    <t>CL FLORIDA, 7  I</t>
  </si>
  <si>
    <t>-6.113917, 40.659917</t>
  </si>
  <si>
    <t>37600</t>
  </si>
  <si>
    <t>05032</t>
  </si>
  <si>
    <t>0183013382</t>
  </si>
  <si>
    <t>MATIENZO Y OTROS,C.B</t>
  </si>
  <si>
    <t>CARRANZA</t>
  </si>
  <si>
    <t>CL AMBASAGUAS, 7</t>
  </si>
  <si>
    <t>-3.355694, 43.238139</t>
  </si>
  <si>
    <t>48891</t>
  </si>
  <si>
    <t>33138</t>
  </si>
  <si>
    <t>0183012889</t>
  </si>
  <si>
    <t>E.S. CARB.FABERO,S.L.</t>
  </si>
  <si>
    <t>FABERO</t>
  </si>
  <si>
    <t>CR C-371, 4,9</t>
  </si>
  <si>
    <t>-6.631611, 42.7625</t>
  </si>
  <si>
    <t>24420</t>
  </si>
  <si>
    <t>94848</t>
  </si>
  <si>
    <t>0183123934</t>
  </si>
  <si>
    <t>E.S. CATARROJA MARI SOUCASE</t>
  </si>
  <si>
    <t>CATARROJA</t>
  </si>
  <si>
    <t>AV. GENERALIDAD VALENCIANA Nº 20</t>
  </si>
  <si>
    <t>-0.407611, 39.410583</t>
  </si>
  <si>
    <t>46470</t>
  </si>
  <si>
    <t>Cafetería/Bar, Lavado cepillos, Box presión, Aspiradores, Lavandería, Waylet pago en caja, Punto recarga eléctrico Repsol, Recarga eléctrica</t>
  </si>
  <si>
    <t>94164</t>
  </si>
  <si>
    <t>0183130525</t>
  </si>
  <si>
    <t>E.S. GASOLINERA LA PRIMERA</t>
  </si>
  <si>
    <t>HIGUERAS DE VARGAS</t>
  </si>
  <si>
    <t>CTRA HIGUERA-ZAHINOS, KM 0,500</t>
  </si>
  <si>
    <t>-6.975, 38.438306</t>
  </si>
  <si>
    <t>06132</t>
  </si>
  <si>
    <t>L-S: 06:30-21:30; D: 07:30-21:00</t>
  </si>
  <si>
    <t>34277</t>
  </si>
  <si>
    <t>0063195630</t>
  </si>
  <si>
    <t>ES GASOTO LA ROBLA</t>
  </si>
  <si>
    <t>ROBLA, LA</t>
  </si>
  <si>
    <t>CR N-630, 121</t>
  </si>
  <si>
    <t>-5.628194, 42.792139</t>
  </si>
  <si>
    <t>24640</t>
  </si>
  <si>
    <t>Cafetería/Bar, Lavado cepillos, Lavado camiones, Parking turismos, Parking camiones, Box presión, Aspiradores, Solred cheque lavado, Waylet pago en surtidor, Waylet pago en caja, Adblue Envasado</t>
  </si>
  <si>
    <t>05742</t>
  </si>
  <si>
    <t>0183001940</t>
  </si>
  <si>
    <t>E.S.  MARCHENA,S.L.</t>
  </si>
  <si>
    <t>DURCAL</t>
  </si>
  <si>
    <t>CR N-323, 155</t>
  </si>
  <si>
    <t>-3.586889, 37.009083</t>
  </si>
  <si>
    <t>18650</t>
  </si>
  <si>
    <t>92159</t>
  </si>
  <si>
    <t>0183134626</t>
  </si>
  <si>
    <t>ES GARCIA SALMANCA S.L.</t>
  </si>
  <si>
    <t>PARRA, LA</t>
  </si>
  <si>
    <t>CTRA LA MORERA KM 0,45</t>
  </si>
  <si>
    <t>-6.622139, 38.523944</t>
  </si>
  <si>
    <t>06176</t>
  </si>
  <si>
    <t>15054</t>
  </si>
  <si>
    <t>0183056852</t>
  </si>
  <si>
    <t>ES REY GONZALEZ VILLAPALACIOS</t>
  </si>
  <si>
    <t>VILLAPALACIOS</t>
  </si>
  <si>
    <t>CR N-322, 258,8</t>
  </si>
  <si>
    <t>-2.626222, 38.581722</t>
  </si>
  <si>
    <t>02350</t>
  </si>
  <si>
    <t>Restaurante, Cafetería/Bar, Parking turismos, Parking camiones, Zona de descanso, Box presión, Waylet pago en caja</t>
  </si>
  <si>
    <t>05614</t>
  </si>
  <si>
    <t>0183019587</t>
  </si>
  <si>
    <t>E.S. SANTA CRUZ,S.L.</t>
  </si>
  <si>
    <t>SANTA CRUZ DE ARRABALDO</t>
  </si>
  <si>
    <t>CR N-120, 580,5</t>
  </si>
  <si>
    <t>-7.983111, 42.343389</t>
  </si>
  <si>
    <t>32593</t>
  </si>
  <si>
    <t>98837</t>
  </si>
  <si>
    <t>0183133537</t>
  </si>
  <si>
    <t>ES EXPOGAS GUARDAMAR II</t>
  </si>
  <si>
    <t>CTRA N 332 PK 32,50 MD</t>
  </si>
  <si>
    <t>-0.664444, 38.099333</t>
  </si>
  <si>
    <t>11238</t>
  </si>
  <si>
    <t>0183133503</t>
  </si>
  <si>
    <t>ES AREA DE SERVICIO SIERRA MAGINA</t>
  </si>
  <si>
    <t>JODAR</t>
  </si>
  <si>
    <t>CRTA CIRCUNVALACION, S/N</t>
  </si>
  <si>
    <t>-3.34725, 37.835389</t>
  </si>
  <si>
    <t>23500</t>
  </si>
  <si>
    <t>EFITEC 95 N - España, Butano 12,5 Kg, DIESEL E+ NEO - España, DIESEL E+10 NEO - España, GO-B BONIF - España, BLUE+GRANEL - España</t>
  </si>
  <si>
    <t>04104</t>
  </si>
  <si>
    <t>0183010693</t>
  </si>
  <si>
    <t>E.S. LOS REMEDIOS</t>
  </si>
  <si>
    <t>CL AVDA. VIVAR TELLEZ, 26</t>
  </si>
  <si>
    <t>-4.100278, 36.776417</t>
  </si>
  <si>
    <t>33925</t>
  </si>
  <si>
    <t>0063214449</t>
  </si>
  <si>
    <t>GLEM,SL.-URBANA.</t>
  </si>
  <si>
    <t>CL AVENIDA ALICANTE, 22</t>
  </si>
  <si>
    <t>-0.856694, 38.629667</t>
  </si>
  <si>
    <t>EFITEC 95 N - España, Efitec 95 Premium, EFITEC 98 N - España, Butano 12,5 Kg, DIESEL E+ NEO - España, DIESEL NEXA 100% RENOVABLE - Esp, Propano 11 Kg</t>
  </si>
  <si>
    <t>01076</t>
  </si>
  <si>
    <t>0183075571</t>
  </si>
  <si>
    <t>US LINARENSE DE PETROLEOS S.L.</t>
  </si>
  <si>
    <t>CL AUREA GALINDO, S.N.</t>
  </si>
  <si>
    <t>-3.644583, 38.092806</t>
  </si>
  <si>
    <t>93583</t>
  </si>
  <si>
    <t>0183121912</t>
  </si>
  <si>
    <t>ES ALBURQUERQUE 2021, SLU</t>
  </si>
  <si>
    <t>ALBURQUERQUE</t>
  </si>
  <si>
    <t>CR EX-110 PK 34,600</t>
  </si>
  <si>
    <t>-6.997528, 39.198917</t>
  </si>
  <si>
    <t>06510</t>
  </si>
  <si>
    <t>01561</t>
  </si>
  <si>
    <t>0183131663</t>
  </si>
  <si>
    <t>ESTACION DE SERVICIO PUZOL S.L.</t>
  </si>
  <si>
    <t>PUÇOL</t>
  </si>
  <si>
    <t>CR VALENCIA-BARCELONA KM 18</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</si>
  <si>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</si>
  <si>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</si>
  <si>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</si>
  <si>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</si>
  <si>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00189</t>
  </si>
  <si>
    <t>0183019470</t>
  </si>
  <si>
    <t>CARPINTERO LAGUNA, S.L.</t>
  </si>
  <si>
    <t>SIGUENZA</t>
  </si>
  <si>
    <t>CR C-204, 19</t>
  </si>
  <si>
    <t>-2.647839, 41.065646</t>
  </si>
  <si>
    <t>19250</t>
  </si>
  <si>
    <t>06207</t>
  </si>
  <si>
    <t>0183075589</t>
  </si>
  <si>
    <t>E.S. GASOLEOS NOVA S.L.</t>
  </si>
  <si>
    <t>SANTIAGO DE LA ESPAD</t>
  </si>
  <si>
    <t>CL AVENIDA ANDALUCIA, 18</t>
  </si>
  <si>
    <t>-2.557, 38.10975</t>
  </si>
  <si>
    <t>23290</t>
  </si>
  <si>
    <t>Taller mecánico, Taller neumáticos, Lavado camiones, Box presión, Aspiradores, Waylet pago en caja, Adblue Envasado</t>
  </si>
  <si>
    <t>00900</t>
  </si>
  <si>
    <t>0183002468</t>
  </si>
  <si>
    <t>E.S. ZOILO RIOS-PORTAZ</t>
  </si>
  <si>
    <t>CR A-68, 242,7  D</t>
  </si>
  <si>
    <t>-0.925194, 41.660139</t>
  </si>
  <si>
    <t>Restaurante, Cafetería/Bar, Taller mecánico, Taller neumáticos, Lavado cepillos, Parking turismos, Box presión, Aspiradores, Solred cheque lavado, Waylet pago en surtidor, Waylet pago en caja, Recarga eléctrica</t>
  </si>
  <si>
    <t>07653</t>
  </si>
  <si>
    <t>0183004100</t>
  </si>
  <si>
    <t>ES CODISOIL SERRADA</t>
  </si>
  <si>
    <t>SERRADA</t>
  </si>
  <si>
    <t>CR C-610, P.K. 24,800</t>
  </si>
  <si>
    <t>-4.861028, 41.461389</t>
  </si>
  <si>
    <t>47239</t>
  </si>
  <si>
    <t>04864</t>
  </si>
  <si>
    <t>0063195929</t>
  </si>
  <si>
    <t>E.S. CAMBEO S.L.</t>
  </si>
  <si>
    <t>CAMBEO</t>
  </si>
  <si>
    <t>CR N-525, 249,3  D</t>
  </si>
  <si>
    <t>-7.873556, 42.417111</t>
  </si>
  <si>
    <t>32100</t>
  </si>
  <si>
    <t>L-V: 07:00-21:30; S-D: 07:30-15:00</t>
  </si>
  <si>
    <t>12473</t>
  </si>
  <si>
    <t>0183060805</t>
  </si>
  <si>
    <t>MJR.GEST,EMPRESARIAL</t>
  </si>
  <si>
    <t>CALA D´OR</t>
  </si>
  <si>
    <t>CL BIENVENIDOS, 64</t>
  </si>
  <si>
    <t>3.227056, 39.378722</t>
  </si>
  <si>
    <t>07660</t>
  </si>
  <si>
    <t>Restaurante, Cafetería/Bar, Taller mecánico, Lavado cepillos, Waylet pago en caja</t>
  </si>
  <si>
    <t>10020</t>
  </si>
  <si>
    <t>0183005644</t>
  </si>
  <si>
    <t>NOBLEJAS</t>
  </si>
  <si>
    <t>CR N-400, 56,8</t>
  </si>
  <si>
    <t>-3.449056, 39.973917</t>
  </si>
  <si>
    <t>45350</t>
  </si>
  <si>
    <t>Taller neumáticos, Lavado camiones, Box presión, Aspiradores, Waylet pago en caja</t>
  </si>
  <si>
    <t>31530</t>
  </si>
  <si>
    <t>0183003391</t>
  </si>
  <si>
    <t>E.S. CAZOÑA</t>
  </si>
  <si>
    <t>CL HERRERA ORIA -CAZOÑA-, 38</t>
  </si>
  <si>
    <t>-3.841194, 43.459083</t>
  </si>
  <si>
    <t>33311</t>
  </si>
  <si>
    <t>0183019447</t>
  </si>
  <si>
    <t>E.S. PRAXEDES COMBUSTIBLES,S.L.</t>
  </si>
  <si>
    <t>CL PASEO MARTIRES, 48</t>
  </si>
  <si>
    <t>-2.79575, 39.289806</t>
  </si>
  <si>
    <t>L-D: 06:00-14:00 y 17:00-22:00</t>
  </si>
  <si>
    <t>12837</t>
  </si>
  <si>
    <t>0183078823</t>
  </si>
  <si>
    <t>UNIO COMERCIAL DE GASOILS,S.L.</t>
  </si>
  <si>
    <t>AV AVENIDA DE EUROPA,26 (POLIG.INDU</t>
  </si>
  <si>
    <t>1.632, 41.595833</t>
  </si>
  <si>
    <t>Cafetería/Bar, Parking turismos, Parking camiones, Waylet pago en surtidor, Waylet pago en caja, Recarga eléctrica</t>
  </si>
  <si>
    <t>96231</t>
  </si>
  <si>
    <t>0183076827</t>
  </si>
  <si>
    <t>ES ENERGIA Y SERVICIOS PARA EL BIEN</t>
  </si>
  <si>
    <t>CR N-420 876,8</t>
  </si>
  <si>
    <t>1.125083, 41.149806</t>
  </si>
  <si>
    <t>43204</t>
  </si>
  <si>
    <t>10791</t>
  </si>
  <si>
    <t>0183075720</t>
  </si>
  <si>
    <t>E.S. MONZONCILLO</t>
  </si>
  <si>
    <t>MOZONCILLO</t>
  </si>
  <si>
    <t>CR SG-211, 10,8</t>
  </si>
  <si>
    <t>-4.19175, 41.143028</t>
  </si>
  <si>
    <t>40250</t>
  </si>
  <si>
    <t>34208</t>
  </si>
  <si>
    <t>0129007894</t>
  </si>
  <si>
    <t>ES ENERGIA DEL BAIX. MARTORELL</t>
  </si>
  <si>
    <t>CR N-2, PK.593,5</t>
  </si>
  <si>
    <t>1.913083, 41.489222</t>
  </si>
  <si>
    <t>Rest. Autoservicio, Cafetería/Bar, Box presión, Aspiradores, Waylet pago en surtidor, Waylet pago en caja, Punto recarga eléctrico Repsol</t>
  </si>
  <si>
    <t>12162</t>
  </si>
  <si>
    <t>0183058718</t>
  </si>
  <si>
    <t>E.S. PETROUXO,S.L.</t>
  </si>
  <si>
    <t>VALL D,UIXO, LA</t>
  </si>
  <si>
    <t>CR C-225, 23,3</t>
  </si>
  <si>
    <t>-0.212722, 39.8245</t>
  </si>
  <si>
    <t>Taller mecánico, Taller eléctrico, Lavado cepillos, Lavado camiones, Parking turismos, Parking camiones, Zona de descanso, Box presión, Aspiradores, Solred cheque lavado, Waylet pago en caja</t>
  </si>
  <si>
    <t>31022</t>
  </si>
  <si>
    <t>0183010438</t>
  </si>
  <si>
    <t>ES GLEM COLLAO S.L.</t>
  </si>
  <si>
    <t>CL OLIVER, S.N.</t>
  </si>
  <si>
    <t>-0.489722, 38.691972</t>
  </si>
  <si>
    <t>Lavado cepillos, Waylet pago en surtidor, Waylet pago en caja</t>
  </si>
  <si>
    <t>02760</t>
  </si>
  <si>
    <t>0183060714</t>
  </si>
  <si>
    <t>U.S. PUERTOCHICO</t>
  </si>
  <si>
    <t>MU PUERTO CHICO-DARSENA MOLNEDO, S.</t>
  </si>
  <si>
    <t>-3.796361, 43.462667</t>
  </si>
  <si>
    <t>39004</t>
  </si>
  <si>
    <t>L-D: 08:00-16:00</t>
  </si>
  <si>
    <t>06583</t>
  </si>
  <si>
    <t>0183018100</t>
  </si>
  <si>
    <t>NAVAGAL, S.L.</t>
  </si>
  <si>
    <t>CERVERA DEL RIO ALHAMA</t>
  </si>
  <si>
    <t>CR LR-123, 11</t>
  </si>
  <si>
    <t>-1.946889, 42.017139</t>
  </si>
  <si>
    <t>26520</t>
  </si>
  <si>
    <t>L-S: 08:00-15:00 y 16:00-20:00</t>
  </si>
  <si>
    <t>12039</t>
  </si>
  <si>
    <t>0183053537</t>
  </si>
  <si>
    <t>ESTACION DE SERVICIO BAMIO, S.L.</t>
  </si>
  <si>
    <t>BAMIO</t>
  </si>
  <si>
    <t>CR PO-548 P.K. 13</t>
  </si>
  <si>
    <t>-8.748444, 42.641389</t>
  </si>
  <si>
    <t>36618</t>
  </si>
  <si>
    <t>33344</t>
  </si>
  <si>
    <t>0083018366</t>
  </si>
  <si>
    <t>ES AREA LES AGUDES</t>
  </si>
  <si>
    <t>ARBUCIES</t>
  </si>
  <si>
    <t>CL VARIANTE ARBUCIAS-S.HILARIO, 16,</t>
  </si>
  <si>
    <t>2.52, 41.817639</t>
  </si>
  <si>
    <t>17401</t>
  </si>
  <si>
    <t>34495</t>
  </si>
  <si>
    <t>0183011345</t>
  </si>
  <si>
    <t>ALZIRA</t>
  </si>
  <si>
    <t>CR CV-50, 19,5</t>
  </si>
  <si>
    <t>-0.424806, 39.140778</t>
  </si>
  <si>
    <t>46600</t>
  </si>
  <si>
    <t>12480</t>
  </si>
  <si>
    <t>0183057280</t>
  </si>
  <si>
    <t>ES CARBURANTES ALQUERIA SL</t>
  </si>
  <si>
    <t>CR N-340, PK. 386,6</t>
  </si>
  <si>
    <t>-3.003944, 36.748056</t>
  </si>
  <si>
    <t>10966</t>
  </si>
  <si>
    <t>0183052521</t>
  </si>
  <si>
    <t>E.S. FEBRER SAFARIGAS, S.L.U.</t>
  </si>
  <si>
    <t>SA COMA</t>
  </si>
  <si>
    <t>CR PM-4023  PORTO CRISTO-S.SER,</t>
  </si>
  <si>
    <t>3.361611, 39.5805</t>
  </si>
  <si>
    <t>07687</t>
  </si>
  <si>
    <t>04587</t>
  </si>
  <si>
    <t>0183054659</t>
  </si>
  <si>
    <t>E.S. VENTA DEL BARRO</t>
  </si>
  <si>
    <t>PUEBLA DE HIJAR, LA</t>
  </si>
  <si>
    <t>CR N-232, 170,2</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</si>
  <si>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</si>
  <si>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</si>
  <si>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</si>
  <si>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06443</t>
  </si>
  <si>
    <t>0183051895</t>
  </si>
  <si>
    <t>EST. DE SERV. HERMANOS SEGURA, S.L.</t>
  </si>
  <si>
    <t>BIENVENIDA</t>
  </si>
  <si>
    <t>CR C-437, 25,7</t>
  </si>
  <si>
    <t>-6.209611, 38.294361</t>
  </si>
  <si>
    <t>06250</t>
  </si>
  <si>
    <t>L-S: 07:00-15:00 y 17:00-22:00; D: 09:00-14:00 y 17:00-21:00</t>
  </si>
  <si>
    <t>05955</t>
  </si>
  <si>
    <t>0183002096</t>
  </si>
  <si>
    <t>ES COMBUSTIBLES CARBONERO SL</t>
  </si>
  <si>
    <t>TUREGANO</t>
  </si>
  <si>
    <t>CR C-603, 33,7</t>
  </si>
  <si>
    <t>-4.007611, 41.153472</t>
  </si>
  <si>
    <t>40370</t>
  </si>
  <si>
    <t>10532</t>
  </si>
  <si>
    <t>0183005628</t>
  </si>
  <si>
    <t>ES CARBURANTES MONTALBAN SL</t>
  </si>
  <si>
    <t>MONTALBAN DE CORDOBA</t>
  </si>
  <si>
    <t>CR CO-741, 3,2</t>
  </si>
  <si>
    <t>-4.742417, 37.587639</t>
  </si>
  <si>
    <t>14548</t>
  </si>
  <si>
    <t>Lavado cepillos, Lavado camiones, Parking turismos, Zona de descanso, Box presión, Aspiradores, Solred cheque lavado, Waylet pago en caja, Adblue Envasado</t>
  </si>
  <si>
    <t>34283</t>
  </si>
  <si>
    <t>0183015320</t>
  </si>
  <si>
    <t>E.S. VILLARCE CASTELLANA</t>
  </si>
  <si>
    <t>CL AVENIDA PALENCIA, S.N.</t>
  </si>
  <si>
    <t>-3.711889, 42.337472</t>
  </si>
  <si>
    <t>09001</t>
  </si>
  <si>
    <t>33066</t>
  </si>
  <si>
    <t>0063167910</t>
  </si>
  <si>
    <t>E.S. PROMOC. Y DISTR. DE GASES ,S.A</t>
  </si>
  <si>
    <t>CL SUECA, 5</t>
  </si>
  <si>
    <t>-0.258833, 39.167444</t>
  </si>
  <si>
    <t>EFITEC 95 N - España, EFITEC 98 N - España, Butano 12,5 Kg, DIESEL E+ NEO - España, DIESEL E+10 NEO - España, GO-B BONIF - España, Butano 6 Kg (K6)</t>
  </si>
  <si>
    <t>96659</t>
  </si>
  <si>
    <t>0183111145</t>
  </si>
  <si>
    <t>E.S. SAN JUAN BOSCO, S.A. - RONDA O</t>
  </si>
  <si>
    <t>CL. RONDA OLIVER, SN</t>
  </si>
  <si>
    <t>-0.935167, 41.647278</t>
  </si>
  <si>
    <t>31308</t>
  </si>
  <si>
    <t>0063191167</t>
  </si>
  <si>
    <t>E.S.RIO TIRON S.A.</t>
  </si>
  <si>
    <t>BELORADO</t>
  </si>
  <si>
    <t>CR N-120, 68</t>
  </si>
  <si>
    <t>-3.207111, 42.417333</t>
  </si>
  <si>
    <t>09250</t>
  </si>
  <si>
    <t>11144</t>
  </si>
  <si>
    <t>0183059617</t>
  </si>
  <si>
    <t>E.S. RECAMBIOS MARIANO SL</t>
  </si>
  <si>
    <t>ALANIS</t>
  </si>
  <si>
    <t>CR SE-162, 21,6</t>
  </si>
  <si>
    <t>-5.708417, 38.034278</t>
  </si>
  <si>
    <t>41380</t>
  </si>
  <si>
    <t>Restaurante, Cafetería/Bar, Box presión, Aspiradores, Waylet pago en caja, Adblue Envasado</t>
  </si>
  <si>
    <t>05503</t>
  </si>
  <si>
    <t>0183011204</t>
  </si>
  <si>
    <t>E.S. VILLALBA REOLID</t>
  </si>
  <si>
    <t>CL CR. JAEN, 2</t>
  </si>
  <si>
    <t>-1.871722, 38.994667</t>
  </si>
  <si>
    <t>96544</t>
  </si>
  <si>
    <t>0183107259</t>
  </si>
  <si>
    <t>ES TERA GASOLINERA SL</t>
  </si>
  <si>
    <t>ARMUNIA-E.S.</t>
  </si>
  <si>
    <t>CR N-630, 149</t>
  </si>
  <si>
    <t>-5.582444, 42.570917</t>
  </si>
  <si>
    <t>24190</t>
  </si>
  <si>
    <t>L-V: 08:00-21:30; S: 08:00-14:00</t>
  </si>
  <si>
    <t>96565</t>
  </si>
  <si>
    <t>0183107580</t>
  </si>
  <si>
    <t>ES SAFOR ESTACIONES SL</t>
  </si>
  <si>
    <t>OLIVA</t>
  </si>
  <si>
    <t>CR N-332, 209,4 MARGEN IZ</t>
  </si>
  <si>
    <t>-0.072694, 38.895194</t>
  </si>
  <si>
    <t>46780</t>
  </si>
  <si>
    <t>31338</t>
  </si>
  <si>
    <t>0183001072</t>
  </si>
  <si>
    <t>E.S.  BIDEBIETA S.L.</t>
  </si>
  <si>
    <t>CL AVENIDA SAN PEDRO, 3</t>
  </si>
  <si>
    <t>-1.943667, 43.321667</t>
  </si>
  <si>
    <t>20017</t>
  </si>
  <si>
    <t>06719</t>
  </si>
  <si>
    <t>0183018621</t>
  </si>
  <si>
    <t>MONISTROL DE MONTSERRAT</t>
  </si>
  <si>
    <t>CR C-55, PK. 13,33</t>
  </si>
  <si>
    <t>1.844056, 41.609111</t>
  </si>
  <si>
    <t>08691</t>
  </si>
  <si>
    <t>04938</t>
  </si>
  <si>
    <t>0183005693</t>
  </si>
  <si>
    <t>E.S. LAS CORREHUELAS, S.L.</t>
  </si>
  <si>
    <t>VILLANUEVA DEL ACERAL</t>
  </si>
  <si>
    <t>CR C-605 km 68,1</t>
  </si>
  <si>
    <t>-4.849111, 41.042333</t>
  </si>
  <si>
    <t>05212</t>
  </si>
  <si>
    <t>EFITEC 95 N - España, DIESEL E+ NEO - España, DIESEL E+10 NEO - España, Propano 11 Kg, BLUE+GRANEL - España, Butano 12 Kg (NEL)</t>
  </si>
  <si>
    <t>Cafetería/Bar, Taller mecánico, Parking turismos, Box presión, Duchas, Aspiradores, Waylet pago en caja</t>
  </si>
  <si>
    <t>34242</t>
  </si>
  <si>
    <t>0001178284</t>
  </si>
  <si>
    <t>E.S.  LA POSTA</t>
  </si>
  <si>
    <t>CL AVENIDA ENRIQUE MARTIN CUEVA, 45</t>
  </si>
  <si>
    <t>-3.522528, 36.754444</t>
  </si>
  <si>
    <t>07403</t>
  </si>
  <si>
    <t>0183009265</t>
  </si>
  <si>
    <t>E.S.  NUESTRA SEÑORA TISCAR</t>
  </si>
  <si>
    <t>POZO ALCON</t>
  </si>
  <si>
    <t>CR C-323, 66</t>
  </si>
  <si>
    <t>-2.934056, 37.699806</t>
  </si>
  <si>
    <t>23485</t>
  </si>
  <si>
    <t>02980</t>
  </si>
  <si>
    <t>0183055086</t>
  </si>
  <si>
    <t>E.S. J.JAVIER MARTI HITA</t>
  </si>
  <si>
    <t>CEUTI</t>
  </si>
  <si>
    <t>CL CR.DE ARCHENA, 15</t>
  </si>
  <si>
    <t>-1.275111, 38.084889</t>
  </si>
  <si>
    <t>30562</t>
  </si>
  <si>
    <t>05365</t>
  </si>
  <si>
    <t>0183076728</t>
  </si>
  <si>
    <t>E.S. LORENA Y NATALIA, SL</t>
  </si>
  <si>
    <t>INIESTA</t>
  </si>
  <si>
    <t>CR CM-311, 17,3</t>
  </si>
  <si>
    <t>-1.745472, 39.440278</t>
  </si>
  <si>
    <t>16235</t>
  </si>
  <si>
    <t>96002</t>
  </si>
  <si>
    <t>0183075688</t>
  </si>
  <si>
    <t>E.S.PEDRIÑANES S.L.</t>
  </si>
  <si>
    <t>ERA ALTA</t>
  </si>
  <si>
    <t>CL E-1, 1.7</t>
  </si>
  <si>
    <t>-1.1585, 37.96775</t>
  </si>
  <si>
    <t>30168</t>
  </si>
  <si>
    <t>04073</t>
  </si>
  <si>
    <t>0183062736</t>
  </si>
  <si>
    <t>ES LAZCABA S.L.</t>
  </si>
  <si>
    <t>AV REINA SOFIA, 68</t>
  </si>
  <si>
    <t>-6.322139, 38.926528</t>
  </si>
  <si>
    <t>12057</t>
  </si>
  <si>
    <t>0183058627</t>
  </si>
  <si>
    <t>E.S. R.R.R. OIL</t>
  </si>
  <si>
    <t>PUEBLA DE ALMORADIEL</t>
  </si>
  <si>
    <t>CR CM-410 P.K. 116,50 D</t>
  </si>
  <si>
    <t>-3.08125, 39.594361</t>
  </si>
  <si>
    <t>45840</t>
  </si>
  <si>
    <t>96595</t>
  </si>
  <si>
    <t>0183108182</t>
  </si>
  <si>
    <t>CR BI-3704, 5,5</t>
  </si>
  <si>
    <t>-2.959889, 43.291</t>
  </si>
  <si>
    <t>15517</t>
  </si>
  <si>
    <t>0183014034</t>
  </si>
  <si>
    <t>ES INMUEBLES RENTAL GM</t>
  </si>
  <si>
    <t>VILLANUEVA DEL PARDI</t>
  </si>
  <si>
    <t>CR M-509, 7,300</t>
  </si>
  <si>
    <t>-3.974694, 40.485111</t>
  </si>
  <si>
    <t>28229</t>
  </si>
  <si>
    <t>04377</t>
  </si>
  <si>
    <t>0063200562</t>
  </si>
  <si>
    <t>E..S ESCARTIN S.L.</t>
  </si>
  <si>
    <t>GRAÑEN</t>
  </si>
  <si>
    <t>CL AVENIDA RAMON Y CAJAL, 4</t>
  </si>
  <si>
    <t>-0.369333, 41.939611</t>
  </si>
  <si>
    <t>22260</t>
  </si>
  <si>
    <t>L-V: 07:30-21:00; S: 07:30-14:00</t>
  </si>
  <si>
    <t>12582</t>
  </si>
  <si>
    <t>0183063759</t>
  </si>
  <si>
    <t>AGRICOLA MONTSANT SL</t>
  </si>
  <si>
    <t>PRADES</t>
  </si>
  <si>
    <t>CR T-700 21,9</t>
  </si>
  <si>
    <t>0.986667, 41.313083</t>
  </si>
  <si>
    <t>43364</t>
  </si>
  <si>
    <t>L-D: 8:00-16:00</t>
  </si>
  <si>
    <t>Restaurante, Cafetería/Bar, Parking turismos, Zona de descanso, Box presión, Aspiradores, Waylet pago en caja, Recarga eléctrica</t>
  </si>
  <si>
    <t>06739</t>
  </si>
  <si>
    <t>0183056506</t>
  </si>
  <si>
    <t>US SMN STORE</t>
  </si>
  <si>
    <t>ROSALES, LOS</t>
  </si>
  <si>
    <t>AVDA DE SEVILLA, 5</t>
  </si>
  <si>
    <t>-5.730806, 37.589583</t>
  </si>
  <si>
    <t>41330</t>
  </si>
  <si>
    <t>L-S: 06:30-21:30</t>
  </si>
  <si>
    <t>11441</t>
  </si>
  <si>
    <t>0183059716</t>
  </si>
  <si>
    <t>ES HIJOS DE NAVARRO ROBLES SL</t>
  </si>
  <si>
    <t>CR C-3314,  61,8</t>
  </si>
  <si>
    <t>-1.046667, 38.619028</t>
  </si>
  <si>
    <t>L-V: 06:30-20:00; S: 07:00-15:00</t>
  </si>
  <si>
    <t>01851</t>
  </si>
  <si>
    <t>0183061746</t>
  </si>
  <si>
    <t>E.S.SARRYMECA,S.L.</t>
  </si>
  <si>
    <t>CL AVENIDA PIO XII, 98</t>
  </si>
  <si>
    <t>-3.675528, 40.472556</t>
  </si>
  <si>
    <t>04143</t>
  </si>
  <si>
    <t>0183012806</t>
  </si>
  <si>
    <t>XUBIA</t>
  </si>
  <si>
    <t>CR AC-862  P.K. 6,30 I</t>
  </si>
  <si>
    <t>-8.158361, 43.51625</t>
  </si>
  <si>
    <t>13260</t>
  </si>
  <si>
    <t>0183062611</t>
  </si>
  <si>
    <t>E.S.  FELISA, S. L.</t>
  </si>
  <si>
    <t>PUENTE DE SAN MIGUEL</t>
  </si>
  <si>
    <t>CR CA-133 (BARRIO VISTALEGRE), 1,2</t>
  </si>
  <si>
    <t>-4.089444, 43.368611</t>
  </si>
  <si>
    <t>39530</t>
  </si>
  <si>
    <t>96253</t>
  </si>
  <si>
    <t>0183080191</t>
  </si>
  <si>
    <t>AREA DEL GARRAF</t>
  </si>
  <si>
    <t>CR C-32, 16,15</t>
  </si>
  <si>
    <t>1.675722, 41.222472</t>
  </si>
  <si>
    <t>96160</t>
  </si>
  <si>
    <t>0183063148</t>
  </si>
  <si>
    <t>CEL.MON.Y MER.SL</t>
  </si>
  <si>
    <t>CASTRO DEL RIO</t>
  </si>
  <si>
    <t>CL RONDA PUENTE NUEVO, S.N.</t>
  </si>
  <si>
    <t>-4.486028, 37.691333</t>
  </si>
  <si>
    <t>14840</t>
  </si>
  <si>
    <t>33646</t>
  </si>
  <si>
    <t>0183006857</t>
  </si>
  <si>
    <t>ES ADICO S.L.</t>
  </si>
  <si>
    <t>ONTUR</t>
  </si>
  <si>
    <t>CR CM-412, 297,5</t>
  </si>
  <si>
    <t>-1.497667, 38.622944</t>
  </si>
  <si>
    <t>02652</t>
  </si>
  <si>
    <t>EFITEC 95 N - España, Efitec 95 Premium, DIESEL E+ NEO - España, DIESEL NEXA 100% RENOVABLE - Esp, GO-B BONIF - España, BLUE+GRANEL - España, Butano 12 Kg (NEL)</t>
  </si>
  <si>
    <t>06733</t>
  </si>
  <si>
    <t>0183077429</t>
  </si>
  <si>
    <t>MAPRI OLIVA, SL</t>
  </si>
  <si>
    <t>OLIVA DE LA FRONTERA</t>
  </si>
  <si>
    <t>CR BA-4311, PK.46,5</t>
  </si>
  <si>
    <t>-6.915417, 38.282778</t>
  </si>
  <si>
    <t>06120</t>
  </si>
  <si>
    <t>L-S: 08:00-22:00; D: 08:00-14:00</t>
  </si>
  <si>
    <t>04571</t>
  </si>
  <si>
    <t>0183057363</t>
  </si>
  <si>
    <t>E.S. ROLDAN HNOS,S.L</t>
  </si>
  <si>
    <t>YEPES</t>
  </si>
  <si>
    <t>AV DE SAN LUIS, 2</t>
  </si>
  <si>
    <t>-3.620444, 39.904444</t>
  </si>
  <si>
    <t>45313</t>
  </si>
  <si>
    <t>Restaurante, Cafetería/Bar, Lavado cepillos, Waylet pago en surtidor, Waylet pago en caja</t>
  </si>
  <si>
    <t>93543</t>
  </si>
  <si>
    <t>0183118736</t>
  </si>
  <si>
    <t>E.S. HUMANES, S.L.</t>
  </si>
  <si>
    <t>AV DE LA INDUSTRIA, 23</t>
  </si>
  <si>
    <t>-3.81175, 40.275194</t>
  </si>
  <si>
    <t>L-V: 06:00-20:00; S-D: 09:00-14:00</t>
  </si>
  <si>
    <t>96130</t>
  </si>
  <si>
    <t>0183100791</t>
  </si>
  <si>
    <t>ES BLANLEI S.L.</t>
  </si>
  <si>
    <t>CL AV MUCHAMIEL, 8</t>
  </si>
  <si>
    <t>-0.439333, 38.406944</t>
  </si>
  <si>
    <t>Cafetería/Bar, Lavado cepillos, Box presión, Aspiradores, Solred cheque lavado, Waylet pago en caja, Adblue Envasado, Punto recarga eléctrico Repsol</t>
  </si>
  <si>
    <t>93840</t>
  </si>
  <si>
    <t>0183134956</t>
  </si>
  <si>
    <t>ES ASCIA EAS SA</t>
  </si>
  <si>
    <t>EL PRAT DE LLOBREGAT</t>
  </si>
  <si>
    <t>AVDA. APEL-LES MESTRE, 111</t>
  </si>
  <si>
    <t>2.081833, 41.319778</t>
  </si>
  <si>
    <t>08820</t>
  </si>
  <si>
    <t>Cafetería/Bar, Lavado cepillos, Aspiradores, Waylet pago en caja, Adblue Envasado</t>
  </si>
  <si>
    <t>15586</t>
  </si>
  <si>
    <t>0183058692</t>
  </si>
  <si>
    <t>FAMILIA LEON RDGUEZ</t>
  </si>
  <si>
    <t>CARRIZOSA</t>
  </si>
  <si>
    <t>CR CM-3129, 7</t>
  </si>
  <si>
    <t>-2.993639, 38.836694</t>
  </si>
  <si>
    <t>13329</t>
  </si>
  <si>
    <t>L: 6:30-22:00</t>
  </si>
  <si>
    <t>EFITEC 95 N - España, Butano 12,5 Kg, DIESEL E+ NEO - España, GO-B BONIF - España, Propano 11 Kg, Butano 12 Kg (NEL)</t>
  </si>
  <si>
    <t>10326</t>
  </si>
  <si>
    <t>0183057132</t>
  </si>
  <si>
    <t>ESTACION DE SERVICIO PICA SL</t>
  </si>
  <si>
    <t>TABERNAS</t>
  </si>
  <si>
    <t>CR A-92  P.K. 379 (SALIDA 376)</t>
  </si>
  <si>
    <t>-2.446056, 37.016417</t>
  </si>
  <si>
    <t>04200</t>
  </si>
  <si>
    <t>Restaurante, Cafetería/Bar, Lavado camiones, Parking turismos, Parking camiones, Zona de descanso, Box presión, Aspiradores, Waylet pago en caja, Punto recarga eléctrico Repsol</t>
  </si>
  <si>
    <t>05569</t>
  </si>
  <si>
    <t>0183012608</t>
  </si>
  <si>
    <t>ES INVERSIONES BLACAR SL</t>
  </si>
  <si>
    <t>SOLANA, LA</t>
  </si>
  <si>
    <t>CR L-603, 24,8</t>
  </si>
  <si>
    <t>-3.237083, 38.937278</t>
  </si>
  <si>
    <t>13240</t>
  </si>
  <si>
    <t>34619</t>
  </si>
  <si>
    <t>0183055755</t>
  </si>
  <si>
    <t>E.S.PER-PRA,S.L.</t>
  </si>
  <si>
    <t>SALDES</t>
  </si>
  <si>
    <t>CR B-400, 14,8</t>
  </si>
  <si>
    <t>1.745389, 42.2265</t>
  </si>
  <si>
    <t>08697</t>
  </si>
  <si>
    <t>11432</t>
  </si>
  <si>
    <t>0183017573</t>
  </si>
  <si>
    <t>E.S. CARBURANTES YAGÜE S.L</t>
  </si>
  <si>
    <t>MOTA DEL MARQUES</t>
  </si>
  <si>
    <t>CR N-6, 202,2</t>
  </si>
  <si>
    <t>-5.173278, 41.626972</t>
  </si>
  <si>
    <t>47120</t>
  </si>
  <si>
    <t>Restaurante, Cafetería/Bar, Parking turismos, Parking camiones, Zona de descanso, Duchas, Waylet pago en caja, Adblue Envasado, Punto recarga eléctrico Repsol, Recarga eléctrica</t>
  </si>
  <si>
    <t>93830</t>
  </si>
  <si>
    <t>0183133628</t>
  </si>
  <si>
    <t>E.S. GARCERAN 1 LAS TORRES DE COTIL</t>
  </si>
  <si>
    <t>TORRES DE COTILLAS,</t>
  </si>
  <si>
    <t>AVDA. REYES CATOLICOS, 152</t>
  </si>
  <si>
    <t>-1.262444, 38.024861</t>
  </si>
  <si>
    <t>96072</t>
  </si>
  <si>
    <t>0183077502</t>
  </si>
  <si>
    <t>E.S. EDIFICACIONES TIFAN SL</t>
  </si>
  <si>
    <t xml:space="preserve"> PGNO. EUROPOLIS CL BELGRADO S/N</t>
  </si>
  <si>
    <t>-3.888611, 40.504194</t>
  </si>
  <si>
    <t>96742</t>
  </si>
  <si>
    <t>0183114537</t>
  </si>
  <si>
    <t>E.S. FEBRER MARTI, S.L.</t>
  </si>
  <si>
    <t>CR  C-715 P.K. 49,6 (VIA PALMA,87)</t>
  </si>
  <si>
    <t>3.210528, 39.577833</t>
  </si>
  <si>
    <t>Cafetería/Bar, Lavado cepillos, Box presión, Waylet pago en caja, Punto recarga eléctrico Repsol</t>
  </si>
  <si>
    <t>04128</t>
  </si>
  <si>
    <t>0183078476</t>
  </si>
  <si>
    <t>YOLANDA EGIDO SANZ</t>
  </si>
  <si>
    <t>CL DE DOCTOR GOMEZ ULLA, S.N.</t>
  </si>
  <si>
    <t>-3.668028, 40.429667</t>
  </si>
  <si>
    <t>28028</t>
  </si>
  <si>
    <t>L-V: 07:00-21:00; S: 08:00-14:30; D: 09:00-15:00</t>
  </si>
  <si>
    <t>12589</t>
  </si>
  <si>
    <t>0183015593</t>
  </si>
  <si>
    <t>ES OTERO DE BODAS</t>
  </si>
  <si>
    <t>OTERO DE BODAS</t>
  </si>
  <si>
    <t>CR N-631, 43,4</t>
  </si>
  <si>
    <t>-6.157611, 41.937194</t>
  </si>
  <si>
    <t>49336</t>
  </si>
  <si>
    <t>Cafetería/Bar, Parking turismos, Parking camiones, Box presión, Waylet pago en caja, Adblue Envasado</t>
  </si>
  <si>
    <t>31422</t>
  </si>
  <si>
    <t>0183135698</t>
  </si>
  <si>
    <t>ES TRECEÑO SL</t>
  </si>
  <si>
    <t>TRECEÑO</t>
  </si>
  <si>
    <t>CARRETERA N-634, KM 255,7</t>
  </si>
  <si>
    <t>-4.309, 43.319556</t>
  </si>
  <si>
    <t>39592</t>
  </si>
  <si>
    <t>Lavado cepillos, Parking turismos, Parking camiones, Zona de descanso, Box presión, Duchas, Aspiradores, Solred cheque lavado, Waylet pago en caja</t>
  </si>
  <si>
    <t>00657</t>
  </si>
  <si>
    <t>0183015056</t>
  </si>
  <si>
    <t>ES QUINTANAR II</t>
  </si>
  <si>
    <t>CR N-301, PK.122</t>
  </si>
  <si>
    <t>-3.03575, 39.586861</t>
  </si>
  <si>
    <t>07038</t>
  </si>
  <si>
    <t>0183115682</t>
  </si>
  <si>
    <t>E.S. GARCERAN 1 SL</t>
  </si>
  <si>
    <t>CR N-4, 162</t>
  </si>
  <si>
    <t>-3.37825, 39.108861</t>
  </si>
  <si>
    <t>L-V: 06:00-00:00; S: 06:00-22:00; D: 08:00-00:00</t>
  </si>
  <si>
    <t>93283</t>
  </si>
  <si>
    <t>0183105139</t>
  </si>
  <si>
    <t>PETROLIMIA,S.L.</t>
  </si>
  <si>
    <t>CL A DEVESA, S.N.</t>
  </si>
  <si>
    <t>-7.727083, 42.075556</t>
  </si>
  <si>
    <t>96676</t>
  </si>
  <si>
    <t>0183111798</t>
  </si>
  <si>
    <t>AREA SERVICIO LA RETAMA</t>
  </si>
  <si>
    <t>CABROJO</t>
  </si>
  <si>
    <t>CR  N-634 , P.K. 244,20 M.D.</t>
  </si>
  <si>
    <t>-4.191639, 43.327028</t>
  </si>
  <si>
    <t>39509</t>
  </si>
  <si>
    <t>Restaurante, Cafetería/Bar, Lavado cepillos, Lavado camiones, Parking turismos, Parking camiones, Box presión, Duchas, Aspiradores, Solred cheque lavado, Waylet pago en caja, Punto recarga eléctrico Repsol, Recarga eléctrica</t>
  </si>
  <si>
    <t>06021</t>
  </si>
  <si>
    <t>0183055235</t>
  </si>
  <si>
    <t>AS MONTAÑA PALENTINA, SL</t>
  </si>
  <si>
    <t>FRESNO DEL RIO</t>
  </si>
  <si>
    <t>CR C-615, 83,1</t>
  </si>
  <si>
    <t>-4.804833, 42.686139</t>
  </si>
  <si>
    <t>34889</t>
  </si>
  <si>
    <t>33464</t>
  </si>
  <si>
    <t>0183050855</t>
  </si>
  <si>
    <t>E.S. DAVID RAMIREZ PARRALEJO</t>
  </si>
  <si>
    <t>CR CV-855, 8,3</t>
  </si>
  <si>
    <t>-0.702111, 38.177111</t>
  </si>
  <si>
    <t>L-V: 07:00-21:00; S-D: 07:00-20:00</t>
  </si>
  <si>
    <t>96933</t>
  </si>
  <si>
    <t>0183120294</t>
  </si>
  <si>
    <t>CR N-332, 116,4 M.I.</t>
  </si>
  <si>
    <t>-0.421306, 38.412972</t>
  </si>
  <si>
    <t>Parking turismos, Zona de descanso, Box presión, Aspiradores, Waylet pago en surtidor, Waylet pago en caja</t>
  </si>
  <si>
    <t>12025</t>
  </si>
  <si>
    <t>0183059609</t>
  </si>
  <si>
    <t>ES MAGAZOS</t>
  </si>
  <si>
    <t>MAGAZOS</t>
  </si>
  <si>
    <t>CR LU-540  P.K. 3,10 I</t>
  </si>
  <si>
    <t>-7.601528, 43.635806</t>
  </si>
  <si>
    <t>27850</t>
  </si>
  <si>
    <t>11673</t>
  </si>
  <si>
    <t>0183054196</t>
  </si>
  <si>
    <t>M.BELTRAN E HIJOS</t>
  </si>
  <si>
    <t>UTRILLAS</t>
  </si>
  <si>
    <t>CR N-420, 653,1</t>
  </si>
  <si>
    <t>-0.837611, 40.802472</t>
  </si>
  <si>
    <t>44760</t>
  </si>
  <si>
    <t>Restaurante, Cafetería/Bar, Lavado cepillos, Lavado camiones, Parking turismos, Parking camiones, Zona de descanso, Box presión, Duchas, Aspiradores, Solred cheque lavado, Waylet pago en caja, Punto recarga eléctrico Repsol</t>
  </si>
  <si>
    <t>00412</t>
  </si>
  <si>
    <t>0183015809</t>
  </si>
  <si>
    <t>GAS.AVDA.PORTUGAL,SL</t>
  </si>
  <si>
    <t>CR N-620, 324,5  I</t>
  </si>
  <si>
    <t>-6.534917, 40.601389</t>
  </si>
  <si>
    <t>10612</t>
  </si>
  <si>
    <t>0183015395</t>
  </si>
  <si>
    <t>E.S. ANTONIO PUERTA ROBLES</t>
  </si>
  <si>
    <t>CEHEGIN-ARGOS</t>
  </si>
  <si>
    <t>CR C-3314, 10,7</t>
  </si>
  <si>
    <t>-1.750806, 38.175139</t>
  </si>
  <si>
    <t>30430</t>
  </si>
  <si>
    <t>L-V: 07:00-21:30; D: 08:00-21:00</t>
  </si>
  <si>
    <t>Lavado camiones, Parking turismos, Zona de descanso, Box presión, Aspiradores, Waylet pago en caja</t>
  </si>
  <si>
    <t>96515</t>
  </si>
  <si>
    <t>0183105758</t>
  </si>
  <si>
    <t>FEBRER 11</t>
  </si>
  <si>
    <t>CM CAMI SALARD, S.N.</t>
  </si>
  <si>
    <t>2.685139, 39.576167</t>
  </si>
  <si>
    <t>Lavado cepillos, Lavado camiones, Parking turismos, Box presión, Aspiradores, Solred cheque lavado, Waylet pago en caja, Punto recarga eléctrico Repsol</t>
  </si>
  <si>
    <t>96293</t>
  </si>
  <si>
    <t>0183102235</t>
  </si>
  <si>
    <t>FEBRER 10</t>
  </si>
  <si>
    <t>CL CAMI VELL DE BUNYOLA, S.N.</t>
  </si>
  <si>
    <t>2.674917, 39.602361</t>
  </si>
  <si>
    <t>Lavado cepillos, Lavado camiones, Parking turismos, Parking camiones, Box presión, Aspiradores, Waylet pago en caja, Punto recarga eléctrico Repsol</t>
  </si>
  <si>
    <t>33239</t>
  </si>
  <si>
    <t>0183010198</t>
  </si>
  <si>
    <t>ES LILLET ENERGIA SL</t>
  </si>
  <si>
    <t>CL PASEO ZONA FRANCA, 35</t>
  </si>
  <si>
    <t>2.143667, 41.352917</t>
  </si>
  <si>
    <t>34122</t>
  </si>
  <si>
    <t>0183057884</t>
  </si>
  <si>
    <t>E.S. LUIS JESUS ANTONAYA BAENA</t>
  </si>
  <si>
    <t>VILCHES</t>
  </si>
  <si>
    <t>CR C-3217, 13,2</t>
  </si>
  <si>
    <t>-3.513444, 38.217028</t>
  </si>
  <si>
    <t>23220</t>
  </si>
  <si>
    <t>L-S: 06:30-22:00; D: 08:00-14:00</t>
  </si>
  <si>
    <t>Parking turismos, Box presión, Aspiradores, Waylet pago en caja, Adblue Envasado, Punto recarga eléctrico Repsol</t>
  </si>
  <si>
    <t>13006</t>
  </si>
  <si>
    <t>0183062603</t>
  </si>
  <si>
    <t>E.S. TRAPICHE</t>
  </si>
  <si>
    <t>TRAPICHE</t>
  </si>
  <si>
    <t>CR A-356 ,P.K. 43,5</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</si>
  <si>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</si>
  <si>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</si>
  <si>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</si>
  <si>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</si>
  <si>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15963</t>
  </si>
  <si>
    <t>0063200513</t>
  </si>
  <si>
    <t>GASOLINERA FONTSERE</t>
  </si>
  <si>
    <t>GARRIGA, LA</t>
  </si>
  <si>
    <t>CL CRTA. NUEVA, 37</t>
  </si>
  <si>
    <t>2.282833, 41.684389</t>
  </si>
  <si>
    <t>08530</t>
  </si>
  <si>
    <t>96898</t>
  </si>
  <si>
    <t>0183125293</t>
  </si>
  <si>
    <t>E.S. ELVIRIA, II</t>
  </si>
  <si>
    <t>AT N-340, 192,1</t>
  </si>
  <si>
    <t>-4.764333, 36.493528</t>
  </si>
  <si>
    <t>92823</t>
  </si>
  <si>
    <t>0183119825</t>
  </si>
  <si>
    <t>E.S. SOTON</t>
  </si>
  <si>
    <t>SOTRONDIO</t>
  </si>
  <si>
    <t>Bº TETUAN, CR AS-17 P.K. 48,5</t>
  </si>
  <si>
    <t>-5.617611, 43.277417</t>
  </si>
  <si>
    <t>Restaurante, Cafetería/Bar, Lavado cepillos, Parking turismos, Parking camiones, Box presión, Aspiradores, Solred cheque lavado, Waylet pago en caja</t>
  </si>
  <si>
    <t>11821</t>
  </si>
  <si>
    <t>0183108927</t>
  </si>
  <si>
    <t>E.S. ANDRYMAR</t>
  </si>
  <si>
    <t>VILLA DEL RIO</t>
  </si>
  <si>
    <t>AV RIBERA DE SAN ISIDRO LABRADOR</t>
  </si>
  <si>
    <t>-4.277472, 37.986306</t>
  </si>
  <si>
    <t>14640</t>
  </si>
  <si>
    <t>EFITEC 95 N - España, Efitec 95 Premium, DIESEL E+ NEO - España, DIESEL NEXA 100% RENOVABLE - Esp, GO-B BONIF - España, Propano 11 Kg, Butano 12 Kg (NEL)</t>
  </si>
  <si>
    <t>Lavado cepillos, Box presión, Solred cheque lavado, Waylet pago en surtidor, Waylet pago en caja, Adblue Envasado, Punto recarga eléctrico Repsol</t>
  </si>
  <si>
    <t>34020</t>
  </si>
  <si>
    <t>0183004514</t>
  </si>
  <si>
    <t>E.S.  LOS DOLMENES</t>
  </si>
  <si>
    <t>CL CR MÁLAGA, Nº 1</t>
  </si>
  <si>
    <t>-4.549972, 37.022722</t>
  </si>
  <si>
    <t>Taller mecánico, Taller neumáticos, Taller eléctrico, Lavado cepillos, Aspiradores, Solred cheque lavado, Lavandería, Waylet pago en caja, Adblue Envasado, Punto recarga eléctrico Repsol</t>
  </si>
  <si>
    <t>96304</t>
  </si>
  <si>
    <t>0183100825</t>
  </si>
  <si>
    <t>E.S. EL COLORADO OIL SL</t>
  </si>
  <si>
    <t>CL EXPOSICION- POLIGONO PISA, S.N.</t>
  </si>
  <si>
    <t>-6.056167, 37.352333</t>
  </si>
  <si>
    <t>07080</t>
  </si>
  <si>
    <t>0183018969</t>
  </si>
  <si>
    <t>E.S. SES FERRITGES DE PETRA</t>
  </si>
  <si>
    <t>PETRA</t>
  </si>
  <si>
    <t>CR PETRA STA MARGARITA (Ma 3340) km</t>
  </si>
  <si>
    <t>3.109028, 39.625889</t>
  </si>
  <si>
    <t>07520</t>
  </si>
  <si>
    <t>Lavado cepillos, Parking turismos, Zona de descanso, Box presión, Aspiradores, Waylet pago en caja</t>
  </si>
  <si>
    <t>96784</t>
  </si>
  <si>
    <t>0183116466</t>
  </si>
  <si>
    <t>ES VIRGINIA VICENTE</t>
  </si>
  <si>
    <t>CR  CM-42 , P.K.21,5</t>
  </si>
  <si>
    <t>-3.80125, 39.682917</t>
  </si>
  <si>
    <t>34901</t>
  </si>
  <si>
    <t>0183064005</t>
  </si>
  <si>
    <t>E.S. TERZO S.L.</t>
  </si>
  <si>
    <t>-3.566639, 40.448778</t>
  </si>
  <si>
    <t>L-V: 06:00-22:00; S-D: 10:00-19:00</t>
  </si>
  <si>
    <t>Cafetería/Bar, Lavado cepillos, Aspiradores, Waylet pago en surtidor, Waylet pago en caja</t>
  </si>
  <si>
    <t>96642</t>
  </si>
  <si>
    <t>0183109768</t>
  </si>
  <si>
    <t>E.S. HERMANOS BAYO ESTACIONES, S.L.</t>
  </si>
  <si>
    <t>CULLAR</t>
  </si>
  <si>
    <t>CR A-92, 369</t>
  </si>
  <si>
    <t>-2.464583, 37.593694</t>
  </si>
  <si>
    <t>18850</t>
  </si>
  <si>
    <t>07121</t>
  </si>
  <si>
    <t>0183006048</t>
  </si>
  <si>
    <t>E.S.LAYEDRA HH.DUARTE,S.L.</t>
  </si>
  <si>
    <t>AT A-45, 112,500 MD</t>
  </si>
  <si>
    <t>-4.455694, 36.980694</t>
  </si>
  <si>
    <t>11857</t>
  </si>
  <si>
    <t>0183055078</t>
  </si>
  <si>
    <t>E.S. DELTA AMOROS, S.L</t>
  </si>
  <si>
    <t>CL SAN JUAN BOSCO, 44</t>
  </si>
  <si>
    <t>0.745222, 40.715556</t>
  </si>
  <si>
    <t>Box presión, Aspiradores, Solred cheque lavado, Waylet pago en surtidor, Waylet pago en caja</t>
  </si>
  <si>
    <t>02092</t>
  </si>
  <si>
    <t>0183017227</t>
  </si>
  <si>
    <t>E.S. RUIZ, S.A.</t>
  </si>
  <si>
    <t>HARO</t>
  </si>
  <si>
    <t>CL AVENIDA DE LA RIOJA, 4</t>
  </si>
  <si>
    <t>-2.851139, 42.575222</t>
  </si>
  <si>
    <t>26200</t>
  </si>
  <si>
    <t>L-V: 07:00-21:00; S: 09:00-14:00</t>
  </si>
  <si>
    <t>15007</t>
  </si>
  <si>
    <t>0183016633</t>
  </si>
  <si>
    <t>E.S. MIRAMAR,S.L.</t>
  </si>
  <si>
    <t>ALCAZARES, LOS</t>
  </si>
  <si>
    <t>CR N-332, 23,5</t>
  </si>
  <si>
    <t>-0.86175, 37.729333</t>
  </si>
  <si>
    <t>30710</t>
  </si>
  <si>
    <t>Restaurante, Cafetería/Bar, Lavado cepillos, Lavado camiones, Parking turismos, Parking camiones, Zona de descanso, Box presión, Aspiradores, Solred cheque lavado, Waylet pago en caja, Lavados Klin</t>
  </si>
  <si>
    <t>05729</t>
  </si>
  <si>
    <t>0183003136</t>
  </si>
  <si>
    <t>E.S.BLAS DE LA V.SA.</t>
  </si>
  <si>
    <t>VILLALMANZO</t>
  </si>
  <si>
    <t>CR A-1, 203</t>
  </si>
  <si>
    <t>-3.752778, 42.040694</t>
  </si>
  <si>
    <t>09390</t>
  </si>
  <si>
    <t>15433</t>
  </si>
  <si>
    <t>0183014042</t>
  </si>
  <si>
    <t>ES PABLO RODRIGUEZ NOVOA</t>
  </si>
  <si>
    <t>SAN CRISTOBAL DE CEA</t>
  </si>
  <si>
    <t>CR N-525, 260,9  I</t>
  </si>
  <si>
    <t>-7.98825, 42.467583</t>
  </si>
  <si>
    <t>32130</t>
  </si>
  <si>
    <t>L-V: 07:00-23:00; S: 07:00-22:00</t>
  </si>
  <si>
    <t>Cafetería/Bar, Lavado cepillos, Parking turismos, Parking camiones, Zona de descanso, Box presión, Aspiradores, Waylet pago en caja</t>
  </si>
  <si>
    <t>06517</t>
  </si>
  <si>
    <t>0183015866</t>
  </si>
  <si>
    <t>U.S. J.C.BERNARDOS ZAMARRON</t>
  </si>
  <si>
    <t>CHAÑE</t>
  </si>
  <si>
    <t>CR SG-333, 13,7</t>
  </si>
  <si>
    <t>-4.441861, 41.339722</t>
  </si>
  <si>
    <t>40216</t>
  </si>
  <si>
    <t>L-S: 07:00-14:00 y 15:30-21:00; D: 08:00-12:00</t>
  </si>
  <si>
    <t>15895</t>
  </si>
  <si>
    <t>0183017144</t>
  </si>
  <si>
    <t>E.S. SAN JUAN (IBIZA)</t>
  </si>
  <si>
    <t>SAN JUAN BAUTISTA</t>
  </si>
  <si>
    <t>CR C-733, 19,7</t>
  </si>
  <si>
    <t>1.496222, 39.070278</t>
  </si>
  <si>
    <t>07810</t>
  </si>
  <si>
    <t>EFITEC 95 N - España, EFITEC 98 N - España, DIESEL E+ NEO - España, GO-B BONIF - España, Butano 12 Kg (NEL)</t>
  </si>
  <si>
    <t>96955</t>
  </si>
  <si>
    <t>0183133875</t>
  </si>
  <si>
    <t>ES VALDEMENDRAL, SOCIEDAD LIMTIADA</t>
  </si>
  <si>
    <t>TORDESILLAS</t>
  </si>
  <si>
    <t>CR A-62 PK. 147, 00 D</t>
  </si>
  <si>
    <t>-4.945028, 41.517806</t>
  </si>
  <si>
    <t>Zona de descanso, Box presión, Duchas, Waylet pago en surtidor, Waylet pago en caja, Punto recarga eléctrico Repsol</t>
  </si>
  <si>
    <t>33465</t>
  </si>
  <si>
    <t>0183063312</t>
  </si>
  <si>
    <t>ES GALURESA NUEVOS MINISTERIOS</t>
  </si>
  <si>
    <t>CL SALVADOR DE MADARIAGA, S.N.</t>
  </si>
  <si>
    <t>-8.405778, 43.349056</t>
  </si>
  <si>
    <t>94409</t>
  </si>
  <si>
    <t>0183125236</t>
  </si>
  <si>
    <t>E.S. CODETRANS IBERIA SA</t>
  </si>
  <si>
    <t>FINES</t>
  </si>
  <si>
    <t>POL IND LAS CRUCES, PARCELA V4</t>
  </si>
  <si>
    <t>-2.268139, 37.363194</t>
  </si>
  <si>
    <t>04869</t>
  </si>
  <si>
    <t>Restaurante, Cafetería/Bar, Lavado cepillos, Lavado camiones, Parking turismos, Box presión, Aspiradores, Waylet pago en caja</t>
  </si>
  <si>
    <t>0183058866</t>
  </si>
  <si>
    <t>ES GESTION RECURSOS ENERGETICOS GUI</t>
  </si>
  <si>
    <t>CR N-340, 12,3</t>
  </si>
  <si>
    <t>-6.115361, 36.381278</t>
  </si>
  <si>
    <t>L-V: 06:00-22:00; S: 07:00-14:00</t>
  </si>
  <si>
    <t>Lavado camiones, Zona de descanso, Box presión, Aspiradores, Solred cheque lavado, Waylet pago en surtidor, Waylet pago en caja</t>
  </si>
  <si>
    <t>96996</t>
  </si>
  <si>
    <t>0183124510</t>
  </si>
  <si>
    <t>E.S. EL SACRAMENTO</t>
  </si>
  <si>
    <t>CTRA CM-2004 PK 2,6</t>
  </si>
  <si>
    <t>-3.162333, 40.599917</t>
  </si>
  <si>
    <t>Cafetería/Bar, Lavado cepillos, Parking turismos, Zona de descanso, Box presión, Aspiradores, Waylet pago en caja, Adblue Envasado</t>
  </si>
  <si>
    <t>31525</t>
  </si>
  <si>
    <t>0183078054</t>
  </si>
  <si>
    <t>E.S. CARRERO LEON</t>
  </si>
  <si>
    <t>CASTELLAR DE SANTIAG</t>
  </si>
  <si>
    <t>CR CR-611, 0,1</t>
  </si>
  <si>
    <t>-3.281306, 38.540778</t>
  </si>
  <si>
    <t>13750</t>
  </si>
  <si>
    <t>L-S: 07:00-22:30; D: 07:30-22:30</t>
  </si>
  <si>
    <t>03759</t>
  </si>
  <si>
    <t>0183118074</t>
  </si>
  <si>
    <t>E.S. HNOS BAYO ESTACIONES S.L.</t>
  </si>
  <si>
    <t>Ctra. N-342, Pk. 177,6 D</t>
  </si>
  <si>
    <t>-2.775111, 37.493694</t>
  </si>
  <si>
    <t>07358</t>
  </si>
  <si>
    <t>0183007061</t>
  </si>
  <si>
    <t>ES ZOILO RIOS - EL BURGO</t>
  </si>
  <si>
    <t>BURGO DE EBRO, EL</t>
  </si>
  <si>
    <t>CR A-68, 225,2</t>
  </si>
  <si>
    <t>-0.774694, 41.583361</t>
  </si>
  <si>
    <t>50730</t>
  </si>
  <si>
    <t>00616</t>
  </si>
  <si>
    <t>0183050962</t>
  </si>
  <si>
    <t>E.S. LA PANADELLA</t>
  </si>
  <si>
    <t>MONTMANEU</t>
  </si>
  <si>
    <t>CR N-2, 532</t>
  </si>
  <si>
    <t>1.399361, 41.61775</t>
  </si>
  <si>
    <t>08717</t>
  </si>
  <si>
    <t>12433</t>
  </si>
  <si>
    <t>0183061910</t>
  </si>
  <si>
    <t>ES PEDRO SOSA GARCIA</t>
  </si>
  <si>
    <t>AT A-45, 111,500 m.i.</t>
  </si>
  <si>
    <t>-4.464861, 36.986889</t>
  </si>
  <si>
    <t>33863</t>
  </si>
  <si>
    <t>0183118512</t>
  </si>
  <si>
    <t>E.S. SERVICIOS ALCUDIA,S.A. 1</t>
  </si>
  <si>
    <t>PUERTO DE ALCUDIA</t>
  </si>
  <si>
    <t>AV CORNELI ATIC , 5</t>
  </si>
  <si>
    <t>3.123333, 39.843333</t>
  </si>
  <si>
    <t>07410</t>
  </si>
  <si>
    <t>EFITEC 95 N - España, Efitec 95 Premium, EFITEC 98 N - España, Butano 12,5 Kg, DIESEL E+ NEO - España, DIESEL E+10 NEO - España, Butano 6 Kg (K6), Propano 11 Kg, Autogás</t>
  </si>
  <si>
    <t>Restaurante, Cafetería/Bar, Lavado cepillos, Lavado camiones, Parking turismos, Box presión, Aspiradores, Solred cheque lavado, Waylet pago en caja</t>
  </si>
  <si>
    <t>0183002047</t>
  </si>
  <si>
    <t>ES ESTACION DE SERVICIO TOLOCIRIO S</t>
  </si>
  <si>
    <t>TOLOCIRIO</t>
  </si>
  <si>
    <t>CR N-601, 131</t>
  </si>
  <si>
    <t>-4.6495, 41.134167</t>
  </si>
  <si>
    <t>40467</t>
  </si>
  <si>
    <t>97187</t>
  </si>
  <si>
    <t>0183137330</t>
  </si>
  <si>
    <t>ES CARBURANTES Y SERVICIO JOVIPE</t>
  </si>
  <si>
    <t>CR M-505, 5,5</t>
  </si>
  <si>
    <t>11428</t>
  </si>
  <si>
    <t>0183118025</t>
  </si>
  <si>
    <t>E.S. AINGERU GASOLINDEGIA</t>
  </si>
  <si>
    <t>CL AINGERU PASEALEKU, S/N</t>
  </si>
  <si>
    <t>-2.5345, 43.013833</t>
  </si>
  <si>
    <t>33434</t>
  </si>
  <si>
    <t>0183003847</t>
  </si>
  <si>
    <t>E.S.CARB.COSTA LUZ</t>
  </si>
  <si>
    <t>LEPE</t>
  </si>
  <si>
    <t>CR N-431, 686</t>
  </si>
  <si>
    <t>-7.237667, 37.253056</t>
  </si>
  <si>
    <t>21440</t>
  </si>
  <si>
    <t>L-V: 07:30-21:15; S-D: 08:30-21:15</t>
  </si>
  <si>
    <t>97133</t>
  </si>
  <si>
    <t>0183132679</t>
  </si>
  <si>
    <t>E.S. DULANTZI</t>
  </si>
  <si>
    <t>ALEGRIA</t>
  </si>
  <si>
    <t>Kale Gasteiz Bidea 59</t>
  </si>
  <si>
    <t>-2.519194, 42.842917</t>
  </si>
  <si>
    <t>01240</t>
  </si>
  <si>
    <t>Cafetería/Bar, Parking turismos, Aspiradores, Waylet pago en caja</t>
  </si>
  <si>
    <t>96291</t>
  </si>
  <si>
    <t>0183061159</t>
  </si>
  <si>
    <t>ES CEDIJA SL</t>
  </si>
  <si>
    <t>PATERNA DE RIVERA</t>
  </si>
  <si>
    <t>CR CA-5032, 15.92</t>
  </si>
  <si>
    <t>-5.861222, 36.520167</t>
  </si>
  <si>
    <t>11178</t>
  </si>
  <si>
    <t>Parking turismos, Box presión, Duchas, Aspiradores, Solred cheque lavado, Waylet pago en caja, Adblue Envasado</t>
  </si>
  <si>
    <t>15669</t>
  </si>
  <si>
    <t>0183051952</t>
  </si>
  <si>
    <t>CARBURANTES Y SERVICIOS GARCERAN, S</t>
  </si>
  <si>
    <t>ALBERCA, LA</t>
  </si>
  <si>
    <t>CL MU-4F CR.SANTA CATALINA, 2</t>
  </si>
  <si>
    <t>-1.133, 37.946472</t>
  </si>
  <si>
    <t>30150</t>
  </si>
  <si>
    <t>34338</t>
  </si>
  <si>
    <t>0183009026</t>
  </si>
  <si>
    <t>E.S. SAN MARCOS</t>
  </si>
  <si>
    <t>ALMENDRALEJO</t>
  </si>
  <si>
    <t>CR C-422, 57,7</t>
  </si>
  <si>
    <t>-6.417806, 38.687056</t>
  </si>
  <si>
    <t>06200</t>
  </si>
  <si>
    <t>L: 06:30-23:00</t>
  </si>
  <si>
    <t>34041</t>
  </si>
  <si>
    <t>0183000694</t>
  </si>
  <si>
    <t>ES BELLOTA GAS S.L.</t>
  </si>
  <si>
    <t>MIAJADAS</t>
  </si>
  <si>
    <t>CR N-5, PK. 290,8 MI</t>
  </si>
  <si>
    <t>-5.925167, 39.143306</t>
  </si>
  <si>
    <t>10100</t>
  </si>
  <si>
    <t>Lavado cepillos, Parking turismos, Parking camiones, Zona de descanso, Box presión, Duchas, Aspiradores, Solred cheque lavado, Waylet pago en surtidor, Waylet pago en caja</t>
  </si>
  <si>
    <t>05272</t>
  </si>
  <si>
    <t>0183060532</t>
  </si>
  <si>
    <t>COOP. LAS MARISMAS</t>
  </si>
  <si>
    <t>LEBRIJA</t>
  </si>
  <si>
    <t>CL AVENIDA DE ANDALUCIA, S.N.</t>
  </si>
  <si>
    <t>-6.0835, 36.926889</t>
  </si>
  <si>
    <t>41740</t>
  </si>
  <si>
    <t>EFITEC 95 N - España, DIESEL E+ NEO - España, DIESEL E+10 NEO - España, Propano 11 Kg, Butano 12 Kg (NEL)</t>
  </si>
  <si>
    <t>Waylet pago en caja, Adblue Envasado, Punto recarga eléctrico Repsol, Recarga eléctrica</t>
  </si>
  <si>
    <t>05556</t>
  </si>
  <si>
    <t>0183013085</t>
  </si>
  <si>
    <t>E.S.  C Y S LA PALOMA</t>
  </si>
  <si>
    <t>ALMUÑECAR</t>
  </si>
  <si>
    <t>CL AVENIDA SALOBRAÑA, 1</t>
  </si>
  <si>
    <t>-3.687472, 36.736917</t>
  </si>
  <si>
    <t>18690</t>
  </si>
  <si>
    <t>33829</t>
  </si>
  <si>
    <t>0183007269</t>
  </si>
  <si>
    <t>PETRODIS SL</t>
  </si>
  <si>
    <t>GUIJUELO</t>
  </si>
  <si>
    <t>CL FILIBERTO VILLALOBOS, 189  D</t>
  </si>
  <si>
    <t>-5.670556, 40.564361</t>
  </si>
  <si>
    <t>37770</t>
  </si>
  <si>
    <t>03282</t>
  </si>
  <si>
    <t>0183011691</t>
  </si>
  <si>
    <t>E.S. AUTO-SERVI.ROMERO</t>
  </si>
  <si>
    <t>CR N-3, 262</t>
  </si>
  <si>
    <t>-1.213667, 39.563</t>
  </si>
  <si>
    <t>Parking turismos, Parking camiones, Box presión, Solred cheque lavado, Waylet pago en caja, Punto recarga eléctrico Repsol</t>
  </si>
  <si>
    <t>96332</t>
  </si>
  <si>
    <t>0183101518</t>
  </si>
  <si>
    <t>E.S.  RODEO</t>
  </si>
  <si>
    <t>PG P.I. CANTARRANAS, 1</t>
  </si>
  <si>
    <t>-4.741556, 36.668694</t>
  </si>
  <si>
    <t>96184</t>
  </si>
  <si>
    <t>0183079235</t>
  </si>
  <si>
    <t>G.VAQUERO CRUCHET</t>
  </si>
  <si>
    <t>MENTRIDA</t>
  </si>
  <si>
    <t>CR M-610, 6,7</t>
  </si>
  <si>
    <t>-4.189056, 40.242528</t>
  </si>
  <si>
    <t>45930</t>
  </si>
  <si>
    <t>Cafetería/Bar, Lavado cepillos, Parking turismos, Zona de descanso, Box presión, Aspiradores, Solred cheque lavado, Waylet pago en caja, Adblue Envasado, Punto recarga eléctrico Repsol, Lavados Klin</t>
  </si>
  <si>
    <t>31516</t>
  </si>
  <si>
    <t>0183056118</t>
  </si>
  <si>
    <t>E.S. HERRERIA,SA</t>
  </si>
  <si>
    <t>MIRAFLORES DE LA SIERRA</t>
  </si>
  <si>
    <t>CR M-611, 3,1</t>
  </si>
  <si>
    <t>-3.774528, 40.780722</t>
  </si>
  <si>
    <t>28792</t>
  </si>
  <si>
    <t>31086</t>
  </si>
  <si>
    <t>0183015130</t>
  </si>
  <si>
    <t>SIERRA DE AVILA,S.L.</t>
  </si>
  <si>
    <t>MUÑICO</t>
  </si>
  <si>
    <t>CR AV-110, 29  D</t>
  </si>
  <si>
    <t>-5.019667, 40.705694</t>
  </si>
  <si>
    <t>05144</t>
  </si>
  <si>
    <t>L-D: 08:30-21:30</t>
  </si>
  <si>
    <t>05534</t>
  </si>
  <si>
    <t>0183057645</t>
  </si>
  <si>
    <t>E.S.  SAN MIGUEL S.L.</t>
  </si>
  <si>
    <t>BERCEDO DE MONTIJA</t>
  </si>
  <si>
    <t>CR C-629, 60</t>
  </si>
  <si>
    <t>-3.458333, 43.080083</t>
  </si>
  <si>
    <t>09569</t>
  </si>
  <si>
    <t>31309</t>
  </si>
  <si>
    <t>0183009273</t>
  </si>
  <si>
    <t>E.S. JAUCAR S.L.</t>
  </si>
  <si>
    <t>CR C-240, 29</t>
  </si>
  <si>
    <t>1.138806, 41.639833</t>
  </si>
  <si>
    <t>96030</t>
  </si>
  <si>
    <t>0183078906</t>
  </si>
  <si>
    <t>A. DE S. CELEIRO S.L</t>
  </si>
  <si>
    <t>CILLERO</t>
  </si>
  <si>
    <t>CR LU-862  P.K. 87,7 I</t>
  </si>
  <si>
    <t>-7.584972, 43.675278</t>
  </si>
  <si>
    <t>27863</t>
  </si>
  <si>
    <t>15584</t>
  </si>
  <si>
    <t>0183059799</t>
  </si>
  <si>
    <t>VAZQUEZ ALVAREZ,J.</t>
  </si>
  <si>
    <t>CASTRELO DE MIÑO</t>
  </si>
  <si>
    <t>CR OR-402, 23  I</t>
  </si>
  <si>
    <t>32232</t>
  </si>
  <si>
    <t>06041</t>
  </si>
  <si>
    <t>0183075415</t>
  </si>
  <si>
    <t>E.S. GRUPO MAICAS ALIAGA</t>
  </si>
  <si>
    <t>ALIAGA</t>
  </si>
  <si>
    <t>CL MAYOR ALTA, 17</t>
  </si>
  <si>
    <t>-0.696056, 40.680528</t>
  </si>
  <si>
    <t>44150</t>
  </si>
  <si>
    <t>L-V: 08:00-14:00 y 17:00-19:00; S: 09:00-14:00</t>
  </si>
  <si>
    <t>15975</t>
  </si>
  <si>
    <t>0183017771</t>
  </si>
  <si>
    <t>E.S. PINETO,S.L.</t>
  </si>
  <si>
    <t>ESPORLAS</t>
  </si>
  <si>
    <t>CR PM-104, 12,8</t>
  </si>
  <si>
    <t>2.58825, 39.659278</t>
  </si>
  <si>
    <t>07190</t>
  </si>
  <si>
    <t>L-V: 06:30-21:30; S: 07:00-21:00; D: 08:00-21:00</t>
  </si>
  <si>
    <t>97108</t>
  </si>
  <si>
    <t>0183131952</t>
  </si>
  <si>
    <t>ES LAGASE SL</t>
  </si>
  <si>
    <t>FUENSALIDA</t>
  </si>
  <si>
    <t>CR TO-4421 CARRETERA TORRIJOS KM 26</t>
  </si>
  <si>
    <t>-4.215306, 40.043472</t>
  </si>
  <si>
    <t>45510</t>
  </si>
  <si>
    <t>12617</t>
  </si>
  <si>
    <t>0183061274</t>
  </si>
  <si>
    <t>E.S. Z.CANTOS,S.L.</t>
  </si>
  <si>
    <t>TEULADA</t>
  </si>
  <si>
    <t>CL DELS GREMIS, 25-31 (POL. TEULADA</t>
  </si>
  <si>
    <t>0.092111, 38.729361</t>
  </si>
  <si>
    <t>03725</t>
  </si>
  <si>
    <t>Cafetería/Bar, Lavado cepillos, Box presión, Aspiradores, Solred cheque lavado, Waylet pago en caja, Punto recarga eléctrico Repsol</t>
  </si>
  <si>
    <t>97154</t>
  </si>
  <si>
    <t>0183133982</t>
  </si>
  <si>
    <t>ES GRUPO PUJANTE LARROSA</t>
  </si>
  <si>
    <t>BENIEL</t>
  </si>
  <si>
    <t>AVDA JUAN PUJANTE HERNANDEZ</t>
  </si>
  <si>
    <t>-0.995861, 38.044583</t>
  </si>
  <si>
    <t>30130</t>
  </si>
  <si>
    <t>Box presión, Aspiradores, Waylet pago en caja, Recarga eléctrica</t>
  </si>
  <si>
    <t>34068</t>
  </si>
  <si>
    <t>0183054535</t>
  </si>
  <si>
    <t>E.S. ALZ MISLATA PUEBLO</t>
  </si>
  <si>
    <t>CL SAN ANTONIO, 14</t>
  </si>
  <si>
    <t>-0.412528, 39.474278</t>
  </si>
  <si>
    <t>07148</t>
  </si>
  <si>
    <t>0183007038</t>
  </si>
  <si>
    <t>ES HIJOS DE V LOBERA SL</t>
  </si>
  <si>
    <t>URREA DE JALON</t>
  </si>
  <si>
    <t>AV ZARAGOZA 7</t>
  </si>
  <si>
    <t>-1.239167, 41.665806</t>
  </si>
  <si>
    <t>50296</t>
  </si>
  <si>
    <t>L-V: 07:00-22:30; S: 08:00-21:00; D: 09:00-14:00</t>
  </si>
  <si>
    <t>96001</t>
  </si>
  <si>
    <t>0183076066</t>
  </si>
  <si>
    <t>E.S. AVDA. LOS PINOS</t>
  </si>
  <si>
    <t>CL AVDA. LOS PINOS, 4</t>
  </si>
  <si>
    <t>-1.138889, 37.998083</t>
  </si>
  <si>
    <t>Cafetería/Bar, Lavado cepillos, Aspiradores, Solred cheque lavado, Waylet pago en caja, Recarga eléctrica</t>
  </si>
  <si>
    <t>13123</t>
  </si>
  <si>
    <t>0183063072</t>
  </si>
  <si>
    <t>E.S. PETRONANSA S.L.</t>
  </si>
  <si>
    <t>PUENTENANSA</t>
  </si>
  <si>
    <t>CR CA-182, 15,4</t>
  </si>
  <si>
    <t>-4.405361, 43.254194</t>
  </si>
  <si>
    <t>39554</t>
  </si>
  <si>
    <t>L-V: 07:30-22:00; S-D: 09:00-21:00</t>
  </si>
  <si>
    <t>Box presión, Waylet pago en caja, Punto recarga eléctrico Repsol</t>
  </si>
  <si>
    <t>12347</t>
  </si>
  <si>
    <t>0183063015</t>
  </si>
  <si>
    <t>E.S. RUTAVERA, S.L.</t>
  </si>
  <si>
    <t>CABEZUELA DEL VALLE</t>
  </si>
  <si>
    <t>CR N-110, 370,8</t>
  </si>
  <si>
    <t>-5.7965, 40.200778</t>
  </si>
  <si>
    <t>10610</t>
  </si>
  <si>
    <t>33500</t>
  </si>
  <si>
    <t>0183000637</t>
  </si>
  <si>
    <t>E.S.CALATRAVA,S.L.</t>
  </si>
  <si>
    <t>CARRION DE CALATRAVA</t>
  </si>
  <si>
    <t>CR N-430, 317 M IZQ</t>
  </si>
  <si>
    <t>-3.830472, 39.012917</t>
  </si>
  <si>
    <t>13150</t>
  </si>
  <si>
    <t>Restaurante, Cafetería/Bar, Lavado camiones, Parking turismos, Parking camiones, Box presión, Aspiradores, Waylet pago en caja</t>
  </si>
  <si>
    <t>02014</t>
  </si>
  <si>
    <t>0183062884</t>
  </si>
  <si>
    <t>US CUADRADO ALISEDA S.L.</t>
  </si>
  <si>
    <t>CAMPILLO DE LLERENA</t>
  </si>
  <si>
    <t>CR BA-4026, 0,2</t>
  </si>
  <si>
    <t>-5.823806, 38.501222</t>
  </si>
  <si>
    <t>L-V: 08:00-14:00 y 16:00-18:00</t>
  </si>
  <si>
    <t>34474</t>
  </si>
  <si>
    <t>0183000520</t>
  </si>
  <si>
    <t>ES ZOILO RIOS - EL CID</t>
  </si>
  <si>
    <t>CR A-23, 506,5</t>
  </si>
  <si>
    <t>-0.863222, 41.707889</t>
  </si>
  <si>
    <t>50015</t>
  </si>
  <si>
    <t>L-V: 24H; S: 00:00-22:00; D: 06:00-00:00</t>
  </si>
  <si>
    <t>0183120625</t>
  </si>
  <si>
    <t>E.S. HINOJEDO</t>
  </si>
  <si>
    <t>LUARCA</t>
  </si>
  <si>
    <t>AVENIDA BUENAVISTA Nº 7-9</t>
  </si>
  <si>
    <t>-6.534333, 43.541111</t>
  </si>
  <si>
    <t>33700</t>
  </si>
  <si>
    <t>07433</t>
  </si>
  <si>
    <t>0183003151</t>
  </si>
  <si>
    <t>E.S. ALARCON,S,L,</t>
  </si>
  <si>
    <t>CL AVENIDA CALVO SOTELO, 4</t>
  </si>
  <si>
    <t>-1.002111, 38.04575</t>
  </si>
  <si>
    <t>34450</t>
  </si>
  <si>
    <t>0063115570</t>
  </si>
  <si>
    <t>E.S. PUENTE NUEVO</t>
  </si>
  <si>
    <t>CL AVENIDA REYES DE ESPAÑA, 26</t>
  </si>
  <si>
    <t>-5.665667, 40.957167</t>
  </si>
  <si>
    <t>13503</t>
  </si>
  <si>
    <t>0183075365</t>
  </si>
  <si>
    <t>ES ORBITA</t>
  </si>
  <si>
    <t>ORBITA</t>
  </si>
  <si>
    <t>CR N-6, 117</t>
  </si>
  <si>
    <t>-4.658639, 40.998222</t>
  </si>
  <si>
    <t>04533</t>
  </si>
  <si>
    <t>0183054352</t>
  </si>
  <si>
    <t>E.S. ESMO, S.A.</t>
  </si>
  <si>
    <t>CL MARIA DE MOLINA, 21</t>
  </si>
  <si>
    <t>-3.684583, 40.437917</t>
  </si>
  <si>
    <t>28006</t>
  </si>
  <si>
    <t>31556</t>
  </si>
  <si>
    <t>0183062124</t>
  </si>
  <si>
    <t>E.S. TRAMACASTILLA DE TENA</t>
  </si>
  <si>
    <t>SALLENT DE GALLEGO</t>
  </si>
  <si>
    <t>CR A-136, 11</t>
  </si>
  <si>
    <t>-0.308444, 42.716</t>
  </si>
  <si>
    <t>22640</t>
  </si>
  <si>
    <t>15030</t>
  </si>
  <si>
    <t>0183014018</t>
  </si>
  <si>
    <t>E.S.  CARBALLEIRA</t>
  </si>
  <si>
    <t>FONSAGRADA</t>
  </si>
  <si>
    <t>CR LU-530  P.K. 56,80 D</t>
  </si>
  <si>
    <t>-7.069833, 43.121639</t>
  </si>
  <si>
    <t>27100</t>
  </si>
  <si>
    <t>Taller mecánico, Parking turismos, Box presión, Aspiradores, Waylet pago en caja</t>
  </si>
  <si>
    <t>07126</t>
  </si>
  <si>
    <t>0183007319</t>
  </si>
  <si>
    <t>HERMANOS SEVILLA SOSA S.C.</t>
  </si>
  <si>
    <t>ARENAS DE SAN JUAN</t>
  </si>
  <si>
    <t>CR N-420, 252,1</t>
  </si>
  <si>
    <t>-3.4985, 39.241778</t>
  </si>
  <si>
    <t>13679</t>
  </si>
  <si>
    <t>04693</t>
  </si>
  <si>
    <t>0183056449</t>
  </si>
  <si>
    <t>ES GASOLEOS EL GALLEGO OSORNO</t>
  </si>
  <si>
    <t>OSORNO</t>
  </si>
  <si>
    <t>CR N-611, 58,7</t>
  </si>
  <si>
    <t>-4.352722, 42.413694</t>
  </si>
  <si>
    <t>34460</t>
  </si>
  <si>
    <t>L-S: 07:30-22:00; D: 08:00-22:00</t>
  </si>
  <si>
    <t>Taller mecánico, Taller neumáticos, Parking turismos, Parking camiones, Zona de descanso, Box presión, Waylet pago en caja</t>
  </si>
  <si>
    <t>33687</t>
  </si>
  <si>
    <t>0063204465</t>
  </si>
  <si>
    <t>MANUEL TENA SANCHEZ</t>
  </si>
  <si>
    <t>GRANJA DE TORREHERMOSA</t>
  </si>
  <si>
    <t>CR N-432, 154,7</t>
  </si>
  <si>
    <t>-5.607944, 38.304361</t>
  </si>
  <si>
    <t>06910</t>
  </si>
  <si>
    <t>L-S: 07:00-21:00; D: 08:00-14:00</t>
  </si>
  <si>
    <t>Taller mecánico, Taller neumáticos, Parking turismos, Parking camiones, Zona de descanso, Box presión, Aspiradores, Waylet pago en surtidor, Waylet pago en caja</t>
  </si>
  <si>
    <t>00293</t>
  </si>
  <si>
    <t>0183009919</t>
  </si>
  <si>
    <t>A.S. ADOLFO SANCHEZ E HIJOS, S.L.</t>
  </si>
  <si>
    <t>CL AVENIDA CASTILLA LA MANCHA, 79</t>
  </si>
  <si>
    <t>-3.84625, 40.126306</t>
  </si>
  <si>
    <t>L-V: 07:00-22:00; S-D: 08:00-15:00</t>
  </si>
  <si>
    <t>04563</t>
  </si>
  <si>
    <t>0063209043</t>
  </si>
  <si>
    <t>E.S. ZOILO RIOS-EL CISNE</t>
  </si>
  <si>
    <t>CR A-2, 309</t>
  </si>
  <si>
    <t>-1.009972, 41.625083</t>
  </si>
  <si>
    <t>Rest. Autoservicio, Restaurante, Cafetería/Bar, Lavado cepillos, Zona de descanso, Box presión, Duchas, Aspiradores, Solred cheque lavado, Waylet pago en surtidor, Waylet pago en caja</t>
  </si>
  <si>
    <t>10704</t>
  </si>
  <si>
    <t>0183002260</t>
  </si>
  <si>
    <t>R.BERICOCHEA Y 4 MAS</t>
  </si>
  <si>
    <t>CL AVENIDA LOBETE, 46</t>
  </si>
  <si>
    <t>-2.429889, 42.459111</t>
  </si>
  <si>
    <t>26004</t>
  </si>
  <si>
    <t>L-D: 07:00-22:45</t>
  </si>
  <si>
    <t>31140</t>
  </si>
  <si>
    <t>0183017789</t>
  </si>
  <si>
    <t>E.S. SON VENTURA SA</t>
  </si>
  <si>
    <t>SANCELLAS</t>
  </si>
  <si>
    <t>CR PM-302, 9,9</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</si>
  <si>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</si>
  <si>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</si>
  <si>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</si>
  <si>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</si>
  <si>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06736</t>
  </si>
  <si>
    <t>0183056712</t>
  </si>
  <si>
    <t>U.S. LUIS MARIA PAULE PANIAGUA</t>
  </si>
  <si>
    <t>POZUELO DE ZARZON</t>
  </si>
  <si>
    <t>CR C-512, 23,6</t>
  </si>
  <si>
    <t>-6.4145, 40.146139</t>
  </si>
  <si>
    <t>10813</t>
  </si>
  <si>
    <t>10814</t>
  </si>
  <si>
    <t>0183122274</t>
  </si>
  <si>
    <t>E.S. JUAN LUIS PETROLERAS SL</t>
  </si>
  <si>
    <t>BARGAS</t>
  </si>
  <si>
    <t>CRA CM - 4006 P.K. 9,4</t>
  </si>
  <si>
    <t>-4.017222, 39.946667</t>
  </si>
  <si>
    <t>45593</t>
  </si>
  <si>
    <t>Restaurante, Cafetería/Bar, Lavado camiones, Parking turismos, Zona de descanso, Box presión, Aspiradores, Waylet pago en caja</t>
  </si>
  <si>
    <t>11320</t>
  </si>
  <si>
    <t>0183063114</t>
  </si>
  <si>
    <t>E.S. LA CALZADA</t>
  </si>
  <si>
    <t>PRIEGO DE CORDOBA</t>
  </si>
  <si>
    <t>CTRA. A-339 PK 35 PRIEGO-ALMENDINIL</t>
  </si>
  <si>
    <t>-4.112833, 37.436139</t>
  </si>
  <si>
    <t>14800</t>
  </si>
  <si>
    <t>Parking turismos, Aspiradores, Waylet pago en caja, Adblue Envasado</t>
  </si>
  <si>
    <t>03799</t>
  </si>
  <si>
    <t>0183015759</t>
  </si>
  <si>
    <t>PLAZA REPUBLICA ARGENTINA, S.N.</t>
  </si>
  <si>
    <t>-3.68475, 40.445194</t>
  </si>
  <si>
    <t>L-V: 07:00-21:45; S: 08:15-13:45</t>
  </si>
  <si>
    <t>33907</t>
  </si>
  <si>
    <t>0183010669</t>
  </si>
  <si>
    <t>E.S. CARMELIN S.L.</t>
  </si>
  <si>
    <t>CR N-430, 307,3</t>
  </si>
  <si>
    <t>-3.248528, 38.94275</t>
  </si>
  <si>
    <t>L: 06:00-22:30</t>
  </si>
  <si>
    <t>EFITEC 95 N - España, Butano 12,5 Kg, DIESEL E+ NEO - España, DIESEL NEXA 100% RENOVABLE - Esp, BLUE+GRANEL - España</t>
  </si>
  <si>
    <t>Cafetería/Bar, Lavado cepillos, Box presión, Aspiradores, Solred cheque lavado, Waylet pago en surtidor, Waylet pago en caja</t>
  </si>
  <si>
    <t>33751</t>
  </si>
  <si>
    <t>0183003243</t>
  </si>
  <si>
    <t>CL AVENIDA DE BUENOS AIRES, S.N.</t>
  </si>
  <si>
    <t>-8.111722, 42.655056</t>
  </si>
  <si>
    <t>EFITEC 95 N - España, EFITEC 98 N - España, DIESEL E+ NEO - España, DIESEL E+10 NEO - España, GO-B BONIF - España, Propano 11 Kg, Autogás, Butano 12 Kg (NEL)</t>
  </si>
  <si>
    <t>12624</t>
  </si>
  <si>
    <t>0183138114</t>
  </si>
  <si>
    <t>ES GASOLINERA GERENA SL</t>
  </si>
  <si>
    <t>CALLE PUENTE SIN BARANDA (DEL) 0</t>
  </si>
  <si>
    <t>-6.162472, 37.52775</t>
  </si>
  <si>
    <t>33944</t>
  </si>
  <si>
    <t>0183009521</t>
  </si>
  <si>
    <t>ES ALHANDIGA GESTION Y SERVICIOS SL</t>
  </si>
  <si>
    <t>CR N-620, 307  D</t>
  </si>
  <si>
    <t>-6.399417, 40.708667</t>
  </si>
  <si>
    <t>L-V: 08:00-22:00; S-D: 08:00-15:00</t>
  </si>
  <si>
    <t>Duchas, Waylet pago en caja</t>
  </si>
  <si>
    <t>96217</t>
  </si>
  <si>
    <t>0183076850</t>
  </si>
  <si>
    <t>AREA EUROTRAK</t>
  </si>
  <si>
    <t>CR A-2, 513,8</t>
  </si>
  <si>
    <t>1.211083, 41.666028</t>
  </si>
  <si>
    <t>Rest. Autoservicio, Restaurante, Cafetería/Bar, Parking turismos, Parking camiones, Zona de descanso, Duchas, Lavandería, Waylet pago en caja, Punto recarga eléctrico Repsol, Recarga eléctrica</t>
  </si>
  <si>
    <t>13029</t>
  </si>
  <si>
    <t>0183061654</t>
  </si>
  <si>
    <t>FEBRER 15</t>
  </si>
  <si>
    <t>CL BARTOLOME OLIVER 2</t>
  </si>
  <si>
    <t>2.714194, 39.572528</t>
  </si>
  <si>
    <t>96108</t>
  </si>
  <si>
    <t>0183079698</t>
  </si>
  <si>
    <t>E.S. GLEM SL ELCHE</t>
  </si>
  <si>
    <t>CAMINO VIEJO ELCHE-SANTA POLA (F</t>
  </si>
  <si>
    <t>-0.678278, 38.257917</t>
  </si>
  <si>
    <t>14001</t>
  </si>
  <si>
    <t>0183076785</t>
  </si>
  <si>
    <t>E.S. ORPINSOIL SL</t>
  </si>
  <si>
    <t>NAVALCARNERO</t>
  </si>
  <si>
    <t>CR M-600, 45,8</t>
  </si>
  <si>
    <t>-4.0115, 40.326472</t>
  </si>
  <si>
    <t>28600</t>
  </si>
  <si>
    <t>Parking turismos, Parking camiones, Zona de descanso, Box presión, Aspiradores, Waylet pago en surtidor, Waylet pago en caja</t>
  </si>
  <si>
    <t>15367</t>
  </si>
  <si>
    <t>0183019595</t>
  </si>
  <si>
    <t>E.S. CORTÉS VARELA, S.L.</t>
  </si>
  <si>
    <t>CARBALLIÑO, O</t>
  </si>
  <si>
    <t>CR RIBADAVIA 57</t>
  </si>
  <si>
    <t>-8.078639, 42.425556</t>
  </si>
  <si>
    <t>32500</t>
  </si>
  <si>
    <t>07352</t>
  </si>
  <si>
    <t>0183011089</t>
  </si>
  <si>
    <t>CABEZO CORTADO</t>
  </si>
  <si>
    <t>CR N-301  (ESPINARDO), PK. 388</t>
  </si>
  <si>
    <t>-1.160694, 38.020417</t>
  </si>
  <si>
    <t>96788</t>
  </si>
  <si>
    <t>0183117233</t>
  </si>
  <si>
    <t>ES PAFER ZALLA SL</t>
  </si>
  <si>
    <t>SANTURCE</t>
  </si>
  <si>
    <t>CL POLIG.IND. BALPARDA EL ARBOL , 2</t>
  </si>
  <si>
    <t>-3.045972, 43.319639</t>
  </si>
  <si>
    <t>48980</t>
  </si>
  <si>
    <t>15228</t>
  </si>
  <si>
    <t>0183010941</t>
  </si>
  <si>
    <t>E.S. COMBUSTIBLES LA HITA,S.L.</t>
  </si>
  <si>
    <t>CR F-36, 1,0</t>
  </si>
  <si>
    <t>-0.952389, 37.733111</t>
  </si>
  <si>
    <t>02704</t>
  </si>
  <si>
    <t>0183063221</t>
  </si>
  <si>
    <t>ES HIJOS DE JOAQUIN DOMINGUEZ SL</t>
  </si>
  <si>
    <t>SANTAELLA</t>
  </si>
  <si>
    <t>CL CIRCUNVALACION, S.N.</t>
  </si>
  <si>
    <t>-4.842472, 37.570278</t>
  </si>
  <si>
    <t>14546</t>
  </si>
  <si>
    <t>92892</t>
  </si>
  <si>
    <t>0183137686</t>
  </si>
  <si>
    <t>ES GUREAK NAVARRA SLU</t>
  </si>
  <si>
    <t>ALSASUA</t>
  </si>
  <si>
    <t>AVDA. PAMPLONA, 24</t>
  </si>
  <si>
    <t>-2.16075, 42.891</t>
  </si>
  <si>
    <t>31800</t>
  </si>
  <si>
    <t>Parking turismos, Aspiradores, Waylet pago en caja, Recarga eléctrica</t>
  </si>
  <si>
    <t>33058</t>
  </si>
  <si>
    <t>0183018027</t>
  </si>
  <si>
    <t>ES HAMIGO ESTACIONES DE SERVICIO S.</t>
  </si>
  <si>
    <t>CL AVENIDA PALENCIA, 33</t>
  </si>
  <si>
    <t>-4.717556, 41.661</t>
  </si>
  <si>
    <t>47010</t>
  </si>
  <si>
    <t>33140</t>
  </si>
  <si>
    <t>0183011725</t>
  </si>
  <si>
    <t>ES GASOLEOS CHICHARRO SL</t>
  </si>
  <si>
    <t>LOS YEBENES</t>
  </si>
  <si>
    <t>CR N-401A, 114,7</t>
  </si>
  <si>
    <t>-3.867389, 39.574111</t>
  </si>
  <si>
    <t>Zona de descanso, Waylet pago en caja, Adblue Envasado</t>
  </si>
  <si>
    <t>05615</t>
  </si>
  <si>
    <t>0183104652</t>
  </si>
  <si>
    <t>E.S. H.LOPEZ E HIJOS</t>
  </si>
  <si>
    <t>ARCHENA</t>
  </si>
  <si>
    <t>CL AVENIDA MARIO SPREAFICO, 38</t>
  </si>
  <si>
    <t>-1.285417, 38.116861</t>
  </si>
  <si>
    <t>30600</t>
  </si>
  <si>
    <t>93395</t>
  </si>
  <si>
    <t>0183137926</t>
  </si>
  <si>
    <t>AREA DE SERVICIO ABAVIDES SL</t>
  </si>
  <si>
    <t>AU A-52 PK 188,00 D</t>
  </si>
  <si>
    <t>-7.665611, 42.058583</t>
  </si>
  <si>
    <t>34443</t>
  </si>
  <si>
    <t>0183051903</t>
  </si>
  <si>
    <t>COMERCIAL HERPE, S.A</t>
  </si>
  <si>
    <t>PUEBLA DE OBANDO</t>
  </si>
  <si>
    <t>CR EX-100, 40,6</t>
  </si>
  <si>
    <t>-6.620972, 39.175361</t>
  </si>
  <si>
    <t>06191</t>
  </si>
  <si>
    <t>01490</t>
  </si>
  <si>
    <t>0183137363</t>
  </si>
  <si>
    <t>COMBUSTIBLES Y SERVICIOS VINROMA SL</t>
  </si>
  <si>
    <t>SAN MATEO</t>
  </si>
  <si>
    <t>AVDA. CONSTITUCION, 50</t>
  </si>
  <si>
    <t>0.179944, 40.458194</t>
  </si>
  <si>
    <t>12170</t>
  </si>
  <si>
    <t>Lavado camiones, Box presión, Aspiradores, Waylet pago en caja</t>
  </si>
  <si>
    <t>31611</t>
  </si>
  <si>
    <t>0183077593</t>
  </si>
  <si>
    <t>E.S. GB PARKING LA REDONDA SL</t>
  </si>
  <si>
    <t>LAUJAR DE ANDARAX</t>
  </si>
  <si>
    <t>CR A-358, 95,7</t>
  </si>
  <si>
    <t>-2.911278, 36.988611</t>
  </si>
  <si>
    <t>04470</t>
  </si>
  <si>
    <t>L-D: 07:00-14:00</t>
  </si>
  <si>
    <t>01469</t>
  </si>
  <si>
    <t>0183118629</t>
  </si>
  <si>
    <t>ES PIO XII</t>
  </si>
  <si>
    <t>CL PIO XII ,10</t>
  </si>
  <si>
    <t>-0.392083, 39.481417</t>
  </si>
  <si>
    <t>46009</t>
  </si>
  <si>
    <t>96540</t>
  </si>
  <si>
    <t>0183107218</t>
  </si>
  <si>
    <t>ESTACIO DE SERVEI VILADEMULS, SL</t>
  </si>
  <si>
    <t>VILADEMULS</t>
  </si>
  <si>
    <t>CR N-2, 731</t>
  </si>
  <si>
    <t>2.888639, 42.086583</t>
  </si>
  <si>
    <t>17468</t>
  </si>
  <si>
    <t>Rest. Autoservicio, Restaurante, Parking turismos, Parking camiones, Duchas, Waylet pago en surtidor, Waylet pago en caja</t>
  </si>
  <si>
    <t>33881</t>
  </si>
  <si>
    <t>0183013507</t>
  </si>
  <si>
    <t>SANTA ANA</t>
  </si>
  <si>
    <t>CL AVDA. PRINCIPE, 4</t>
  </si>
  <si>
    <t>-1.994028, 38.900944</t>
  </si>
  <si>
    <t>02328</t>
  </si>
  <si>
    <t>34284</t>
  </si>
  <si>
    <t>0183076330</t>
  </si>
  <si>
    <t>E.S. VILLARCE VITORIA</t>
  </si>
  <si>
    <t>CL GLORIETA LOGROÑO, S.N.</t>
  </si>
  <si>
    <t>-3.677917, 42.34875</t>
  </si>
  <si>
    <t>04140</t>
  </si>
  <si>
    <t>0183060342</t>
  </si>
  <si>
    <t>CL ALMAGRO, 7 A</t>
  </si>
  <si>
    <t>-3.694194, 40.429194</t>
  </si>
  <si>
    <t>05619</t>
  </si>
  <si>
    <t>0183137793</t>
  </si>
  <si>
    <t>ES PUENTE LA REINA</t>
  </si>
  <si>
    <t>PUENTE LA REINA</t>
  </si>
  <si>
    <t>PASEO FRAY VICENTE BERNEDO</t>
  </si>
  <si>
    <t>-1.815611, 42.670611</t>
  </si>
  <si>
    <t>31100</t>
  </si>
  <si>
    <t>15290</t>
  </si>
  <si>
    <t>0183110873</t>
  </si>
  <si>
    <t>E.S. POSADA LA MORRA S.L.</t>
  </si>
  <si>
    <t>POSADA DE LLANERA</t>
  </si>
  <si>
    <t>CR AS-17 AVILES-P.TARNA, 18,6</t>
  </si>
  <si>
    <t>-5.841833, 43.432167</t>
  </si>
  <si>
    <t>33437</t>
  </si>
  <si>
    <t>0183007731</t>
  </si>
  <si>
    <t>HIDROCARBUROS DEL NORTE, S.L.</t>
  </si>
  <si>
    <t>NIEVES, LAS</t>
  </si>
  <si>
    <t>CR L-141 CABAÑAS-AS PONTES, 11</t>
  </si>
  <si>
    <t>-8.065056, 43.436167</t>
  </si>
  <si>
    <t>15613</t>
  </si>
  <si>
    <t>Taller neumáticos, Box presión, Aspiradores, Solred cheque lavado, Waylet pago en surtidor, Waylet pago en caja</t>
  </si>
  <si>
    <t>96497</t>
  </si>
  <si>
    <t>0183107119</t>
  </si>
  <si>
    <t>ES MOLANDRI SL</t>
  </si>
  <si>
    <t>CL HERMANOS LUMIERE, SN</t>
  </si>
  <si>
    <t>-4.461806, 36.694306</t>
  </si>
  <si>
    <t>L-V: 06:15-21:45; S: 09:00-17:45</t>
  </si>
  <si>
    <t>Cafetería/Bar, Lavado cepillos, Parking turismos, Zona de descanso, Aspiradores, Solred cheque lavado, Waylet pago en surtidor, Waylet pago en caja, Adblue Envasado, Punto recarga eléctrico Repsol, Lavados Klin</t>
  </si>
  <si>
    <t>05578</t>
  </si>
  <si>
    <t>0183014901</t>
  </si>
  <si>
    <t>E.S.PETROSIF 2006 ,S.L.</t>
  </si>
  <si>
    <t>ESQUEDAS-HUESCA</t>
  </si>
  <si>
    <t>CR N-240, 226</t>
  </si>
  <si>
    <t>-0.548472, 42.211917</t>
  </si>
  <si>
    <t>22810</t>
  </si>
  <si>
    <t>L-V: 06:30-22:00; S-D: 07:30-22:00</t>
  </si>
  <si>
    <t>Lavado camiones, Zona de descanso, Box presión, Aspiradores, Waylet pago en caja</t>
  </si>
  <si>
    <t>92447</t>
  </si>
  <si>
    <t>0183134972</t>
  </si>
  <si>
    <t>E.S. LA MALLADA, S.L.</t>
  </si>
  <si>
    <t>CAMARLES</t>
  </si>
  <si>
    <t>CR N-340, PK. 1089,7</t>
  </si>
  <si>
    <t>0.64125, 40.762278</t>
  </si>
  <si>
    <t>43894</t>
  </si>
  <si>
    <t>04566</t>
  </si>
  <si>
    <t>0183001098</t>
  </si>
  <si>
    <t>E.S. BLANCA PALOMA</t>
  </si>
  <si>
    <t>ALMONTE</t>
  </si>
  <si>
    <t>CL RAFAEL ALBERTI Nº 7</t>
  </si>
  <si>
    <t>-6.523222, 37.263639</t>
  </si>
  <si>
    <t>21730</t>
  </si>
  <si>
    <t>96991</t>
  </si>
  <si>
    <t>0183125434</t>
  </si>
  <si>
    <t>E.S. FASANCORT SL</t>
  </si>
  <si>
    <t>A-7, pk 459,8 MI</t>
  </si>
  <si>
    <t>-2.336444, 36.875028</t>
  </si>
  <si>
    <t>Restaurante, Cafetería/Bar, Lavado cepillos, Lavado camiones, Parking turismos, Parking camiones, Zona de descanso, Box presión, Duchas, Aspiradores, Solred cheque lavado, Waylet pago en caja, Lavados Klin, Recarga eléctrica</t>
  </si>
  <si>
    <t>96654</t>
  </si>
  <si>
    <t>0183111160</t>
  </si>
  <si>
    <t>E.S. LA CAÑIZA</t>
  </si>
  <si>
    <t>CR  N-120 KM 613,70 M.I.</t>
  </si>
  <si>
    <t>-8.268056, 42.215667</t>
  </si>
  <si>
    <t>33231</t>
  </si>
  <si>
    <t>0183012418</t>
  </si>
  <si>
    <t>E.S.SANCHEZ MUÑOZ</t>
  </si>
  <si>
    <t>L¿ ESCALA</t>
  </si>
  <si>
    <t>CL CLOSA D,EN LLOP, 2</t>
  </si>
  <si>
    <t>3.123222, 42.124972</t>
  </si>
  <si>
    <t>17130</t>
  </si>
  <si>
    <t>02033</t>
  </si>
  <si>
    <t>0183062900</t>
  </si>
  <si>
    <t>US GASOLINERA MORECALA OLIVENZA SL</t>
  </si>
  <si>
    <t>OLIVENZA</t>
  </si>
  <si>
    <t>CR C-436 23,8</t>
  </si>
  <si>
    <t>-7.094972, 38.68775</t>
  </si>
  <si>
    <t>06100</t>
  </si>
  <si>
    <t>12693</t>
  </si>
  <si>
    <t>0183060649</t>
  </si>
  <si>
    <t>BAÑOS Y MENDIGO</t>
  </si>
  <si>
    <t>CR N-301, 410</t>
  </si>
  <si>
    <t>-1.130028, 37.869944</t>
  </si>
  <si>
    <t>30155</t>
  </si>
  <si>
    <t>Lavado cepillos, Parking turismos, Parking camiones, Box presión, Duchas, Aspiradores, Solred cheque lavado, Waylet pago en caja, Punto recarga eléctrico Repsol</t>
  </si>
  <si>
    <t>33755</t>
  </si>
  <si>
    <t>0063198865</t>
  </si>
  <si>
    <t>E.S. ISMAEL MEJIAS GONZALEZ</t>
  </si>
  <si>
    <t>VILLAMARTIN</t>
  </si>
  <si>
    <t>CR N-342, 52</t>
  </si>
  <si>
    <t>-5.65225, 36.855833</t>
  </si>
  <si>
    <t>11650</t>
  </si>
  <si>
    <t>Lavado cepillos, Box presión, Waylet pago en caja, Punto recarga eléctrico Repsol</t>
  </si>
  <si>
    <t>11879</t>
  </si>
  <si>
    <t>0183058320</t>
  </si>
  <si>
    <t>CR N-4, 335,5</t>
  </si>
  <si>
    <t>-4.165944, 38.027083</t>
  </si>
  <si>
    <t>33181</t>
  </si>
  <si>
    <t>0183004563</t>
  </si>
  <si>
    <t>CARABANCHEL AUTO S.L</t>
  </si>
  <si>
    <t>CL ANTONIO LOPEZ, 244</t>
  </si>
  <si>
    <t>-3.695944, 40.383556</t>
  </si>
  <si>
    <t>Lavado cepillos, Lavado camiones, Box presión, Aspiradores, Solred cheque lavado, Waylet pago en caja, Punto recarga eléctrico Repsol</t>
  </si>
  <si>
    <t>92455</t>
  </si>
  <si>
    <t>0183112028</t>
  </si>
  <si>
    <t>E.S. VIRGEN DEL ROCIO,S.L.</t>
  </si>
  <si>
    <t>CR  A-384 P.K. 23,5</t>
  </si>
  <si>
    <t>-5.610472, 36.863806</t>
  </si>
  <si>
    <t>Lavado cepillos, Lavado camiones, Parking turismos, Parking camiones, Zona de descanso, Box presión, Aspiradores, Solred cheque lavado, Waylet pago en surtidor, Waylet pago en caja, Lavados Klin</t>
  </si>
  <si>
    <t>07480</t>
  </si>
  <si>
    <t>0183058973</t>
  </si>
  <si>
    <t>E.S. CASTELLAR</t>
  </si>
  <si>
    <t>VILLARRUBIA DE SANTIAGO</t>
  </si>
  <si>
    <t>CR N-400A, 63,2</t>
  </si>
  <si>
    <t>-3.370111, 39.983472</t>
  </si>
  <si>
    <t>45360</t>
  </si>
  <si>
    <t>01992</t>
  </si>
  <si>
    <t>0183061688</t>
  </si>
  <si>
    <t>U.S. JOSE A. LIMA CHAVES</t>
  </si>
  <si>
    <t>BURGUILLOS DEL CERRO</t>
  </si>
  <si>
    <t>CR BA-4311, 8,5</t>
  </si>
  <si>
    <t>-6.585944, 38.381611</t>
  </si>
  <si>
    <t>06370</t>
  </si>
  <si>
    <t>12714</t>
  </si>
  <si>
    <t>0183062157</t>
  </si>
  <si>
    <t>E.S. ASTIGI IBERICA SL I</t>
  </si>
  <si>
    <t>CR C-430, 1</t>
  </si>
  <si>
    <t>-5.045472, 37.54875</t>
  </si>
  <si>
    <t>15976</t>
  </si>
  <si>
    <t>0183101211</t>
  </si>
  <si>
    <t>E.S. SEREXMART</t>
  </si>
  <si>
    <t>MUÑANA</t>
  </si>
  <si>
    <t>CR N-110, 285  D</t>
  </si>
  <si>
    <t>-5.014111, 40.580417</t>
  </si>
  <si>
    <t>34617</t>
  </si>
  <si>
    <t>0183058528</t>
  </si>
  <si>
    <t>E.S. ANTINEA</t>
  </si>
  <si>
    <t>CR M-607, 29,8</t>
  </si>
  <si>
    <t>-3.73675, 40.652111</t>
  </si>
  <si>
    <t>34079</t>
  </si>
  <si>
    <t>0183005230</t>
  </si>
  <si>
    <t>E.S.FIGRAN,S.L.</t>
  </si>
  <si>
    <t>BEMBIBRE</t>
  </si>
  <si>
    <t>CR N-6, 368</t>
  </si>
  <si>
    <t>-6.401389, 42.608861</t>
  </si>
  <si>
    <t>24300</t>
  </si>
  <si>
    <t>L-X: 08:00-15:00; V: 08:00-15:00; S: 09:00-14:00</t>
  </si>
  <si>
    <t>11258</t>
  </si>
  <si>
    <t>0183006634</t>
  </si>
  <si>
    <t>E.S.GRANADA PENEDES</t>
  </si>
  <si>
    <t>GRANADA, LA</t>
  </si>
  <si>
    <t>CR C-243, 7,5</t>
  </si>
  <si>
    <t>1.730583, 41.377889</t>
  </si>
  <si>
    <t>08792</t>
  </si>
  <si>
    <t>03554</t>
  </si>
  <si>
    <t>0183061449</t>
  </si>
  <si>
    <t>E.S. INTERNACIONAL S.L</t>
  </si>
  <si>
    <t>CL AVENIDA LA PAZ, 33</t>
  </si>
  <si>
    <t>-0.413, 42.142639</t>
  </si>
  <si>
    <t>05883</t>
  </si>
  <si>
    <t>0183012434</t>
  </si>
  <si>
    <t>E.S. S.ABDON Y S.SENEN</t>
  </si>
  <si>
    <t>ALMORADI</t>
  </si>
  <si>
    <t>CR A-210, 14,2</t>
  </si>
  <si>
    <t>-0.797083, 38.104778</t>
  </si>
  <si>
    <t>03160</t>
  </si>
  <si>
    <t>33324</t>
  </si>
  <si>
    <t>0183135169</t>
  </si>
  <si>
    <t>ES JUMILLAGAS 2016, S.L.</t>
  </si>
  <si>
    <t>JUMILLA-A</t>
  </si>
  <si>
    <t>AVDA DE YECLA, 48</t>
  </si>
  <si>
    <t>-1.238306, 38.410611</t>
  </si>
  <si>
    <t>Waylet pago en caja, Recarga eléctrica</t>
  </si>
  <si>
    <t>97036</t>
  </si>
  <si>
    <t>0183125491</t>
  </si>
  <si>
    <t>E.S. CALLOSA DE SEGURA</t>
  </si>
  <si>
    <t>CR-CV913, KM 1</t>
  </si>
  <si>
    <t>-0.867333, 38.125694</t>
  </si>
  <si>
    <t>33893</t>
  </si>
  <si>
    <t>0063205405</t>
  </si>
  <si>
    <t>E.S. MARIA DOLORES MURILLO NAVARRO</t>
  </si>
  <si>
    <t>SANTA AMALIA</t>
  </si>
  <si>
    <t>CR N-430, 92,3</t>
  </si>
  <si>
    <t>-6.006278, 39.007111</t>
  </si>
  <si>
    <t>06410</t>
  </si>
  <si>
    <t>05457</t>
  </si>
  <si>
    <t>0183001973</t>
  </si>
  <si>
    <t>E.S. S. FUERTES S.L.</t>
  </si>
  <si>
    <t>TORAL DE LOS GUZMANES</t>
  </si>
  <si>
    <t>CR N-630, 186</t>
  </si>
  <si>
    <t>-5.570611, 42.241972</t>
  </si>
  <si>
    <t>24237</t>
  </si>
  <si>
    <t>L-V: 08:00-22:00; S: 08:00-15:00; D: 08:00-22:00</t>
  </si>
  <si>
    <t>Parking turismos, Parking camiones, Aspiradores, Waylet pago en caja, Adblue Envasado</t>
  </si>
  <si>
    <t>13316</t>
  </si>
  <si>
    <t>0183062066</t>
  </si>
  <si>
    <t>E.S. G.R.A. BLANCO I. Y SEVARES</t>
  </si>
  <si>
    <t>SEVARES</t>
  </si>
  <si>
    <t>CR N-634, 353,7</t>
  </si>
  <si>
    <t>-5.271472, 43.365861</t>
  </si>
  <si>
    <t>05974</t>
  </si>
  <si>
    <t>0183051564</t>
  </si>
  <si>
    <t>GALURESA FONTECULLER</t>
  </si>
  <si>
    <t>FONTE CULLER</t>
  </si>
  <si>
    <t>AV DE FONTECULLER, S.N.</t>
  </si>
  <si>
    <t>-8.381111, 43.324139</t>
  </si>
  <si>
    <t>15174</t>
  </si>
  <si>
    <t>L-J: 07:00-20:00; S: 07:00-20:00</t>
  </si>
  <si>
    <t>96144</t>
  </si>
  <si>
    <t>0183079177</t>
  </si>
  <si>
    <t>AREA SERVICIO POIO</t>
  </si>
  <si>
    <t>POIO</t>
  </si>
  <si>
    <t>CR C-550, 77,1</t>
  </si>
  <si>
    <t>-8.673583, 42.436472</t>
  </si>
  <si>
    <t>36994</t>
  </si>
  <si>
    <t>Lavado cepillos, Parking turismos, Box presión, Solred cheque lavado, Waylet pago en caja, Punto recarga eléctrico Repsol</t>
  </si>
  <si>
    <t>94206</t>
  </si>
  <si>
    <t>0183129543</t>
  </si>
  <si>
    <t>ES PROVALEST SL</t>
  </si>
  <si>
    <t>AVDA AUSIAS MARCH 118</t>
  </si>
  <si>
    <t>-0.369806, 39.445111</t>
  </si>
  <si>
    <t>46026</t>
  </si>
  <si>
    <t>15091</t>
  </si>
  <si>
    <t>0183010461</t>
  </si>
  <si>
    <t>E.S. MOLLABAO S.L.</t>
  </si>
  <si>
    <t>CL ROSALIA DE CASTRO, 54</t>
  </si>
  <si>
    <t>-8.659778, 42.421333</t>
  </si>
  <si>
    <t>36001</t>
  </si>
  <si>
    <t>Taller mecánico, Taller neumáticos, Lavado cepillos, Box presión, Aspiradores, Solred cheque lavado, Waylet pago en caja, Adblue Envasado, Punto recarga eléctrico Repsol</t>
  </si>
  <si>
    <t>33997</t>
  </si>
  <si>
    <t>0183007384</t>
  </si>
  <si>
    <t>ES TAIRIS GESTION SERVICIOS SLU</t>
  </si>
  <si>
    <t>VILLANUA</t>
  </si>
  <si>
    <t>CR N-330, PK. 658,3</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</si>
  <si>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</si>
  <si>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</si>
  <si>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</si>
  <si>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</si>
  <si>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07576</t>
  </si>
  <si>
    <t>0183014349</t>
  </si>
  <si>
    <t>ES SANTOME GONZALEZ JULIO JOSE</t>
  </si>
  <si>
    <t>FERREIRA DE PANTON</t>
  </si>
  <si>
    <t>CR C-546, 69,1</t>
  </si>
  <si>
    <t>-7.628056, 42.504861</t>
  </si>
  <si>
    <t>27430</t>
  </si>
  <si>
    <t>EFITEC 95 N - España, EFITEC 98 N - España, DIESEL E+ NEO - España, Propano 11 Kg, Butano 12 Kg (NEL)</t>
  </si>
  <si>
    <t>12134</t>
  </si>
  <si>
    <t>0183059732</t>
  </si>
  <si>
    <t>FEBRER 09</t>
  </si>
  <si>
    <t>CL GREMI SUCRERS Y CANDELERS, 5</t>
  </si>
  <si>
    <t>2.656056, 39.606667</t>
  </si>
  <si>
    <t>EFITEC 95 N - España, Efitec 95 Premium, EFITEC 98 N - España, DIESEL E+ NEO - España, DIESEL NEXA 100% RENOVABLE - Esp, Gasóleo C, Butano 6 Kg (K6), BLUE+GRANEL - España, Autogás</t>
  </si>
  <si>
    <t>96832</t>
  </si>
  <si>
    <t>0183116706</t>
  </si>
  <si>
    <t>E.S. ALFRESNO 23 ,S.A.</t>
  </si>
  <si>
    <t>CL BARLOVENTO,  nº 30 (CENTRO COMER</t>
  </si>
  <si>
    <t>-3.798278, 40.420028</t>
  </si>
  <si>
    <t>02607</t>
  </si>
  <si>
    <t>0183113729</t>
  </si>
  <si>
    <t>ES GEMA MARÍA GONZALEZ MOLINA</t>
  </si>
  <si>
    <t>VILLAVICIOSA DE CORD</t>
  </si>
  <si>
    <t>CR CO-110, 42</t>
  </si>
  <si>
    <t>-5.010528, 38.074278</t>
  </si>
  <si>
    <t>14300</t>
  </si>
  <si>
    <t>05678</t>
  </si>
  <si>
    <t>0183063676</t>
  </si>
  <si>
    <t>E.S. AMALIO GARCIA RABADAN</t>
  </si>
  <si>
    <t>URDA</t>
  </si>
  <si>
    <t>CR TO-233, 10,7</t>
  </si>
  <si>
    <t>-3.7085, 39.418833</t>
  </si>
  <si>
    <t>45480</t>
  </si>
  <si>
    <t>15173</t>
  </si>
  <si>
    <t>0183004811</t>
  </si>
  <si>
    <t>E.S.  EL MORCHE</t>
  </si>
  <si>
    <t>TORROX</t>
  </si>
  <si>
    <t>CR N-340, 282</t>
  </si>
  <si>
    <t>-3.978472, 36.734944</t>
  </si>
  <si>
    <t>29770</t>
  </si>
  <si>
    <t>L-V: 08:00-21:00; S: 08:00-14:00</t>
  </si>
  <si>
    <t>15768</t>
  </si>
  <si>
    <t>0183057082</t>
  </si>
  <si>
    <t>E.S. LEVANTINA DE COMBUST.</t>
  </si>
  <si>
    <t>NOVELDA</t>
  </si>
  <si>
    <t>AVDA. PEREZ GALDOS, 2</t>
  </si>
  <si>
    <t>-0.758389, 38.386417</t>
  </si>
  <si>
    <t>03660</t>
  </si>
  <si>
    <t>L-S: 06:00-21:00; D: 07:00-15:00</t>
  </si>
  <si>
    <t>11290</t>
  </si>
  <si>
    <t>0183017375</t>
  </si>
  <si>
    <t>E.S. DULCE NOMBRE II</t>
  </si>
  <si>
    <t>SANGONERA LA VERDE</t>
  </si>
  <si>
    <t>CR MU-603, 5,1</t>
  </si>
  <si>
    <t>-1.218583, 37.928694</t>
  </si>
  <si>
    <t>30833</t>
  </si>
  <si>
    <t>33330</t>
  </si>
  <si>
    <t>0183011493</t>
  </si>
  <si>
    <t>ES O COTELIÑO SL</t>
  </si>
  <si>
    <t>CERDEDO</t>
  </si>
  <si>
    <t>CR N-541 65</t>
  </si>
  <si>
    <t>-8.40525, 42.532444</t>
  </si>
  <si>
    <t>36130</t>
  </si>
  <si>
    <t>34330</t>
  </si>
  <si>
    <t>0183015767</t>
  </si>
  <si>
    <t>E.S. EXPLOT. DE GASOLINERAS,S.L.</t>
  </si>
  <si>
    <t>OURAL</t>
  </si>
  <si>
    <t>CR C-546, 33,7</t>
  </si>
  <si>
    <t>-7.44575, 42.719778</t>
  </si>
  <si>
    <t>27392</t>
  </si>
  <si>
    <t>06337</t>
  </si>
  <si>
    <t>0183052810</t>
  </si>
  <si>
    <t>ES GDC365 SL</t>
  </si>
  <si>
    <t>CR N-541, 28  I</t>
  </si>
  <si>
    <t>-8.090444, 42.429639</t>
  </si>
  <si>
    <t>Restaurante, Cafetería/Bar, Lavado cepillos, Parking turismos, Zona de descanso, Box presión, Aspiradores, Solred cheque lavado, Waylet pago en caja, Adblue Envasado, Punto recarga eléctrico Repsol</t>
  </si>
  <si>
    <t>96134</t>
  </si>
  <si>
    <t>0183078591</t>
  </si>
  <si>
    <t>E.S. INVERSIONES OPORTUNIDADES Y NE</t>
  </si>
  <si>
    <t>ALCOBENDAS - POLGO.</t>
  </si>
  <si>
    <t>CL FRANCISCO GERVAS POL.IND.ALC, 15</t>
  </si>
  <si>
    <t>-3.65225, 40.533722</t>
  </si>
  <si>
    <t>28108</t>
  </si>
  <si>
    <t>Lavado cepillos, Box presión, Waylet pago en caja, Adblue Envasado</t>
  </si>
  <si>
    <t>04846</t>
  </si>
  <si>
    <t>0183017870</t>
  </si>
  <si>
    <t>E.S. MAZA DE LAS HERAS,S.L.</t>
  </si>
  <si>
    <t>SANTIBAÑEZ DE LA PEÑA</t>
  </si>
  <si>
    <t>CR C-626, 18,4</t>
  </si>
  <si>
    <t>-4.737694, 42.803056</t>
  </si>
  <si>
    <t>34870</t>
  </si>
  <si>
    <t>L: 07:00-21:00</t>
  </si>
  <si>
    <t>03780</t>
  </si>
  <si>
    <t>0183110865</t>
  </si>
  <si>
    <t>E.S. RIBADESELLA RIDE S.L</t>
  </si>
  <si>
    <t>RIBADESELLA</t>
  </si>
  <si>
    <t>AV PALACIO VALDES, 42</t>
  </si>
  <si>
    <t>-5.061389, 43.455917</t>
  </si>
  <si>
    <t>33560</t>
  </si>
  <si>
    <t>Taller neumáticos, Lavado cepillos, Parking turismos, Parking camiones, Box presión, Aspiradores, Waylet pago en caja</t>
  </si>
  <si>
    <t>34552</t>
  </si>
  <si>
    <t>0183052943</t>
  </si>
  <si>
    <t>E.S. ZARZA, S.L.</t>
  </si>
  <si>
    <t>ZARZA DE GRANADILLA</t>
  </si>
  <si>
    <t>CR C-513, 96,8</t>
  </si>
  <si>
    <t>-6.038528, 40.232306</t>
  </si>
  <si>
    <t>10710</t>
  </si>
  <si>
    <t>04574</t>
  </si>
  <si>
    <t>0183003029</t>
  </si>
  <si>
    <t>ES ZOILO RIOS TAUSTE</t>
  </si>
  <si>
    <t>TAUSTE</t>
  </si>
  <si>
    <t>-1.254972, 41.925278</t>
  </si>
  <si>
    <t>50660</t>
  </si>
  <si>
    <t>34449</t>
  </si>
  <si>
    <t>0183000397</t>
  </si>
  <si>
    <t>E.S. CTRA. BEJAR</t>
  </si>
  <si>
    <t>CR N-630, 342  D</t>
  </si>
  <si>
    <t>-5.669944, 40.94775</t>
  </si>
  <si>
    <t>03138</t>
  </si>
  <si>
    <t>0183004217</t>
  </si>
  <si>
    <t>E.S. AZUR, S.L.</t>
  </si>
  <si>
    <t>CR C-253, 11,9</t>
  </si>
  <si>
    <t>3.117444, 41.850139</t>
  </si>
  <si>
    <t>13333</t>
  </si>
  <si>
    <t>0183063692</t>
  </si>
  <si>
    <t>ES ALBUFERA</t>
  </si>
  <si>
    <t>AV ALBUFERA, 66</t>
  </si>
  <si>
    <t>-0.379056, 39.421472</t>
  </si>
  <si>
    <t>L-V: 07:00-21:00; S: 08:00-22:00; D: 08:00-21:00</t>
  </si>
  <si>
    <t>10778</t>
  </si>
  <si>
    <t>0183011097</t>
  </si>
  <si>
    <t>E.S.LO BLANC</t>
  </si>
  <si>
    <t>LOS MONTESINOS-LO BLANC</t>
  </si>
  <si>
    <t>CR CV-945  LO BLANC, 1,3</t>
  </si>
  <si>
    <t>-0.730944, 38.029472</t>
  </si>
  <si>
    <t>03187</t>
  </si>
  <si>
    <t>94957</t>
  </si>
  <si>
    <t>0183134394</t>
  </si>
  <si>
    <t>ES COMBUSTIBLES TORREVIEJA SL</t>
  </si>
  <si>
    <t>AVDA DE LAS CORTES VALENCIANAS, 60</t>
  </si>
  <si>
    <t>-0.674944, 37.991361</t>
  </si>
  <si>
    <t>03183</t>
  </si>
  <si>
    <t>Rest. Autoservicio, Waylet pago en surtidor, Waylet pago en caja, Adblue Envasado</t>
  </si>
  <si>
    <t>33250</t>
  </si>
  <si>
    <t>0183061712</t>
  </si>
  <si>
    <t>E.S. SANT PERE, S.L.</t>
  </si>
  <si>
    <t>CL AVENIDA ALCALDE RECASENS, 25</t>
  </si>
  <si>
    <t>0.628889, 41.625444</t>
  </si>
  <si>
    <t>25005</t>
  </si>
  <si>
    <t>15622</t>
  </si>
  <si>
    <t>0183015296</t>
  </si>
  <si>
    <t>E.S. DIAMOND S.L.</t>
  </si>
  <si>
    <t>CL AVENIDA AVIACION, 32</t>
  </si>
  <si>
    <t>-3.771556, 40.373889</t>
  </si>
  <si>
    <t>Cafetería/Bar, Taller mecánico, Taller neumáticos, Lavado cepillos, Box presión, Aspiradores, Solred cheque lavado, Waylet pago en surtidor, Waylet pago en caja, Punto recarga eléctrico Repsol</t>
  </si>
  <si>
    <t>07640</t>
  </si>
  <si>
    <t>0183016005</t>
  </si>
  <si>
    <t>E.S. SAN JUAN BOSCO  AV. VALENCIA</t>
  </si>
  <si>
    <t>CL AVENIDA VALENCIA, 20</t>
  </si>
  <si>
    <t>-0.895194, 41.647083</t>
  </si>
  <si>
    <t>50005</t>
  </si>
  <si>
    <t>15608</t>
  </si>
  <si>
    <t>0183055532</t>
  </si>
  <si>
    <t>TORREAGüERA</t>
  </si>
  <si>
    <t>CTRA. SAN JAVIER NUM.45</t>
  </si>
  <si>
    <t>-1.064222, 37.977194</t>
  </si>
  <si>
    <t>30579</t>
  </si>
  <si>
    <t>33882</t>
  </si>
  <si>
    <t>0183015221</t>
  </si>
  <si>
    <t>E.S.  GUADAHORTUNA SL</t>
  </si>
  <si>
    <t>GUADAHORTUNA</t>
  </si>
  <si>
    <t>CR N-324, 175,3</t>
  </si>
  <si>
    <t>-3.400139, 37.561333</t>
  </si>
  <si>
    <t>18560</t>
  </si>
  <si>
    <t>Parking turismos, Box presión, Waylet pago en caja, Punto recarga eléctrico Repsol</t>
  </si>
  <si>
    <t>98118</t>
  </si>
  <si>
    <t>0183136696</t>
  </si>
  <si>
    <t>ES BURBUJAS LIMPIEZAS Y LAVADOS SL</t>
  </si>
  <si>
    <t>CL ALABARDERO - P.I. EL PILERO S/N</t>
  </si>
  <si>
    <t>-5.647556, 37.478917</t>
  </si>
  <si>
    <t>EFITEC 95 N - España, DIESEL E+ NEO - España, Butano 12 Kg (NEL)</t>
  </si>
  <si>
    <t>96944</t>
  </si>
  <si>
    <t>0183121433</t>
  </si>
  <si>
    <t>E.S. PARRA VIZCAINO, JESUS</t>
  </si>
  <si>
    <t>NAVALMORAL DE LA MATA</t>
  </si>
  <si>
    <t>CR A-5 P.K. 182 M.I.</t>
  </si>
  <si>
    <t>-5.550944, 39.8745</t>
  </si>
  <si>
    <t>34001</t>
  </si>
  <si>
    <t>0183009117</t>
  </si>
  <si>
    <t>ES NAVARRO TEVAR ANA MARIA</t>
  </si>
  <si>
    <t>VILLANUEVA DE LA JARA</t>
  </si>
  <si>
    <t>CR N-320, 56</t>
  </si>
  <si>
    <t>-1.942417, 39.439667</t>
  </si>
  <si>
    <t>16230</t>
  </si>
  <si>
    <t>92622</t>
  </si>
  <si>
    <t>0183120393</t>
  </si>
  <si>
    <t>E.S. GALERA</t>
  </si>
  <si>
    <t>GALERA</t>
  </si>
  <si>
    <t>CR A-330 P.K. 21</t>
  </si>
  <si>
    <t>-2.551389, 37.752694</t>
  </si>
  <si>
    <t>18840</t>
  </si>
  <si>
    <t>15785</t>
  </si>
  <si>
    <t>0183010073</t>
  </si>
  <si>
    <t>E.S. EL CRUCE</t>
  </si>
  <si>
    <t>CR AC-3317 18</t>
  </si>
  <si>
    <t>-0.644583, 38.244861</t>
  </si>
  <si>
    <t>12096</t>
  </si>
  <si>
    <t>0183055581</t>
  </si>
  <si>
    <t>ES SAN FERNANDO DE CÁDIZ</t>
  </si>
  <si>
    <t>SAN FERNANDO</t>
  </si>
  <si>
    <t>PG IND. FADRICAS C/FERROCARRIL</t>
  </si>
  <si>
    <t>-6.203667, 36.473528</t>
  </si>
  <si>
    <t>11100</t>
  </si>
  <si>
    <t>33502</t>
  </si>
  <si>
    <t>0183009695</t>
  </si>
  <si>
    <t>ES CODISOIL AVD SEGOVIA</t>
  </si>
  <si>
    <t>CL AVENIDA SEGOVIA, 44</t>
  </si>
  <si>
    <t>-4.721889, 41.637139</t>
  </si>
  <si>
    <t>96704</t>
  </si>
  <si>
    <t>0183116441</t>
  </si>
  <si>
    <t>E.S. MEIXONFRIO</t>
  </si>
  <si>
    <t>SANTIAGO DE COMPOSTE</t>
  </si>
  <si>
    <t>CR  N-550 , P.K. 60 - MEIXONFRIO</t>
  </si>
  <si>
    <t>-8.529611, 42.897917</t>
  </si>
  <si>
    <t>97026</t>
  </si>
  <si>
    <t>0183129659</t>
  </si>
  <si>
    <t>E.S. CANIVELL CEARES</t>
  </si>
  <si>
    <t>CR AS-248 GIJÓN-POLA DE SIERO, 20</t>
  </si>
  <si>
    <t>-5.654861, 43.528778</t>
  </si>
  <si>
    <t>33209</t>
  </si>
  <si>
    <t>EFITEC 95 N - España, Efitec 95 Premium, EFITEC 98 N - España, DIESEL E+ NEO - España, DIESEL E+10 NEO - España, Propano 11 Kg, BLUE+GRANEL - España, Autogás, Butano 12 Kg (NEL)</t>
  </si>
  <si>
    <t>97045</t>
  </si>
  <si>
    <t>0183125939</t>
  </si>
  <si>
    <t>E.S. GESTION INMOBILIARIA AFIDCASA</t>
  </si>
  <si>
    <t>BARBERO DE SEVILLA, S/N</t>
  </si>
  <si>
    <t>-3.881806, 40.450556</t>
  </si>
  <si>
    <t>28222</t>
  </si>
  <si>
    <t>Lavado cepillos, Parking turismos, Box presión, Aspiradores, Waylet pago en caja, Adblue Envasado, Punto recarga eléctrico Repsol</t>
  </si>
  <si>
    <t>01953</t>
  </si>
  <si>
    <t>0183055508</t>
  </si>
  <si>
    <t>E.S. CUALEDRO SL</t>
  </si>
  <si>
    <t>CL PLAZA JARDIN DEL POSIO S.N.   D</t>
  </si>
  <si>
    <t>-7.865306, 42.332028</t>
  </si>
  <si>
    <t>06294</t>
  </si>
  <si>
    <t>0183113224</t>
  </si>
  <si>
    <t>US GASOLEOS PACRISA SL</t>
  </si>
  <si>
    <t>LAGUNA DE NEGRILLOS</t>
  </si>
  <si>
    <t>CR L - 411 11,2</t>
  </si>
  <si>
    <t>-5.665556, 42.235</t>
  </si>
  <si>
    <t>24234</t>
  </si>
  <si>
    <t>L-V: 08:00-20:30; S: 09:00-20:00; D: 10:00-14:00</t>
  </si>
  <si>
    <t>96669</t>
  </si>
  <si>
    <t>0183111517</t>
  </si>
  <si>
    <t>ES AQUATERRA SERV. INFRAESTRUCTURAS</t>
  </si>
  <si>
    <t>ARGANDA DEL REY</t>
  </si>
  <si>
    <t>CR R-3, PK. 19,5 M.D.</t>
  </si>
  <si>
    <t>-3.450889, 40.34625</t>
  </si>
  <si>
    <t>97013</t>
  </si>
  <si>
    <t>0183125335</t>
  </si>
  <si>
    <t>E.S. SON OMS</t>
  </si>
  <si>
    <t>CA'N PASTILLA</t>
  </si>
  <si>
    <t>CAMI DE SON FANGOS, 151</t>
  </si>
  <si>
    <t>2.735, 39.535472</t>
  </si>
  <si>
    <t>07610</t>
  </si>
  <si>
    <t>Lavado cepillos, Lavado camiones, Parking turismos, Parking camiones, Zona de descanso, Box presión, Aspiradores, Solred cheque lavado, Waylet pago en surtidor, Waylet pago en caja, Punto recarga eléctrico Repsol</t>
  </si>
  <si>
    <t>04930</t>
  </si>
  <si>
    <t>0183004464</t>
  </si>
  <si>
    <t>E.S. A PONTENOVA S.L.</t>
  </si>
  <si>
    <t>PONTENOVA, A</t>
  </si>
  <si>
    <t>CR N-640, 37</t>
  </si>
  <si>
    <t>-7.191639, 43.351389</t>
  </si>
  <si>
    <t>27720</t>
  </si>
  <si>
    <t>Taller mecánico, Taller neumáticos, Lavado cepillos, Box presión, Aspiradores, Solred cheque lavado, Waylet pago en caja, Adblue Envasado</t>
  </si>
  <si>
    <t>33253</t>
  </si>
  <si>
    <t>0183013655</t>
  </si>
  <si>
    <t>FEBRER 03</t>
  </si>
  <si>
    <t>PZ PLAZA PROGRESO, S.N.</t>
  </si>
  <si>
    <t>2.636, 39.571861</t>
  </si>
  <si>
    <t>07013</t>
  </si>
  <si>
    <t>12273</t>
  </si>
  <si>
    <t>0183057371</t>
  </si>
  <si>
    <t>SANCTIPETRI OIL SA</t>
  </si>
  <si>
    <t>CL CARRETERA DE MEDINA, S.N.</t>
  </si>
  <si>
    <t>-6.139528, 36.418306</t>
  </si>
  <si>
    <t>34413</t>
  </si>
  <si>
    <t>0040126393</t>
  </si>
  <si>
    <t>E.S.  CAMINO BLANCO</t>
  </si>
  <si>
    <t>VILLAFRANCA DE LOS BARROS</t>
  </si>
  <si>
    <t>CR N-630, 664,5</t>
  </si>
  <si>
    <t>-6.350056, 38.562694</t>
  </si>
  <si>
    <t>06220</t>
  </si>
  <si>
    <t>Restaurante, Cafetería/Bar, Lavado cepillos, Parking turismos, Parking camiones, Zona de descanso, Box presión, Duchas, Aspiradores, Solred cheque lavado, Waylet pago en surtidor, Waylet pago en caja</t>
  </si>
  <si>
    <t>13402</t>
  </si>
  <si>
    <t>0183063981</t>
  </si>
  <si>
    <t>E.S. ROSALEDA</t>
  </si>
  <si>
    <t>CL AVENIDA S.RAMON Y CAJAL, 1</t>
  </si>
  <si>
    <t>-4.424528, 36.738333</t>
  </si>
  <si>
    <t>Box presión, Aspiradores, Solred cheque lavado, Lavandería, Waylet pago en caja, Adblue Envasado, Punto recarga eléctrico Repsol</t>
  </si>
  <si>
    <t>15456</t>
  </si>
  <si>
    <t>0183077726</t>
  </si>
  <si>
    <t>ES JESUS LOPEZ MOLINA</t>
  </si>
  <si>
    <t>MARIA</t>
  </si>
  <si>
    <t>CR. DE MARIA, 28</t>
  </si>
  <si>
    <t>-2.168333, 37.707972</t>
  </si>
  <si>
    <t>04838</t>
  </si>
  <si>
    <t>Cafetería/Bar, Taller mecánico, Taller neumáticos, Parking turismos, Box presión, Aspiradores, Solred cheque lavado, Waylet pago en caja, Adblue Envasado</t>
  </si>
  <si>
    <t>96196</t>
  </si>
  <si>
    <t>0183080357</t>
  </si>
  <si>
    <t>A-15  S.L.</t>
  </si>
  <si>
    <t>CL AVDA. S. MARTIN DE VALDEIGLE, S.</t>
  </si>
  <si>
    <t>-3.825028, 40.357028</t>
  </si>
  <si>
    <t>28921</t>
  </si>
  <si>
    <t>L-V: 06:30-23:30; S-D: 07:00-23:00</t>
  </si>
  <si>
    <t>Taller mecánico, Box presión, Aspiradores, Waylet pago en caja</t>
  </si>
  <si>
    <t>33241</t>
  </si>
  <si>
    <t>0183050509</t>
  </si>
  <si>
    <t>GESMAESA-LA FELGUERA</t>
  </si>
  <si>
    <t>FELGUERA, LA</t>
  </si>
  <si>
    <t>CL PGNO DE VALNALON, S.N.</t>
  </si>
  <si>
    <t>-5.68825, 43.305389</t>
  </si>
  <si>
    <t>15112</t>
  </si>
  <si>
    <t>0183052067</t>
  </si>
  <si>
    <t>E.S. JOSE D. FERNANDEZ PEREZ</t>
  </si>
  <si>
    <t>CASTRO CALDELAS</t>
  </si>
  <si>
    <t>CR OR-536, 46,9  I</t>
  </si>
  <si>
    <t>-7.423694, 42.371167</t>
  </si>
  <si>
    <t>32760</t>
  </si>
  <si>
    <t>0183051648</t>
  </si>
  <si>
    <t>ROURE ESTACION,S.L.</t>
  </si>
  <si>
    <t>GIMENELLS</t>
  </si>
  <si>
    <t>CL CTRA.DE LERIDA (GIMENELLS), S.N.</t>
  </si>
  <si>
    <t>0.393, 41.652611</t>
  </si>
  <si>
    <t>25112</t>
  </si>
  <si>
    <t>93547</t>
  </si>
  <si>
    <t>0183122449</t>
  </si>
  <si>
    <t>E.S. EL POLIGONO</t>
  </si>
  <si>
    <t>CRTA. DE VILCHES S/N</t>
  </si>
  <si>
    <t>-3.369528, 38.026167</t>
  </si>
  <si>
    <t>02040</t>
  </si>
  <si>
    <t>0183101310</t>
  </si>
  <si>
    <t>R.M.GALINDO VAZQUEZ</t>
  </si>
  <si>
    <t>SANTA MARTA DE LOS BARROS</t>
  </si>
  <si>
    <t>CR N-432, 42,7</t>
  </si>
  <si>
    <t>-6.630639, 38.615389</t>
  </si>
  <si>
    <t>06150</t>
  </si>
  <si>
    <t>L-V: 06:00-14:30 y 17:00-21:00; S: 06:00-14:30</t>
  </si>
  <si>
    <t>96058</t>
  </si>
  <si>
    <t>0183077353</t>
  </si>
  <si>
    <t>ALMETIR,S.L.</t>
  </si>
  <si>
    <t>CR N-340    ENLACE 471, 0.1</t>
  </si>
  <si>
    <t>-2.23, 36.868389</t>
  </si>
  <si>
    <t>04004</t>
  </si>
  <si>
    <t>Restaurante, Cafetería/Bar, Parking turismos, Parking camiones, Zona de descanso, Waylet pago en caja, Adblue Envasado, Punto recarga eléctrico Repsol</t>
  </si>
  <si>
    <t>11460</t>
  </si>
  <si>
    <t>0183019579</t>
  </si>
  <si>
    <t>ES MORAL DE CALATRAVA</t>
  </si>
  <si>
    <t>MORAL DE CALATRAVA</t>
  </si>
  <si>
    <t>CR CM-412, 69,92</t>
  </si>
  <si>
    <t>-3.567944, 38.824611</t>
  </si>
  <si>
    <t>13350</t>
  </si>
  <si>
    <t>31138</t>
  </si>
  <si>
    <t>0183011543</t>
  </si>
  <si>
    <t>E.S. SAN SEBASTIAN</t>
  </si>
  <si>
    <t>CL LAUREANO CASQUERO, S.N.</t>
  </si>
  <si>
    <t>-4.109972, 36.782861</t>
  </si>
  <si>
    <t>33795</t>
  </si>
  <si>
    <t>0183001437</t>
  </si>
  <si>
    <t>E.S.  LOS LLANOS</t>
  </si>
  <si>
    <t>CR N-323, 138</t>
  </si>
  <si>
    <t>-3.631278, 37.121667</t>
  </si>
  <si>
    <t>Restaurante, Cafetería/Bar, Parking turismos, Parking camiones, Aspiradores, Waylet pago en caja, Adblue Envasado</t>
  </si>
  <si>
    <t>34080</t>
  </si>
  <si>
    <t>0183015908</t>
  </si>
  <si>
    <t>ES SANTIAGO DEL ORBIGO SL</t>
  </si>
  <si>
    <t>CL AVENIDA DE GALICIA, 86</t>
  </si>
  <si>
    <t>-6.625694, 42.560583</t>
  </si>
  <si>
    <t>96479</t>
  </si>
  <si>
    <t>0183109115</t>
  </si>
  <si>
    <t>ES INTER-ALFARA SA</t>
  </si>
  <si>
    <t>ELIANA, L</t>
  </si>
  <si>
    <t>CV-336 PK. 6. M DCHO</t>
  </si>
  <si>
    <t>-0.505333, 39.559222</t>
  </si>
  <si>
    <t>Cafetería/Bar, Box presión, Aspiradores, Solred cheque lavado, Waylet pago en caja, Adblue Envasado, Punto recarga eléctrico Repsol</t>
  </si>
  <si>
    <t>07631</t>
  </si>
  <si>
    <t>0183003532</t>
  </si>
  <si>
    <t>E.S. BERANGA</t>
  </si>
  <si>
    <t>BERANGA</t>
  </si>
  <si>
    <t>CR N-634, 185,1</t>
  </si>
  <si>
    <t>-3.578556, 43.414194</t>
  </si>
  <si>
    <t>39730</t>
  </si>
  <si>
    <t>Cafetería/Bar, Lavado cepillos, Parking turismos, Parking camiones, Aspiradores, Solred cheque lavado, Waylet pago en caja</t>
  </si>
  <si>
    <t>33356</t>
  </si>
  <si>
    <t>0183013663</t>
  </si>
  <si>
    <t>FEBRER 04</t>
  </si>
  <si>
    <t>CARRER DE JOAN MASCARO I FORNES, 49</t>
  </si>
  <si>
    <t>2.634639, 39.605028</t>
  </si>
  <si>
    <t>07010</t>
  </si>
  <si>
    <t>15670</t>
  </si>
  <si>
    <t>0183001577</t>
  </si>
  <si>
    <t>LA RAZA S.A.</t>
  </si>
  <si>
    <t>CL AVENIDA DE LA RAZA, S.N.</t>
  </si>
  <si>
    <t>-5.989861, 37.361028</t>
  </si>
  <si>
    <t>0183005479</t>
  </si>
  <si>
    <t>OFE S.A. E/S áLORA</t>
  </si>
  <si>
    <t>ALORA</t>
  </si>
  <si>
    <t>-4.701111, 36.824306</t>
  </si>
  <si>
    <t>29500</t>
  </si>
  <si>
    <t>Lavado cepillos, Aspiradores, Solred cheque lavado, Lavandería, Waylet pago en caja, Adblue Envasado</t>
  </si>
  <si>
    <t>96679</t>
  </si>
  <si>
    <t>0183111889</t>
  </si>
  <si>
    <t>FEBRER 13</t>
  </si>
  <si>
    <t>CM CAMINO SON RAPINYA ESQ.CAMI D`EL</t>
  </si>
  <si>
    <t>2.618722, 39.584944</t>
  </si>
  <si>
    <t>Cafetería/Bar, Lavado cepillos, Parking turismos, Parking camiones, Box presión, Aspiradores, Waylet pago en caja, Punto recarga eléctrico Repsol</t>
  </si>
  <si>
    <t>12384</t>
  </si>
  <si>
    <t>0183060227</t>
  </si>
  <si>
    <t>ES KARENTO ESTRUCTURAS, S.L.</t>
  </si>
  <si>
    <t>CR A-5, 162,1</t>
  </si>
  <si>
    <t>-5.332778, 39.8955</t>
  </si>
  <si>
    <t>15105</t>
  </si>
  <si>
    <t>0183016377</t>
  </si>
  <si>
    <t>ESTACION DE SERVICIO AEZKOA S.L.U</t>
  </si>
  <si>
    <t>ARIBE</t>
  </si>
  <si>
    <t>CR NA-140 (BURGUETE-EZCAROZ) P.K</t>
  </si>
  <si>
    <t>-1.265667, 42.945722</t>
  </si>
  <si>
    <t>31671</t>
  </si>
  <si>
    <t>03966</t>
  </si>
  <si>
    <t>0183009596</t>
  </si>
  <si>
    <t>E.S.  VILLAROSA,S.A.</t>
  </si>
  <si>
    <t>CR N-340, 231,9</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</si>
  <si>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</si>
  <si>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</si>
  <si>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</si>
  <si>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07189</t>
  </si>
  <si>
    <t>0002300408</t>
  </si>
  <si>
    <t>E.S. VICALVARO</t>
  </si>
  <si>
    <t>CL AVENIDA DAROCA, 336</t>
  </si>
  <si>
    <t>-3.6095, 40.404056</t>
  </si>
  <si>
    <t>28032</t>
  </si>
  <si>
    <t>10759</t>
  </si>
  <si>
    <t>0183011873</t>
  </si>
  <si>
    <t>GLEM ,S.L. BIAR</t>
  </si>
  <si>
    <t>BIAR</t>
  </si>
  <si>
    <t>CR A-210, 38,2</t>
  </si>
  <si>
    <t>-0.786556, 38.630583</t>
  </si>
  <si>
    <t>03410</t>
  </si>
  <si>
    <t>L-V: 07:00-21:30; S: 07:00-15:30</t>
  </si>
  <si>
    <t>96631</t>
  </si>
  <si>
    <t>0183109313</t>
  </si>
  <si>
    <t>E.S. FUENTENUEVA,S.L.</t>
  </si>
  <si>
    <t>CL Pº DEL EMPERADOR CARLOS V , Nº 3</t>
  </si>
  <si>
    <t>-3.594389, 37.15675</t>
  </si>
  <si>
    <t>18008</t>
  </si>
  <si>
    <t>05999</t>
  </si>
  <si>
    <t>0183018852</t>
  </si>
  <si>
    <t>E.S. ALCAZAR ARRAZOLA SL</t>
  </si>
  <si>
    <t>CR GU-204, 129</t>
  </si>
  <si>
    <t>-2.648639, 41.063806</t>
  </si>
  <si>
    <t>12626</t>
  </si>
  <si>
    <t>0183060771</t>
  </si>
  <si>
    <t>E.S. GALPIZA, S.L.</t>
  </si>
  <si>
    <t>BASCONCILLOS DEL TOZO</t>
  </si>
  <si>
    <t>CR N-627, 51,5</t>
  </si>
  <si>
    <t>-3.980611, 42.693778</t>
  </si>
  <si>
    <t>09126</t>
  </si>
  <si>
    <t>31745</t>
  </si>
  <si>
    <t>0183006147</t>
  </si>
  <si>
    <t>ES PETROARGES SL</t>
  </si>
  <si>
    <t>ARGES</t>
  </si>
  <si>
    <t>CR CM-4013 P.K. 6,4 M.D.</t>
  </si>
  <si>
    <t>-4.056667, 39.813417</t>
  </si>
  <si>
    <t>45122</t>
  </si>
  <si>
    <t>12947</t>
  </si>
  <si>
    <t>0183075795</t>
  </si>
  <si>
    <t>ESTACION DE SERVICIO EL BRUCH SA</t>
  </si>
  <si>
    <t>VANDELLOS</t>
  </si>
  <si>
    <t>CR N-340, 1128,2</t>
  </si>
  <si>
    <t>0.908194, 40.989056</t>
  </si>
  <si>
    <t>43891</t>
  </si>
  <si>
    <t>Cafetería/Bar, Lavado cepillos, Parking turismos, Zona de descanso, Box presión, Aspiradores, Waylet pago en surtidor, Waylet pago en caja, Lavados Klin</t>
  </si>
  <si>
    <t>15765</t>
  </si>
  <si>
    <t>0083016337</t>
  </si>
  <si>
    <t>E.S. MASET, S.A.</t>
  </si>
  <si>
    <t>CR N-260, 38,5</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</si>
  <si>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</si>
  <si>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</si>
  <si>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</si>
  <si>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0183062330</t>
  </si>
  <si>
    <t>MINGERIZ S.L.</t>
  </si>
  <si>
    <t>CASTROJERIZ</t>
  </si>
  <si>
    <t>CR BU-4013, 1</t>
  </si>
  <si>
    <t>-4.141333, 42.286667</t>
  </si>
  <si>
    <t>09110</t>
  </si>
  <si>
    <t>33359</t>
  </si>
  <si>
    <t>0183014661</t>
  </si>
  <si>
    <t>FEBRER 07</t>
  </si>
  <si>
    <t>ESCORCA</t>
  </si>
  <si>
    <t>CR PM-213 14,8</t>
  </si>
  <si>
    <t>2.89, 39.812444</t>
  </si>
  <si>
    <t>07315</t>
  </si>
  <si>
    <t>EFITEC 95 N - España, EFITEC 98 N - España, DIESEL E+ NEO - España, Butano 6 Kg (K6)</t>
  </si>
  <si>
    <t>04994</t>
  </si>
  <si>
    <t>0183010024</t>
  </si>
  <si>
    <t>E.S. CUATRO CAMINOS,SA</t>
  </si>
  <si>
    <t>CL PZA. CORONA DE ARAGON, S.N.</t>
  </si>
  <si>
    <t>0.513444, 40.816361</t>
  </si>
  <si>
    <t>04476</t>
  </si>
  <si>
    <t>0183008408</t>
  </si>
  <si>
    <t>SERV.AUTOMOVILIST.SA</t>
  </si>
  <si>
    <t>SANT JUST DESVERN</t>
  </si>
  <si>
    <t>CR N-340, 1250</t>
  </si>
  <si>
    <t>2.064472, 41.380083</t>
  </si>
  <si>
    <t>08960</t>
  </si>
  <si>
    <t>Taller neumáticos, Lavado cepillos, Parking turismos, Box presión, Aspiradores, Waylet pago en caja</t>
  </si>
  <si>
    <t>02198</t>
  </si>
  <si>
    <t>0183018357</t>
  </si>
  <si>
    <t>ES UNIDAD DE SUMINISTROS AMEIJEIRAS</t>
  </si>
  <si>
    <t>CUNTIS</t>
  </si>
  <si>
    <t>CL CRUCE CTRA. CIRCUNVALACION, S.N.</t>
  </si>
  <si>
    <t>-8.563444, 42.632167</t>
  </si>
  <si>
    <t>36670</t>
  </si>
  <si>
    <t>96525</t>
  </si>
  <si>
    <t>0183108372</t>
  </si>
  <si>
    <t>ES MARTINEZ SANCHEZ GASOLEOS SL (EN</t>
  </si>
  <si>
    <t>CL AVDA JUAN CARLOS I, 46</t>
  </si>
  <si>
    <t>-4.015639, 40.636528</t>
  </si>
  <si>
    <t>Lavado cepillos, Lavado camiones, Box presión, Aspiradores, Solred cheque lavado, Waylet pago en caja, Lavados Klin</t>
  </si>
  <si>
    <t>12455</t>
  </si>
  <si>
    <t>0183075597</t>
  </si>
  <si>
    <t>CR C-65, KM 22,2</t>
  </si>
  <si>
    <t>2.853139, 41.906194</t>
  </si>
  <si>
    <t>Parking turismos, Box presión, Aspiradores, Waylet pago en surtidor, Waylet pago en caja, Adblue Envasado</t>
  </si>
  <si>
    <t>05893</t>
  </si>
  <si>
    <t>0183015452</t>
  </si>
  <si>
    <t>LA RONDA S.A.</t>
  </si>
  <si>
    <t>CL RONDA DE CAPUCHINOS, 1</t>
  </si>
  <si>
    <t>-5.984556, 37.40025</t>
  </si>
  <si>
    <t>41009</t>
  </si>
  <si>
    <t>Cafetería/Bar, Lavado cepillos, Box presión, Aspiradores, Solred cheque lavado, Lavandería, Waylet pago en caja</t>
  </si>
  <si>
    <t>96885</t>
  </si>
  <si>
    <t>0183119122</t>
  </si>
  <si>
    <t>E.S. GASOLINERA ORTUELLA, S.L.</t>
  </si>
  <si>
    <t>ORTUELLA</t>
  </si>
  <si>
    <t>CR N-634 IRUN-LA CORUÑA (POL.GRANAD</t>
  </si>
  <si>
    <t>-3.045, 43.305833</t>
  </si>
  <si>
    <t>48530</t>
  </si>
  <si>
    <t>Restaurante, Cafetería/Bar, Waylet pago en caja, Adblue Envasado</t>
  </si>
  <si>
    <t>04162</t>
  </si>
  <si>
    <t>0183078146</t>
  </si>
  <si>
    <t>CL LOPEZ DE HOYOS, 327</t>
  </si>
  <si>
    <t>-3.658111, 40.463389</t>
  </si>
  <si>
    <t>28033</t>
  </si>
  <si>
    <t>06558</t>
  </si>
  <si>
    <t>0183076173</t>
  </si>
  <si>
    <t>ES ROBERTO ROMERO DELGADO S.L.</t>
  </si>
  <si>
    <t>ALDEA EL PATRAS-ALMO</t>
  </si>
  <si>
    <t>CR N-435, 151,7</t>
  </si>
  <si>
    <t>-6.720278, 37.796889</t>
  </si>
  <si>
    <t>21646</t>
  </si>
  <si>
    <t>12728</t>
  </si>
  <si>
    <t>0183063262</t>
  </si>
  <si>
    <t>ES ANDRES JESUS ORTA PEREZ</t>
  </si>
  <si>
    <t>CR H-412, 4,9</t>
  </si>
  <si>
    <t>-7.324222, 37.207306</t>
  </si>
  <si>
    <t>Lavado cepillos, Box presión, Aspiradores, Waylet pago en caja, Punto recarga eléctrico Repsol, Recarga eléctrica</t>
  </si>
  <si>
    <t>93530</t>
  </si>
  <si>
    <t>0183135995</t>
  </si>
  <si>
    <t>ES CANET DE BERENGUER</t>
  </si>
  <si>
    <t>CANET DE BERENGUER</t>
  </si>
  <si>
    <t>JAIME I    , 6</t>
  </si>
  <si>
    <t>-0.207611, 39.679778</t>
  </si>
  <si>
    <t>46529</t>
  </si>
  <si>
    <t>Lavado cepillos, Parking turismos, Box presión, Aspiradores, Solred cheque lavado, Waylet pago en caja, Recarga eléctrica</t>
  </si>
  <si>
    <t>97110</t>
  </si>
  <si>
    <t>0183133586</t>
  </si>
  <si>
    <t>ES ORTIZ ESPIN SL</t>
  </si>
  <si>
    <t>POZOSECO</t>
  </si>
  <si>
    <t>AUTOVIA A3, P.K. 207 MI</t>
  </si>
  <si>
    <t>-1.952528, 39.518361</t>
  </si>
  <si>
    <t>16212</t>
  </si>
  <si>
    <t>Restaurante, Cafetería/Bar, Parking turismos, Parking camiones, Zona de descanso, Duchas, Waylet pago en caja, Recarga eléctrica</t>
  </si>
  <si>
    <t>31038</t>
  </si>
  <si>
    <t>0183131820</t>
  </si>
  <si>
    <t>E.S. DE SANTOS S.L.</t>
  </si>
  <si>
    <t>COLLADO HERMOSO</t>
  </si>
  <si>
    <t>CR N-110, 171</t>
  </si>
  <si>
    <t>-3.921861, 41.037222</t>
  </si>
  <si>
    <t>40170</t>
  </si>
  <si>
    <t>L-J: 07:00-22:00; V: 07:00-23:00; S: 08:00-23:00; D: 08:00-22:00</t>
  </si>
  <si>
    <t>12233</t>
  </si>
  <si>
    <t>0183129808</t>
  </si>
  <si>
    <t>E.S. ARBA SA M.I.</t>
  </si>
  <si>
    <t>AUTOVIA A-3 P.K. 118 I</t>
  </si>
  <si>
    <t>-2.744389, 39.9135</t>
  </si>
  <si>
    <t>0183059336</t>
  </si>
  <si>
    <t>US SEGAMO HERMANOS</t>
  </si>
  <si>
    <t>GRANJA DE TORREHERMO</t>
  </si>
  <si>
    <t>CL AVENIDA EXTREMADURA, 67</t>
  </si>
  <si>
    <t>-5.594083, 38.304833</t>
  </si>
  <si>
    <t>L-S: 08:00-14:00 y 16:00-21:00</t>
  </si>
  <si>
    <t>DIESEL E+ NEO - España, GO-B BONIF - España</t>
  </si>
  <si>
    <t>00233</t>
  </si>
  <si>
    <t>0183053032</t>
  </si>
  <si>
    <t>US ES DE SERVICIO TORRES Y FERNANDE</t>
  </si>
  <si>
    <t>CR N-430, 269,9</t>
  </si>
  <si>
    <t>-3.618806, 39.060639</t>
  </si>
  <si>
    <t>06806</t>
  </si>
  <si>
    <t>0183118678</t>
  </si>
  <si>
    <t>ES GESLAMA-PER CLARA DEL REY</t>
  </si>
  <si>
    <t>CL CLARA DEL REY,45</t>
  </si>
  <si>
    <t>-3.669361, 40.443444</t>
  </si>
  <si>
    <t>13356</t>
  </si>
  <si>
    <t>0183063809</t>
  </si>
  <si>
    <t>ES MCNAMARA.COOP.V</t>
  </si>
  <si>
    <t>TAVERNES DE LA VALLD</t>
  </si>
  <si>
    <t>CR N-332, 238</t>
  </si>
  <si>
    <t>-0.247778, 39.08675</t>
  </si>
  <si>
    <t>46760</t>
  </si>
  <si>
    <t>L-V: 06:00-20:00; S-D: 08:00-16:00</t>
  </si>
  <si>
    <t>Cafetería/Bar, Parking turismos, Parking camiones, Duchas, Waylet pago en caja</t>
  </si>
  <si>
    <t>96247</t>
  </si>
  <si>
    <t>0183079276</t>
  </si>
  <si>
    <t>E.S. CESENA INVERSIONES S.L.</t>
  </si>
  <si>
    <t>ALCOLEA DEL PINAR</t>
  </si>
  <si>
    <t>CR A-2, 132,2</t>
  </si>
  <si>
    <t>-2.481194, 41.034056</t>
  </si>
  <si>
    <t>19260</t>
  </si>
  <si>
    <t>33481</t>
  </si>
  <si>
    <t>0183053768</t>
  </si>
  <si>
    <t>E.S. MORENO BORREGO SL</t>
  </si>
  <si>
    <t>CR N-334, 96,8</t>
  </si>
  <si>
    <t>41550</t>
  </si>
  <si>
    <t>Parking turismos, Zona de descanso, Box presión, Aspiradores, Waylet pago en caja, Adblue Envasado</t>
  </si>
  <si>
    <t>33147</t>
  </si>
  <si>
    <t>0183010677</t>
  </si>
  <si>
    <t>E.S. DIEZ RAMOS E HIJOS SL</t>
  </si>
  <si>
    <t>BERMILLO DE SAYAGO</t>
  </si>
  <si>
    <t>CR ZA-527 34,9   I</t>
  </si>
  <si>
    <t>-6.102306, 41.368139</t>
  </si>
  <si>
    <t>49200</t>
  </si>
  <si>
    <t>Cafetería/Bar, Taller mecánico, Parking turismos, Parking camiones, Zona de descanso, Box presión, Aspiradores, Waylet pago en caja, Adblue Envasado, Punto recarga eléctrico Repsol, Recarga eléctrica</t>
  </si>
  <si>
    <t>04513</t>
  </si>
  <si>
    <t>0183007970</t>
  </si>
  <si>
    <t>ESTACION DE SERVICION FALCON SLNE</t>
  </si>
  <si>
    <t>MOURELA, LA</t>
  </si>
  <si>
    <t>CR AC-862  P.K. 8,20 I</t>
  </si>
  <si>
    <t>-8.122528, 43.508861</t>
  </si>
  <si>
    <t>15577</t>
  </si>
  <si>
    <t>11462</t>
  </si>
  <si>
    <t>0183014505</t>
  </si>
  <si>
    <t>E.S. BAÑON Y VALERO,S.L.</t>
  </si>
  <si>
    <t>CL FERNANDO FURIO ROCA, 4</t>
  </si>
  <si>
    <t>-0.483444, 39.426944</t>
  </si>
  <si>
    <t>96360</t>
  </si>
  <si>
    <t>0183103803</t>
  </si>
  <si>
    <t>E.S. SONSECA MARTIN,SL</t>
  </si>
  <si>
    <t>CR A-4, 112,8</t>
  </si>
  <si>
    <t>-3.524, 39.520694</t>
  </si>
  <si>
    <t>Restaurante, Cafetería/Bar, Parking turismos, Parking camiones, Box presión, Duchas, Waylet pago en caja</t>
  </si>
  <si>
    <t>34211</t>
  </si>
  <si>
    <t>0183008242</t>
  </si>
  <si>
    <t>E.S. C.NAVAS-MAMBLAS</t>
  </si>
  <si>
    <t>CR A-123, 0,6</t>
  </si>
  <si>
    <t>-0.832944, 41.6725</t>
  </si>
  <si>
    <t>50016</t>
  </si>
  <si>
    <t>07220</t>
  </si>
  <si>
    <t>0202054284</t>
  </si>
  <si>
    <t>CR A-30  P.K. 408,1</t>
  </si>
  <si>
    <t>-1.136361, 37.885444</t>
  </si>
  <si>
    <t>Restaurante, Cafetería/Bar, Taller mecánico, Taller neumáticos, Lavado cepillos, Lavado camiones, Parking turismos, Parking camiones, Zona de descanso, Box presión, Duchas, Aspiradores, Solred cheque lavado, Waylet pago en caja, Punto recarga eléctrico Repsol</t>
  </si>
  <si>
    <t>04050</t>
  </si>
  <si>
    <t>0183054865</t>
  </si>
  <si>
    <t>ES GRUPO EMPRESARIAL PETROGO, S.L.</t>
  </si>
  <si>
    <t>VENTA DEL OLIVO</t>
  </si>
  <si>
    <t>CR N-301, PK. 342,9</t>
  </si>
  <si>
    <t>-1.482417, 38.319806</t>
  </si>
  <si>
    <t>92549</t>
  </si>
  <si>
    <t>0183136555</t>
  </si>
  <si>
    <t>PETRONALCA MUTILVA I</t>
  </si>
  <si>
    <t>MUTILVA ALTA</t>
  </si>
  <si>
    <t>PA-30 KM 4,5 RONDA ESTE (Dirección</t>
  </si>
  <si>
    <t>-1.612667, 42.80175</t>
  </si>
  <si>
    <t>31192</t>
  </si>
  <si>
    <t>Lavado cepillos, Parking turismos, Parking camiones, Box presión, Aspiradores, Waylet pago en caja, Adblue Envasado, Recarga eléctrica</t>
  </si>
  <si>
    <t>97130</t>
  </si>
  <si>
    <t>0183133446</t>
  </si>
  <si>
    <t>ES MEGINO SL</t>
  </si>
  <si>
    <t>CL DE LOS HERRADORES N 1</t>
  </si>
  <si>
    <t>-3.498694, 40.442972</t>
  </si>
  <si>
    <t>Parking turismos, Duchas, Waylet pago en caja</t>
  </si>
  <si>
    <t>12448</t>
  </si>
  <si>
    <t>0183059427</t>
  </si>
  <si>
    <t>TEIS E.S., S.L.</t>
  </si>
  <si>
    <t>CL TRAVESIA DE VIGO, 233</t>
  </si>
  <si>
    <t>-8.693639, 42.246306</t>
  </si>
  <si>
    <t>36207</t>
  </si>
  <si>
    <t>96257</t>
  </si>
  <si>
    <t>0183079805</t>
  </si>
  <si>
    <t>E.S. FORMIGAL</t>
  </si>
  <si>
    <t>FORMIGAL, EL</t>
  </si>
  <si>
    <t>CR A-136, 94</t>
  </si>
  <si>
    <t>-0.367806, 42.773972</t>
  </si>
  <si>
    <t>10025</t>
  </si>
  <si>
    <t>0183008176</t>
  </si>
  <si>
    <t>E.S. DE PANTOJA</t>
  </si>
  <si>
    <t>PANTOJA</t>
  </si>
  <si>
    <t>CR CM-4004 , P.K. 29,9 M.I.</t>
  </si>
  <si>
    <t>-3.838833, 40.055333</t>
  </si>
  <si>
    <t>45290</t>
  </si>
  <si>
    <t>Zona de descanso, Box presión, Aspiradores, Waylet pago en caja, Adblue Envasado</t>
  </si>
  <si>
    <t>33976</t>
  </si>
  <si>
    <t>0183013952</t>
  </si>
  <si>
    <t>E.S. SUAREZ PENALBA SL</t>
  </si>
  <si>
    <t>PUENTE DE GENAVE</t>
  </si>
  <si>
    <t>CL AVENIDA DE ANDALUCIA, 131</t>
  </si>
  <si>
    <t>-2.799222, 38.357528</t>
  </si>
  <si>
    <t>23350</t>
  </si>
  <si>
    <t>12160</t>
  </si>
  <si>
    <t>0183075704</t>
  </si>
  <si>
    <t>U.S. NURIA GONZALEZ DIOS</t>
  </si>
  <si>
    <t>CL O FORTE, 27</t>
  </si>
  <si>
    <t>-8.693944, 42.393306</t>
  </si>
  <si>
    <t>L-S: 07:30-22:00; D: 08:30-14:30</t>
  </si>
  <si>
    <t>15674</t>
  </si>
  <si>
    <t>0063206122</t>
  </si>
  <si>
    <t>CUZCURRITA DE RIO TIRON</t>
  </si>
  <si>
    <t>CR N-232, 458</t>
  </si>
  <si>
    <t>-2.965306, 42.552444</t>
  </si>
  <si>
    <t>26214</t>
  </si>
  <si>
    <t>Restaurante, Cafetería/Bar, Taller mecánico, Taller eléctrico, Parking turismos, Parking camiones, Aspiradores, Waylet pago en caja, Adblue Envasado</t>
  </si>
  <si>
    <t>03758</t>
  </si>
  <si>
    <t>0183059443</t>
  </si>
  <si>
    <t>E.S. TOLEDO, S.A.</t>
  </si>
  <si>
    <t>CL AVENIDA DE MADRID, 41</t>
  </si>
  <si>
    <t>-4.021028, 39.870528</t>
  </si>
  <si>
    <t>45003</t>
  </si>
  <si>
    <t>31286</t>
  </si>
  <si>
    <t>0183015445</t>
  </si>
  <si>
    <t>ES HEREDEROS DE DOLORES MADUEÑO POR</t>
  </si>
  <si>
    <t>DOS HERMANAS</t>
  </si>
  <si>
    <t>C/ AVENIDA 28 DE FEBRERO, 12</t>
  </si>
  <si>
    <t>-5.91575, 37.288194</t>
  </si>
  <si>
    <t>41700</t>
  </si>
  <si>
    <t>93671</t>
  </si>
  <si>
    <t>0183118355</t>
  </si>
  <si>
    <t>AREA DE SERVICIO MOTILLANA</t>
  </si>
  <si>
    <t>CR A-3 P.K. 212 (M.I.)</t>
  </si>
  <si>
    <t>-1.899472, 39.538444</t>
  </si>
  <si>
    <t>Rest. Autoservicio, Restaurante, Cafetería/Bar, Lavado cepillos, Lavado camiones, Parking turismos, Parking camiones, Zona de descanso, Box presión, Duchas, Aspiradores, Waylet pago en caja, Adblue Envasado</t>
  </si>
  <si>
    <t>11895</t>
  </si>
  <si>
    <t>0183055045</t>
  </si>
  <si>
    <t>ES INVERSIONES JIMENES BARRIOS SL</t>
  </si>
  <si>
    <t>CR SE-126, 0,5</t>
  </si>
  <si>
    <t>-5.820083, 37.605389</t>
  </si>
  <si>
    <t>93767</t>
  </si>
  <si>
    <t>0183135854</t>
  </si>
  <si>
    <t>ES COMBUSTIBLE CHAPARRAL</t>
  </si>
  <si>
    <t>CALLE BIZET 11</t>
  </si>
  <si>
    <t>-0.695028, 38.010944</t>
  </si>
  <si>
    <t>03184</t>
  </si>
  <si>
    <t>95990</t>
  </si>
  <si>
    <t>0183135177</t>
  </si>
  <si>
    <t>ES CAYETANA</t>
  </si>
  <si>
    <t>CARAVACA DE LA CRUZ</t>
  </si>
  <si>
    <t>CALASPARRA S/N CTRA RM 517 PARAJE D</t>
  </si>
  <si>
    <t>-1.821056, 38.103611</t>
  </si>
  <si>
    <t>30400</t>
  </si>
  <si>
    <t>04718</t>
  </si>
  <si>
    <t>0041167818</t>
  </si>
  <si>
    <t>ES DIEZNASOIL, S.L.</t>
  </si>
  <si>
    <t>CR A-2, 135</t>
  </si>
  <si>
    <t>-2.450583, 41.039583</t>
  </si>
  <si>
    <t>L-V: 06:00-22:00; S: 08:00-21:00; D: 07:00-22:00</t>
  </si>
  <si>
    <t>05511</t>
  </si>
  <si>
    <t>0183050533</t>
  </si>
  <si>
    <t>ES ESTELRICH FRONTERA, JOSEP</t>
  </si>
  <si>
    <t>CA'N PICAFORT</t>
  </si>
  <si>
    <t>CR C-712, PK. 22,3</t>
  </si>
  <si>
    <t>3.15075, 39.763139</t>
  </si>
  <si>
    <t>96658</t>
  </si>
  <si>
    <t>0183111095</t>
  </si>
  <si>
    <t>ES AQUATERRA MECO</t>
  </si>
  <si>
    <t>AU R-2 ,P.K. 35,5 M.I.</t>
  </si>
  <si>
    <t>-3.294472, 40.557</t>
  </si>
  <si>
    <t>11106</t>
  </si>
  <si>
    <t>0183106806</t>
  </si>
  <si>
    <t>CARBURANTES Y SERVICOS JOVIPE,S.L.</t>
  </si>
  <si>
    <t>-3.914583, 40.507806</t>
  </si>
  <si>
    <t>05716</t>
  </si>
  <si>
    <t>0183057165</t>
  </si>
  <si>
    <t>E.S. NAVARRO, S. L.</t>
  </si>
  <si>
    <t>FUENTE DE CANTOS</t>
  </si>
  <si>
    <t>CR N-630, 702,2</t>
  </si>
  <si>
    <t>-6.299917, 38.246278</t>
  </si>
  <si>
    <t>06240</t>
  </si>
  <si>
    <t>Taller mecánico, Taller neumáticos, Lavado cepillos, Waylet pago en caja, Adblue Envasado, Punto recarga eléctrico Repsol</t>
  </si>
  <si>
    <t>01530</t>
  </si>
  <si>
    <t>0183051176</t>
  </si>
  <si>
    <t>E.S. GASERTO, SA</t>
  </si>
  <si>
    <t>CL AVENIDA CASTILLA, 43</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</si>
  <si>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</si>
  <si>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</si>
  <si>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</si>
  <si>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93974</t>
  </si>
  <si>
    <t>0183119452</t>
  </si>
  <si>
    <t>E.S. PUERTA DE LOS PEDROCHES</t>
  </si>
  <si>
    <t>CRA. N-502 KM 366,5</t>
  </si>
  <si>
    <t>-4.974972, 38.380111</t>
  </si>
  <si>
    <t>15956</t>
  </si>
  <si>
    <t>0183017821</t>
  </si>
  <si>
    <t>C.SANT.JORDI,E.S.,SL</t>
  </si>
  <si>
    <t>COLONIA SANT JORDI</t>
  </si>
  <si>
    <t>CL AVDA.MARQUES DEL PALMER, 86</t>
  </si>
  <si>
    <t>3.000056, 39.320111</t>
  </si>
  <si>
    <t>07638</t>
  </si>
  <si>
    <t>Cafetería/Bar, Lavado cepillos, Parking turismos, Zona de descanso, Box presión, Aspiradores, Solred cheque lavado, Waylet pago en caja, Adblue Envasado, Recarga eléctrica</t>
  </si>
  <si>
    <t>05623</t>
  </si>
  <si>
    <t>0183016351</t>
  </si>
  <si>
    <t>ES ARAZURI GUREAK SLU</t>
  </si>
  <si>
    <t>ARAZURI</t>
  </si>
  <si>
    <t>CR NA-7000, 5,3</t>
  </si>
  <si>
    <t>-1.718111, 42.818417</t>
  </si>
  <si>
    <t>31170</t>
  </si>
  <si>
    <t>07043</t>
  </si>
  <si>
    <t>0183007566</t>
  </si>
  <si>
    <t>NONDUERMAS</t>
  </si>
  <si>
    <t>CR N-340  A, 655,5</t>
  </si>
  <si>
    <t>-1.177944, 37.972389</t>
  </si>
  <si>
    <t>30166</t>
  </si>
  <si>
    <t>L-V: 08:00-20:00</t>
  </si>
  <si>
    <t>02145</t>
  </si>
  <si>
    <t>0183075381</t>
  </si>
  <si>
    <t>ES CALVO GALAN S.L.</t>
  </si>
  <si>
    <t>ZALAMEA DE LA SERENA</t>
  </si>
  <si>
    <t>CL PLAZA DE LA FUENTE S.N.</t>
  </si>
  <si>
    <t>-5.65925, 38.654667</t>
  </si>
  <si>
    <t>06731</t>
  </si>
  <si>
    <t>0183008838</t>
  </si>
  <si>
    <t>U.S. 6731 LA TORRE II</t>
  </si>
  <si>
    <t>TORREBLANCA</t>
  </si>
  <si>
    <t>CR N-340, 1011,6</t>
  </si>
  <si>
    <t>0.201167, 40.221889</t>
  </si>
  <si>
    <t>33378</t>
  </si>
  <si>
    <t>0183000603</t>
  </si>
  <si>
    <t>E.S.  BUENOS AIRES</t>
  </si>
  <si>
    <t>OBEJO-CERRO MURIANO</t>
  </si>
  <si>
    <t>CR N-432, 252</t>
  </si>
  <si>
    <t>-4.773917, 38.008889</t>
  </si>
  <si>
    <t>14310</t>
  </si>
  <si>
    <t>L-J: 07:30-14:00 y 15:00-19:30; V: 07:30-15:00 y 16:00-19:30; S: 09:00-14:00</t>
  </si>
  <si>
    <t>11588</t>
  </si>
  <si>
    <t>0183109628</t>
  </si>
  <si>
    <t>ES CARBUR. Y SERV. GARCERAN SL</t>
  </si>
  <si>
    <t>DOLORES, LOS - MURCI</t>
  </si>
  <si>
    <t>CL CAMINO DE TIÑOSA, 45</t>
  </si>
  <si>
    <t>-1.0945, 37.965528</t>
  </si>
  <si>
    <t>30011</t>
  </si>
  <si>
    <t>11953</t>
  </si>
  <si>
    <t>0183055458</t>
  </si>
  <si>
    <t>E.S. MONTSACRO</t>
  </si>
  <si>
    <t>CL POL.INDUSTRIAL RIAÑO(LANGREO, S.</t>
  </si>
  <si>
    <t>-5.729667, 43.326306</t>
  </si>
  <si>
    <t>Restaurante, Cafetería/Bar, Lavado cepillos, Lavado camiones, Parking turismos, Parking camiones, Box presión, Aspiradores, Solred cheque lavado, Waylet pago en caja, Lavados Klin</t>
  </si>
  <si>
    <t>96233</t>
  </si>
  <si>
    <t>0183077924</t>
  </si>
  <si>
    <t>CR A-6, 25,5</t>
  </si>
  <si>
    <t>-3.8975, 40.55275</t>
  </si>
  <si>
    <t>Cafetería/Bar, Lavado cepillos, Parking turismos, Box presión, Aspiradores, Waylet pago en surtidor, Waylet pago en caja, Adblue Envasado, Punto recarga eléctrico Repsol</t>
  </si>
  <si>
    <t>05380</t>
  </si>
  <si>
    <t>0183051697</t>
  </si>
  <si>
    <t>E.S.  DIAZ MUÑOZ, S.L.</t>
  </si>
  <si>
    <t>POZOHONDO</t>
  </si>
  <si>
    <t>CR CM-313, 61,7</t>
  </si>
  <si>
    <t>-1.91075, 38.717556</t>
  </si>
  <si>
    <t>02141</t>
  </si>
  <si>
    <t>34496</t>
  </si>
  <si>
    <t>0183055128</t>
  </si>
  <si>
    <t>E.S. RUTA-VERA,S.L.</t>
  </si>
  <si>
    <t>TEJEDA DE TIETAR</t>
  </si>
  <si>
    <t>CARRETERA EX-203, PK 19.700</t>
  </si>
  <si>
    <t>-5.874333, 40.017278</t>
  </si>
  <si>
    <t>10420</t>
  </si>
  <si>
    <t>10395</t>
  </si>
  <si>
    <t>0183002252</t>
  </si>
  <si>
    <t>E.S. LASARTE</t>
  </si>
  <si>
    <t>CL CIRCUITO IBILBIDEA, 8</t>
  </si>
  <si>
    <t>-2.019028, 43.257333</t>
  </si>
  <si>
    <t>05651</t>
  </si>
  <si>
    <t>0063016505</t>
  </si>
  <si>
    <t>ES ADELMA SERVICIOS Y COMBUSTIBLES</t>
  </si>
  <si>
    <t>CR N-634, 195</t>
  </si>
  <si>
    <t>-3.685028, 43.388417</t>
  </si>
  <si>
    <t>EFITEC 95 N - España, EFITEC 98 N - España, DIESEL E+ NEO - España, DIESEL NEXA 100% RENOVABLE - Esp, GO-B BONIF - España, Autogás</t>
  </si>
  <si>
    <t>Parking turismos, Solred cheque lavado, Waylet pago en caja</t>
  </si>
  <si>
    <t>33442</t>
  </si>
  <si>
    <t>0183111376</t>
  </si>
  <si>
    <t>ES GEST. RECURSOS ENERGET. DE SUR,</t>
  </si>
  <si>
    <t>AVENIDA DUQUE DE ABRANTES, SN</t>
  </si>
  <si>
    <t>-6.134167, 36.695361</t>
  </si>
  <si>
    <t>06063</t>
  </si>
  <si>
    <t>0183015635</t>
  </si>
  <si>
    <t>U.S. PELLITERO S.L.</t>
  </si>
  <si>
    <t>FONTECHA DEL PARAMO</t>
  </si>
  <si>
    <t>CR C-622, 17</t>
  </si>
  <si>
    <t>-5.692611, 42.436167</t>
  </si>
  <si>
    <t>24250</t>
  </si>
  <si>
    <t>L-V: 07:00-22:00; S: 08:00-14:00; D: 08:00-22:00</t>
  </si>
  <si>
    <t>96223</t>
  </si>
  <si>
    <t>0183077510</t>
  </si>
  <si>
    <t>PALACIOS DE GODA</t>
  </si>
  <si>
    <t>CR N-6, 135,5</t>
  </si>
  <si>
    <t>-4.777583, 41.132361</t>
  </si>
  <si>
    <t>05215</t>
  </si>
  <si>
    <t>Restaurante, Cafetería/Bar, Parking turismos, Parking camiones, Zona de descanso, Duchas, Waylet pago en surtidor, Waylet pago en caja, Recarga eléctrica</t>
  </si>
  <si>
    <t>07169</t>
  </si>
  <si>
    <t>0183119189</t>
  </si>
  <si>
    <t>E.S. SUMI. PETROLIFEROS MORATALLA S</t>
  </si>
  <si>
    <t>HORNACHUELOS</t>
  </si>
  <si>
    <t>CR A-431 CÓRDOBA-SEVILLA, KM. 40</t>
  </si>
  <si>
    <t>-5.201611, 37.777778</t>
  </si>
  <si>
    <t>14740</t>
  </si>
  <si>
    <t>L-S: 06:00-21:00; D: 08:00-20:00</t>
  </si>
  <si>
    <t>04272</t>
  </si>
  <si>
    <t>0183054998</t>
  </si>
  <si>
    <t>BIDE BARRI, S.L.</t>
  </si>
  <si>
    <t>LEIOA-E.S.</t>
  </si>
  <si>
    <t>CL AVENIDA IPARRAGUIRRE, 108</t>
  </si>
  <si>
    <t>-2.976194, 43.320444</t>
  </si>
  <si>
    <t>48940</t>
  </si>
  <si>
    <t>Parking turismos, Solred cheque lavado, Waylet pago en caja, Punto recarga eléctrico Repsol</t>
  </si>
  <si>
    <t>11229</t>
  </si>
  <si>
    <t>0183134386</t>
  </si>
  <si>
    <t>ES REPSOL MANCHA REAL</t>
  </si>
  <si>
    <t>MANCHA REAL</t>
  </si>
  <si>
    <t>CTRA J-3242 KM 0.70 MI</t>
  </si>
  <si>
    <t>-3.600111, 37.783889</t>
  </si>
  <si>
    <t>23100</t>
  </si>
  <si>
    <t>33382</t>
  </si>
  <si>
    <t>0183014992</t>
  </si>
  <si>
    <t>E.S. SERVICIOS ALCUDIA, S.A. 2</t>
  </si>
  <si>
    <t>CL AVENIDA JAIME I, 143</t>
  </si>
  <si>
    <t>2.915333, 39.716639</t>
  </si>
  <si>
    <t>Cafetería/Bar, Taller mecánico, Waylet pago en caja, Punto recarga eléctrico Repsol, Recarga eléctrica</t>
  </si>
  <si>
    <t>11364</t>
  </si>
  <si>
    <t>0183078518</t>
  </si>
  <si>
    <t>E.S.GUREAK BETOÑO</t>
  </si>
  <si>
    <t>CL PORTAL BETOÑO, 1</t>
  </si>
  <si>
    <t>-2.661694, 42.859278</t>
  </si>
  <si>
    <t>12464</t>
  </si>
  <si>
    <t>0183062363</t>
  </si>
  <si>
    <t>E.S. SERVEI AMER SL</t>
  </si>
  <si>
    <t>AMER</t>
  </si>
  <si>
    <t>CR COMARCAL 152 KM 22,032</t>
  </si>
  <si>
    <t>2.591833, 42.022694</t>
  </si>
  <si>
    <t>17170</t>
  </si>
  <si>
    <t>L-V: 06:00-22:00; S: 07:00-22:00; D: 08:00-14:30</t>
  </si>
  <si>
    <t>31574</t>
  </si>
  <si>
    <t>0183056985</t>
  </si>
  <si>
    <t>NAVA DE LA ASUNCION</t>
  </si>
  <si>
    <t>CR SG-341 STA. MA. NIEVA - NAVA, 10</t>
  </si>
  <si>
    <t>-4.484083, 41.145028</t>
  </si>
  <si>
    <t>40450</t>
  </si>
  <si>
    <t>15690</t>
  </si>
  <si>
    <t>0183057231</t>
  </si>
  <si>
    <t>RIBES Y ARAGON, S.L.</t>
  </si>
  <si>
    <t>VALL D ALBA</t>
  </si>
  <si>
    <t>CR CS-800, 11,4</t>
  </si>
  <si>
    <t>-0.045389, 40.192639</t>
  </si>
  <si>
    <t>12194</t>
  </si>
  <si>
    <t>EFITEC 95 N - España, EFITEC 98 N - España, Butano 12,5 Kg, DIESEL E+ NEO - España, GO-B BONIF - España, Propano 11 Kg, BLUE+GRANEL - España</t>
  </si>
  <si>
    <t>31252</t>
  </si>
  <si>
    <t>0183056290</t>
  </si>
  <si>
    <t>E.S.  VICTORIA,S.L.</t>
  </si>
  <si>
    <t>CL AVENIDA DEL TEXTIL, 42</t>
  </si>
  <si>
    <t>-0.588056, 38.827194</t>
  </si>
  <si>
    <t>15101</t>
  </si>
  <si>
    <t>0183001411</t>
  </si>
  <si>
    <t>ES LAS TORRES</t>
  </si>
  <si>
    <t>CR N-342 485</t>
  </si>
  <si>
    <t>-4.160778, 37.168278</t>
  </si>
  <si>
    <t>33373</t>
  </si>
  <si>
    <t>0042133660</t>
  </si>
  <si>
    <t>E.S.  LA CAROLINA</t>
  </si>
  <si>
    <t>CAROLINA, LA</t>
  </si>
  <si>
    <t>CR N-4, 269</t>
  </si>
  <si>
    <t>-3.609972, 38.272333</t>
  </si>
  <si>
    <t>23200</t>
  </si>
  <si>
    <t>Restaurante, Taller mecánico, Taller eléctrico, Lavado cepillos, Zona de descanso, Box presión, Aspiradores, Waylet pago en caja, Adblue Envasado, Punto recarga eléctrico Repsol</t>
  </si>
  <si>
    <t>33756</t>
  </si>
  <si>
    <t>0063199152</t>
  </si>
  <si>
    <t>ES REYSAN, S.L.</t>
  </si>
  <si>
    <t>LA PUEBLA DE CAZALLA</t>
  </si>
  <si>
    <t>CR N-334, 69,2</t>
  </si>
  <si>
    <t>-5.306556, 37.226611</t>
  </si>
  <si>
    <t>L-V: 06:00-21:00; S: 07:00-21:00; D: 07:00-14:00</t>
  </si>
  <si>
    <t>Lavado cepillos, Parking turismos, Box presión, Aspiradores, Solred cheque lavado, Lavandería, Waylet pago en surtidor, Waylet pago en caja</t>
  </si>
  <si>
    <t>94152</t>
  </si>
  <si>
    <t>0183135607</t>
  </si>
  <si>
    <t>ES SAUCEROJO SL</t>
  </si>
  <si>
    <t>OLEIROS</t>
  </si>
  <si>
    <t>AVDA. CHE GUEVARA KM. 166</t>
  </si>
  <si>
    <t>-8.345583, 43.341833</t>
  </si>
  <si>
    <t>31224</t>
  </si>
  <si>
    <t>0183013176</t>
  </si>
  <si>
    <t>E.S. SACASA, S.A</t>
  </si>
  <si>
    <t>CL S.ADRIAN, 81</t>
  </si>
  <si>
    <t>2.201472, 41.435833</t>
  </si>
  <si>
    <t>EFITEC 95 N - España, Efitec 95 Premium, EFITEC 98 N - España, Butano 12,5 Kg, DIESEL E+ NEO - España, DIESEL NEXA 100% RENOVABLE - Esp, Butano 12 Kg (NEL)</t>
  </si>
  <si>
    <t>11383</t>
  </si>
  <si>
    <t>0183019090</t>
  </si>
  <si>
    <t>ES HERMANOS BELLIDO ORTEGA SL</t>
  </si>
  <si>
    <t>NUEVA CARTEYA</t>
  </si>
  <si>
    <t>CR C-282, 17,3</t>
  </si>
  <si>
    <t>-4.481472, 37.593083</t>
  </si>
  <si>
    <t>14857</t>
  </si>
  <si>
    <t>EFITEC 95 N - España, Efitec 95 Premium, Butano 12,5 Kg, DIESEL E+ NEO - España, DIESEL E+10 NEO - España, GO-B BONIF - España, Propano 11 Kg, Butano 12 Kg (NEL)</t>
  </si>
  <si>
    <t>05917</t>
  </si>
  <si>
    <t>0183007202</t>
  </si>
  <si>
    <t>E.S. PATXI XABIER GERMENDIA GOICOCH</t>
  </si>
  <si>
    <t>ARRIBA-ATALLO</t>
  </si>
  <si>
    <t>CR NA-130, 11,8</t>
  </si>
  <si>
    <t>-1.983694, 43.033417</t>
  </si>
  <si>
    <t>31891</t>
  </si>
  <si>
    <t>L-D: 08:00-13:00 y 16:00-21:00</t>
  </si>
  <si>
    <t>34227</t>
  </si>
  <si>
    <t>0183050434</t>
  </si>
  <si>
    <t>E.S. FERTOL, SRL.</t>
  </si>
  <si>
    <t>ALCAÑICES</t>
  </si>
  <si>
    <t>CR N-122, 516,7  I</t>
  </si>
  <si>
    <t>-6.34225, 41.697389</t>
  </si>
  <si>
    <t>49500</t>
  </si>
  <si>
    <t>Cafetería/Bar, Lavado cepillos, Parking turismos, Zona de descanso, Box presión, Duchas, Aspiradores, Solred cheque lavado, Waylet pago en surtidor, Waylet pago en caja, Punto recarga eléctrico Repsol</t>
  </si>
  <si>
    <t>05015</t>
  </si>
  <si>
    <t>0183019280</t>
  </si>
  <si>
    <t>CRISFAL LUSOPOR, S.L.</t>
  </si>
  <si>
    <t>VALENCIA DE ALCANTAR</t>
  </si>
  <si>
    <t>CL PIZARRO, 8</t>
  </si>
  <si>
    <t>-7.242028, 39.409778</t>
  </si>
  <si>
    <t>10500</t>
  </si>
  <si>
    <t>Cafetería/Bar, Taller neumáticos, Zona de descanso, Box presión, Aspiradores, Waylet pago en caja, Adblue Envasado, Punto recarga eléctrico Repsol</t>
  </si>
  <si>
    <t>34282</t>
  </si>
  <si>
    <t>0183004886</t>
  </si>
  <si>
    <t>E.S. VILLARCE MADRID</t>
  </si>
  <si>
    <t>CL MADRID, 66</t>
  </si>
  <si>
    <t>-3.7005, 42.330333</t>
  </si>
  <si>
    <t>02971</t>
  </si>
  <si>
    <t>0183126366</t>
  </si>
  <si>
    <t>ES GARCIA MARTINEZ JUAN ANTONIO</t>
  </si>
  <si>
    <t>CARAVACA</t>
  </si>
  <si>
    <t>CR DE MORATALLA Nº 1</t>
  </si>
  <si>
    <t>-1.865861, 38.110694</t>
  </si>
  <si>
    <t>L-S: 06:30-22:00</t>
  </si>
  <si>
    <t>92434</t>
  </si>
  <si>
    <t>0183122506</t>
  </si>
  <si>
    <t>TORROELLA DE MONTGRI</t>
  </si>
  <si>
    <t>CR DE TORROELLA A L'ESTARTIT KM 2</t>
  </si>
  <si>
    <t>3.140833, 42.042222</t>
  </si>
  <si>
    <t>Cafetería/Bar, Lavado cepillos, Parking turismos, Zona de descanso, Box presión, Aspiradores, Waylet pago en caja, Adblue Envasado, Punto recarga eléctrico Repsol, Lavados Klin</t>
  </si>
  <si>
    <t>12542</t>
  </si>
  <si>
    <t>0183076835</t>
  </si>
  <si>
    <t>LES 4 RODES S.L.</t>
  </si>
  <si>
    <t>CR C-12, 61</t>
  </si>
  <si>
    <t>0.661917, 41.0795</t>
  </si>
  <si>
    <t>L-V: 07:30-13:30 y 16:00-19:00; S-D: 08:00-14:00</t>
  </si>
  <si>
    <t>03653</t>
  </si>
  <si>
    <t>0183056225</t>
  </si>
  <si>
    <t>ES PETRONALCA ELGOIBAR</t>
  </si>
  <si>
    <t>ELGOIBAR</t>
  </si>
  <si>
    <t>CR N-634, 56,7</t>
  </si>
  <si>
    <t>-2.40875, 43.219167</t>
  </si>
  <si>
    <t>20870</t>
  </si>
  <si>
    <t>33405</t>
  </si>
  <si>
    <t>0063216527</t>
  </si>
  <si>
    <t>CR N-630, PK. 149</t>
  </si>
  <si>
    <t>-5.583278, 42.572556</t>
  </si>
  <si>
    <t>34272</t>
  </si>
  <si>
    <t>0183010396</t>
  </si>
  <si>
    <t>NOLASCO, S.L.</t>
  </si>
  <si>
    <t>ADOR-PALMA DE GANDIA</t>
  </si>
  <si>
    <t>CR CV-60, P.K. 35</t>
  </si>
  <si>
    <t>-0.211583, 38.934278</t>
  </si>
  <si>
    <t>46724</t>
  </si>
  <si>
    <t>05402</t>
  </si>
  <si>
    <t>0183000652</t>
  </si>
  <si>
    <t>E.S. JOSE LUIS CASALEIRO ACOSTA</t>
  </si>
  <si>
    <t>CR N-342, 4</t>
  </si>
  <si>
    <t>-6.096778, 36.697028</t>
  </si>
  <si>
    <t>96391</t>
  </si>
  <si>
    <t>0183109354</t>
  </si>
  <si>
    <t>ORIHUELA</t>
  </si>
  <si>
    <t>CR N-340, 688,6</t>
  </si>
  <si>
    <t>-0.93175, 38.106222</t>
  </si>
  <si>
    <t>03300</t>
  </si>
  <si>
    <t>Lavado cepillos, Parking turismos, Parking camiones, Box presión, Aspiradores, Waylet pago en surtidor, Waylet pago en caja, Adblue Envasado, Lavados Klin</t>
  </si>
  <si>
    <t>07360</t>
  </si>
  <si>
    <t>0183059211</t>
  </si>
  <si>
    <t>E.S. GLEM,S.L. AGOST.</t>
  </si>
  <si>
    <t>AGOST</t>
  </si>
  <si>
    <t>CR A-220, 11</t>
  </si>
  <si>
    <t>-0.63725, 38.434417</t>
  </si>
  <si>
    <t>03698</t>
  </si>
  <si>
    <t>33081</t>
  </si>
  <si>
    <t>0183005867</t>
  </si>
  <si>
    <t>E.S.CARB.S.ARÉVALO</t>
  </si>
  <si>
    <t>CR N-6, 123  A</t>
  </si>
  <si>
    <t>-4.698639, 41.04375</t>
  </si>
  <si>
    <t>L-V: 07:00-23:00; S: 07:00-15:00</t>
  </si>
  <si>
    <t>92550</t>
  </si>
  <si>
    <t>0183136332</t>
  </si>
  <si>
    <t>ES PETRONALCA MUTILVA II</t>
  </si>
  <si>
    <t>PA-30 KM 4,5 RONDA ESTE (Dir Franci</t>
  </si>
  <si>
    <t>-1.611611, 42.800611</t>
  </si>
  <si>
    <t>Parking turismos, Zona de descanso, Box presión, Duchas, Aspiradores, Lavandería, Waylet pago en caja</t>
  </si>
  <si>
    <t>11721</t>
  </si>
  <si>
    <t>0183131374</t>
  </si>
  <si>
    <t>ES ESTACION DE SERVICIO COSTA EJIDO</t>
  </si>
  <si>
    <t>AV BULEVAR DE EL EJIDO, 74</t>
  </si>
  <si>
    <t>-2.826111, 36.771278</t>
  </si>
  <si>
    <t>Cafetería/Bar, Box presión, Aspiradores, Solred cheque lavado, Waylet pago en caja, Adblue Envasado</t>
  </si>
  <si>
    <t>96737</t>
  </si>
  <si>
    <t>0183112838</t>
  </si>
  <si>
    <t>E.S. CANIVELL LA FLORIDA</t>
  </si>
  <si>
    <t>CL CUDILLERO -ESQ.C/CATEDR.LUIS SEL</t>
  </si>
  <si>
    <t>-5.873333, 43.365556</t>
  </si>
  <si>
    <t>Lavado cepillos, Parking turismos, Box presión, Aspiradores, Solred cheque lavado, Waylet pago en surtidor, Waylet pago en caja, Adblue Envasado, Punto recarga eléctrico Repsol, Recarga eléctrica</t>
  </si>
  <si>
    <t>05532</t>
  </si>
  <si>
    <t>0063044812</t>
  </si>
  <si>
    <t>ES BIDE BARRI SL</t>
  </si>
  <si>
    <t>CL RIBERA DE AXPE, 19</t>
  </si>
  <si>
    <t>-2.984639, 43.313056</t>
  </si>
  <si>
    <t>0183005685</t>
  </si>
  <si>
    <t>SACEPLUS, S.L.</t>
  </si>
  <si>
    <t>SACEDON</t>
  </si>
  <si>
    <t>CR N-320, PK. 221,5</t>
  </si>
  <si>
    <t>-2.733139, 40.48325</t>
  </si>
  <si>
    <t>19120</t>
  </si>
  <si>
    <t>12311</t>
  </si>
  <si>
    <t>0183060763</t>
  </si>
  <si>
    <t>E.S. ISIDORO BLAS GARCIA</t>
  </si>
  <si>
    <t>ESTEBANEZ DE LA CALZ</t>
  </si>
  <si>
    <t>CR. N-120 342,5</t>
  </si>
  <si>
    <t>-5.965917, 42.447667</t>
  </si>
  <si>
    <t>24288</t>
  </si>
  <si>
    <t>Cafetería/Bar, Lavado cepillos, Lavado camiones, Parking turismos, Parking camiones, Zona de descanso, Box presión, Aspiradores, Solred cheque lavado, Waylet pago en surtidor, Waylet pago en caja, Adblue Envasado</t>
  </si>
  <si>
    <t>15796</t>
  </si>
  <si>
    <t>0183011881</t>
  </si>
  <si>
    <t>E.S. GLEM - SANT JORDI</t>
  </si>
  <si>
    <t>BAÑERES</t>
  </si>
  <si>
    <t>PADRE JESULADO FERRERO, 1</t>
  </si>
  <si>
    <t>-0.664056, 38.715917</t>
  </si>
  <si>
    <t>03450</t>
  </si>
  <si>
    <t>31407</t>
  </si>
  <si>
    <t>0183061258</t>
  </si>
  <si>
    <t>E.S. ABADIN E HIJOS SL</t>
  </si>
  <si>
    <t>CL ROMA, 2</t>
  </si>
  <si>
    <t>2.035361, 41.533167</t>
  </si>
  <si>
    <t>EFITEC 95 N - España, EFITEC 98 N - España, DIESEL E+ NEO - España, DIESEL E+10 NEO - España, GO-B BONIF - España, Propano 11 Kg, BLUE+GRANEL - España</t>
  </si>
  <si>
    <t>34137</t>
  </si>
  <si>
    <t>0183001023</t>
  </si>
  <si>
    <t>ES VILLANUEVA ROANROES S.L.</t>
  </si>
  <si>
    <t>VILLANUEVA DEL CAMPO</t>
  </si>
  <si>
    <t>CR N-610 81,8   I</t>
  </si>
  <si>
    <t>-5.412278, 41.987417</t>
  </si>
  <si>
    <t>49100</t>
  </si>
  <si>
    <t>93507</t>
  </si>
  <si>
    <t>0183128800</t>
  </si>
  <si>
    <t>E.S. MARQUEZ LAO, SLU</t>
  </si>
  <si>
    <t>ALHAMA DE ALMERIA</t>
  </si>
  <si>
    <t>CTRA A-348, PK 123</t>
  </si>
  <si>
    <t>-2.555722, 36.949944</t>
  </si>
  <si>
    <t>04400</t>
  </si>
  <si>
    <t>96915</t>
  </si>
  <si>
    <t>0183119403</t>
  </si>
  <si>
    <t>E.S. EL SOTO</t>
  </si>
  <si>
    <t>IRUZ</t>
  </si>
  <si>
    <t>CR CA-270 EL SOTO-SANTIBAÑEZ KM 1,2</t>
  </si>
  <si>
    <t>-3.935306, 43.272972</t>
  </si>
  <si>
    <t>39691</t>
  </si>
  <si>
    <t>L-S: 08:00-22:00; D: 09:00-22:00</t>
  </si>
  <si>
    <t>96773</t>
  </si>
  <si>
    <t>0183114602</t>
  </si>
  <si>
    <t>ES RAFAEL MUGICA SL</t>
  </si>
  <si>
    <t>LEIZA</t>
  </si>
  <si>
    <t>CR  NA-170 P.K. 1,98</t>
  </si>
  <si>
    <t>-1.922278, 43.084972</t>
  </si>
  <si>
    <t>31880</t>
  </si>
  <si>
    <t>Lavado cepillos, Lavado camiones, Parking turismos, Parking camiones, Box presión, Aspiradores, Waylet pago en caja</t>
  </si>
  <si>
    <t>05762</t>
  </si>
  <si>
    <t>0183051184</t>
  </si>
  <si>
    <t>E.S. E. FERRARI</t>
  </si>
  <si>
    <t>CL EMILIO FERRARI, 68</t>
  </si>
  <si>
    <t>-3.640778, 40.430417</t>
  </si>
  <si>
    <t>28017</t>
  </si>
  <si>
    <t>00187</t>
  </si>
  <si>
    <t>0183052414</t>
  </si>
  <si>
    <t>E.S. MARIA CIRT</t>
  </si>
  <si>
    <t>ATIENZA</t>
  </si>
  <si>
    <t>CR C-114, 59</t>
  </si>
  <si>
    <t>-2.868583, 41.193722</t>
  </si>
  <si>
    <t>19270</t>
  </si>
  <si>
    <t>L-S: 08:00-16:00; D: 09:00-14:00</t>
  </si>
  <si>
    <t>05517</t>
  </si>
  <si>
    <t>0183017755</t>
  </si>
  <si>
    <t>E.S. FUEL ANDRATX</t>
  </si>
  <si>
    <t>PORT D'ANDRATX</t>
  </si>
  <si>
    <t>C/ ANTONI CALAFAT, 22</t>
  </si>
  <si>
    <t>2.389306, 39.542972</t>
  </si>
  <si>
    <t>07157</t>
  </si>
  <si>
    <t>01728</t>
  </si>
  <si>
    <t>0183080340</t>
  </si>
  <si>
    <t>AS DOMINGUEZ &amp; RUBIO GESTION S.L.</t>
  </si>
  <si>
    <t>BARRACO, EL</t>
  </si>
  <si>
    <t>C/ REAL DE ARRIBA, 71</t>
  </si>
  <si>
    <t>-4.646944, 40.478194</t>
  </si>
  <si>
    <t>05110</t>
  </si>
  <si>
    <t>34502</t>
  </si>
  <si>
    <t>0183050608</t>
  </si>
  <si>
    <t>E.S. VIURA GINESTA</t>
  </si>
  <si>
    <t>BATLLORIA, LA</t>
  </si>
  <si>
    <t>CR C-35 PK. 61,9</t>
  </si>
  <si>
    <t>2.546611, 41.719111</t>
  </si>
  <si>
    <t>08476</t>
  </si>
  <si>
    <t>Parking turismos, Box presión, Solred cheque lavado, Waylet pago en caja</t>
  </si>
  <si>
    <t>11689</t>
  </si>
  <si>
    <t>0183054782</t>
  </si>
  <si>
    <t>AREA SERVICIO CALAHORRA, S.A.</t>
  </si>
  <si>
    <t>CR N-232, 353,7</t>
  </si>
  <si>
    <t>-1.9175, 42.263389</t>
  </si>
  <si>
    <t>05653</t>
  </si>
  <si>
    <t>0063192918</t>
  </si>
  <si>
    <t>E.S. LA ENCINA</t>
  </si>
  <si>
    <t>ENCINA DE CAYON, LA</t>
  </si>
  <si>
    <t>CR N-634, 213</t>
  </si>
  <si>
    <t>-3.867861, 43.320694</t>
  </si>
  <si>
    <t>39627</t>
  </si>
  <si>
    <t>96665</t>
  </si>
  <si>
    <t>0183111491</t>
  </si>
  <si>
    <t>CR  R-5  P.K. 5,5 M.D.</t>
  </si>
  <si>
    <t>-3.801667, 40.338056</t>
  </si>
  <si>
    <t>34254</t>
  </si>
  <si>
    <t>0183061795</t>
  </si>
  <si>
    <t>E.S. PEGUERILLAS</t>
  </si>
  <si>
    <t>CR H-50  KM. 3,5  MARGEN IZDO. VIA</t>
  </si>
  <si>
    <t>-6.948139, 37.330639</t>
  </si>
  <si>
    <t>21005</t>
  </si>
  <si>
    <t>L-V: 07:00-22:00; S: 07:30-15:30</t>
  </si>
  <si>
    <t>33996</t>
  </si>
  <si>
    <t>0183009828</t>
  </si>
  <si>
    <t>ES SAFOR ESTACIONES, S.L.</t>
  </si>
  <si>
    <t>ALMISERAT</t>
  </si>
  <si>
    <t>CR CV-60, 29</t>
  </si>
  <si>
    <t>-0.269444, 38.922667</t>
  </si>
  <si>
    <t>46726</t>
  </si>
  <si>
    <t>Restaurante, Cafetería/Bar, Lavado cepillos, Zona de descanso, Aspiradores, Solred cheque lavado, Waylet pago en caja, Adblue Envasado</t>
  </si>
  <si>
    <t>06082</t>
  </si>
  <si>
    <t>0183016542</t>
  </si>
  <si>
    <t>U.S. TERA GASOLINERA SL</t>
  </si>
  <si>
    <t>CR LE-441, 4,6</t>
  </si>
  <si>
    <t>-5.639972, 42.613278</t>
  </si>
  <si>
    <t>L-S: 09:00-14:30 y 16:30-19:00</t>
  </si>
  <si>
    <t>97028</t>
  </si>
  <si>
    <t>0183125103</t>
  </si>
  <si>
    <t>ES MORALEJA ENERGY ALCOBENDAS</t>
  </si>
  <si>
    <t>CL BOULEVARD SALVADOR ALLENDE, 12-1</t>
  </si>
  <si>
    <t>-3.634389, 40.53775</t>
  </si>
  <si>
    <t>92407</t>
  </si>
  <si>
    <t>0183123413</t>
  </si>
  <si>
    <t>E.S. LA ALBERCA</t>
  </si>
  <si>
    <t>CTRA. SALAMANCA- LA ALBERCA, KM 75,</t>
  </si>
  <si>
    <t>-6.124639, 40.51075</t>
  </si>
  <si>
    <t>37624</t>
  </si>
  <si>
    <t>03243</t>
  </si>
  <si>
    <t>0183076652</t>
  </si>
  <si>
    <t>GAR. AUTO SALON,S.L.</t>
  </si>
  <si>
    <t>CL CARMEN 24</t>
  </si>
  <si>
    <t>-5.667639, 43.541139</t>
  </si>
  <si>
    <t>33206</t>
  </si>
  <si>
    <t>33438</t>
  </si>
  <si>
    <t>0183006873</t>
  </si>
  <si>
    <t>E.S. MANUEL MARTINEZ FIDALGO</t>
  </si>
  <si>
    <t>BOVEDA DE TORO, LA</t>
  </si>
  <si>
    <t>CR TORO-SALAMANCA, PK21</t>
  </si>
  <si>
    <t>-5.410167, 41.339361</t>
  </si>
  <si>
    <t>49155</t>
  </si>
  <si>
    <t>07225</t>
  </si>
  <si>
    <t>0183063890</t>
  </si>
  <si>
    <t>E.S. PASCUAL BORDETAS PUIG</t>
  </si>
  <si>
    <t>MONEGRILLO</t>
  </si>
  <si>
    <t>CR A-1104, 26,1</t>
  </si>
  <si>
    <t>-0.419389, 41.637972</t>
  </si>
  <si>
    <t>50164</t>
  </si>
  <si>
    <t>L-V: 07:00-14:00 y 17:00-20:00; S: 08:00-15:00</t>
  </si>
  <si>
    <t>34914</t>
  </si>
  <si>
    <t>0183078427</t>
  </si>
  <si>
    <t>E.S. LLODRA,S.L.</t>
  </si>
  <si>
    <t>BINISALEM</t>
  </si>
  <si>
    <t>CL REG ,ESQUINA C/ SA CREU S.N.</t>
  </si>
  <si>
    <t>2.839972, 39.686861</t>
  </si>
  <si>
    <t>07350</t>
  </si>
  <si>
    <t>10354</t>
  </si>
  <si>
    <t>0183054584</t>
  </si>
  <si>
    <t>E.S. GRUPO MAICAS PEIRO S.L.U.</t>
  </si>
  <si>
    <t>POBLA DE VALLBONA, L</t>
  </si>
  <si>
    <t>CL GUILLERMO ROIG, 40</t>
  </si>
  <si>
    <t>-0.558361, 39.597417</t>
  </si>
  <si>
    <t>46185</t>
  </si>
  <si>
    <t>Lavado cepillos, Box presión, Aspiradores, Waylet pago en caja, Adblue Envasado, Lavados Klin</t>
  </si>
  <si>
    <t>02793</t>
  </si>
  <si>
    <t>0183075969</t>
  </si>
  <si>
    <t>U.S. SARDINERO</t>
  </si>
  <si>
    <t>CL JOAQUIN COSTA -EL SARDINERO-</t>
  </si>
  <si>
    <t>-3.781806, 43.4715</t>
  </si>
  <si>
    <t>39005</t>
  </si>
  <si>
    <t>12122</t>
  </si>
  <si>
    <t>0183113661</t>
  </si>
  <si>
    <t>ES FUTUR CALPE, SL</t>
  </si>
  <si>
    <t>CALPE</t>
  </si>
  <si>
    <t>CL L'ESPORT, 2</t>
  </si>
  <si>
    <t>0.050278, 38.645444</t>
  </si>
  <si>
    <t>03710</t>
  </si>
  <si>
    <t>Lavado cepillos, Aspiradores, Waylet pago en caja, Adblue Envasado, Punto recarga eléctrico Repsol</t>
  </si>
  <si>
    <t>12670</t>
  </si>
  <si>
    <t>0183137322</t>
  </si>
  <si>
    <t>ES RIPOLL QUART</t>
  </si>
  <si>
    <t>QUART DE POBLET</t>
  </si>
  <si>
    <t>C/ MARQUES DEL TURIA, 9</t>
  </si>
  <si>
    <t>-0.444306, 39.479083</t>
  </si>
  <si>
    <t>46930</t>
  </si>
  <si>
    <t>12477</t>
  </si>
  <si>
    <t>0183131465</t>
  </si>
  <si>
    <t>E.S. CONVECTOR OIL SL</t>
  </si>
  <si>
    <t>CABRAL</t>
  </si>
  <si>
    <t>CL AVENIDA AEROPUERTO, 135</t>
  </si>
  <si>
    <t>-8.657083, 42.233889</t>
  </si>
  <si>
    <t>33825</t>
  </si>
  <si>
    <t>0183005040</t>
  </si>
  <si>
    <t>AREA DE SERVICIO SAN BENITO SL</t>
  </si>
  <si>
    <t>PEZUELA DE LAS TORRE</t>
  </si>
  <si>
    <t>CR C-233 51,6</t>
  </si>
  <si>
    <t>-3.141111, 40.405056</t>
  </si>
  <si>
    <t>28812</t>
  </si>
  <si>
    <t>34196</t>
  </si>
  <si>
    <t>0183007830</t>
  </si>
  <si>
    <t>E.S. SOLANA, S.L.</t>
  </si>
  <si>
    <t>SOLANA DE LOS BARROS</t>
  </si>
  <si>
    <t>CR BA-422, 47,1</t>
  </si>
  <si>
    <t>-6.528528, 38.725556</t>
  </si>
  <si>
    <t>06209</t>
  </si>
  <si>
    <t>L-S: 06:30-11:00 y 14:00-19:00</t>
  </si>
  <si>
    <t>34321</t>
  </si>
  <si>
    <t>0183014372</t>
  </si>
  <si>
    <t>E.S. HERSAN, S.L.</t>
  </si>
  <si>
    <t>BENALMADENA</t>
  </si>
  <si>
    <t>CL AV.GARCIA LORCA-ARROYO MIEL,17</t>
  </si>
  <si>
    <t>-4.528028, 36.594417</t>
  </si>
  <si>
    <t>29639</t>
  </si>
  <si>
    <t>Lavado cepillos, Box presión, Aspiradores, Solred cheque lavado, Lavandería, Waylet pago en caja, Adblue Envasado, Punto recarga eléctrico Repsol</t>
  </si>
  <si>
    <t>03960</t>
  </si>
  <si>
    <t>0008033334</t>
  </si>
  <si>
    <t>E.S. SETELSIS, S.L.</t>
  </si>
  <si>
    <t>SOLSONA</t>
  </si>
  <si>
    <t>CR C-26, 105,10</t>
  </si>
  <si>
    <t>1.528528, 41.99425</t>
  </si>
  <si>
    <t>25280</t>
  </si>
  <si>
    <t>Cafetería/Bar, Taller mecánico, Parking turismos, Zona de descanso, Waylet pago en caja</t>
  </si>
  <si>
    <t>05870</t>
  </si>
  <si>
    <t>0183059468</t>
  </si>
  <si>
    <t>M Y R CORBERA SL</t>
  </si>
  <si>
    <t>CATADAU</t>
  </si>
  <si>
    <t>CR C-3322, 40,1</t>
  </si>
  <si>
    <t>-0.57425, 39.272056</t>
  </si>
  <si>
    <t>46196</t>
  </si>
  <si>
    <t>11357</t>
  </si>
  <si>
    <t>0183016583</t>
  </si>
  <si>
    <t>ES VILAVENZA SL</t>
  </si>
  <si>
    <t>CR BA-436, 26,6</t>
  </si>
  <si>
    <t>-7.095694, 38.665556</t>
  </si>
  <si>
    <t>31208</t>
  </si>
  <si>
    <t>0183014364</t>
  </si>
  <si>
    <t>E.S. COMBUSTIBLES LUIS FERNANDEZ S.</t>
  </si>
  <si>
    <t>SAN VICENTE DE LA SONSIERRA</t>
  </si>
  <si>
    <t>CR N-232, 33</t>
  </si>
  <si>
    <t>-2.761583, 42.571028</t>
  </si>
  <si>
    <t>26338</t>
  </si>
  <si>
    <t>Taller neumáticos, Parking turismos, Box presión, Aspiradores, Waylet pago en caja, Adblue Envasado, Punto recarga eléctrico Repsol</t>
  </si>
  <si>
    <t>34226</t>
  </si>
  <si>
    <t>0183010222</t>
  </si>
  <si>
    <t>E.S. ORENGA, S.L.</t>
  </si>
  <si>
    <t>BECHI</t>
  </si>
  <si>
    <t>CR CS-233, 2,8</t>
  </si>
  <si>
    <t>-0.196389, 39.931306</t>
  </si>
  <si>
    <t>12549</t>
  </si>
  <si>
    <t>L-V: 07:00-20:45; S: 07:00-13:45</t>
  </si>
  <si>
    <t>Lavado cepillos, Box presión, Sin personal/desatendida, Aspiradores, Solred cheque lavado, Waylet pago en surtidor, Waylet pago en caja, Adblue Envasado</t>
  </si>
  <si>
    <t>96442</t>
  </si>
  <si>
    <t>0183110923</t>
  </si>
  <si>
    <t>E.S. BARGUES,S.L.</t>
  </si>
  <si>
    <t>FONDARELLA</t>
  </si>
  <si>
    <t>CR A-2, 484,5</t>
  </si>
  <si>
    <t>0.87425, 41.638722</t>
  </si>
  <si>
    <t>25244</t>
  </si>
  <si>
    <t>Cafetería/Bar, Parking turismos, Parking camiones, Zona de descanso, Duchas, Waylet pago en caja, Punto recarga eléctrico Repsol</t>
  </si>
  <si>
    <t>33216</t>
  </si>
  <si>
    <t>0183051440</t>
  </si>
  <si>
    <t>ES SANTIAGO DEL ORBIGO S.L.</t>
  </si>
  <si>
    <t>COLUMBRIANOS</t>
  </si>
  <si>
    <t>CL AVENIDA ASTURIAS, 137</t>
  </si>
  <si>
    <t>-6.605778, 42.565278</t>
  </si>
  <si>
    <t>24490</t>
  </si>
  <si>
    <t>Lavado cepillos, Parking turismos, Solred cheque lavado, Waylet pago en surtidor, Waylet pago en caja, Punto recarga eléctrico Repsol</t>
  </si>
  <si>
    <t>02454</t>
  </si>
  <si>
    <t>0183076751</t>
  </si>
  <si>
    <t>MªLOURDES MONDARAY MONDARAY</t>
  </si>
  <si>
    <t>TRAGACETE</t>
  </si>
  <si>
    <t>CL MUÑOZ EL GRANDE, S.N.</t>
  </si>
  <si>
    <t>-1.850472, 40.348611</t>
  </si>
  <si>
    <t>16150</t>
  </si>
  <si>
    <t>L-D: 09:00-14:30 y 15:30-21:00</t>
  </si>
  <si>
    <t>33523</t>
  </si>
  <si>
    <t>0183061126</t>
  </si>
  <si>
    <t>ES GALURESA LAS JUBIAS</t>
  </si>
  <si>
    <t>AV DEL PASAJE, S.N.</t>
  </si>
  <si>
    <t>-8.389139, 43.33925</t>
  </si>
  <si>
    <t>04575</t>
  </si>
  <si>
    <t>0183135078</t>
  </si>
  <si>
    <t>AREA DE SERVICIO EL CUERVO</t>
  </si>
  <si>
    <t>CN IV- PK. 613,7</t>
  </si>
  <si>
    <t>-6.029806, 36.867167</t>
  </si>
  <si>
    <t>37180</t>
  </si>
  <si>
    <t>0183129840</t>
  </si>
  <si>
    <t>ES CARBURANTES MARGARO S.L.</t>
  </si>
  <si>
    <t>N-IV PK 535</t>
  </si>
  <si>
    <t>-5.929194, 37.415278</t>
  </si>
  <si>
    <t>05677</t>
  </si>
  <si>
    <t>0183058478</t>
  </si>
  <si>
    <t>E.S. MOCEJON,SL.</t>
  </si>
  <si>
    <t>MOCEJON</t>
  </si>
  <si>
    <t>AV. DE CASTILLA LA MANCHA, 54</t>
  </si>
  <si>
    <t>-3.922306, 39.934694</t>
  </si>
  <si>
    <t>45270</t>
  </si>
  <si>
    <t>33742</t>
  </si>
  <si>
    <t>0183010776</t>
  </si>
  <si>
    <t>ES LUIS MIGUEL TORRESANO SANTOS</t>
  </si>
  <si>
    <t>VILLANUEVA DE ALCARDETE</t>
  </si>
  <si>
    <t>CL MAYOR, 102</t>
  </si>
  <si>
    <t>-3.018333, 39.672028</t>
  </si>
  <si>
    <t>45810</t>
  </si>
  <si>
    <t>15284</t>
  </si>
  <si>
    <t>0183015189</t>
  </si>
  <si>
    <t>E.S. LA MOLINERA</t>
  </si>
  <si>
    <t>DOÑA MENCIA</t>
  </si>
  <si>
    <t>CR C-327, 92</t>
  </si>
  <si>
    <t>-4.361722, 37.552611</t>
  </si>
  <si>
    <t>14860</t>
  </si>
  <si>
    <t>02555</t>
  </si>
  <si>
    <t>0183054204</t>
  </si>
  <si>
    <t>MADESE DISTRIBUCION</t>
  </si>
  <si>
    <t>CL PASEO ACACIAS, 8</t>
  </si>
  <si>
    <t>-3.705389, 40.404417</t>
  </si>
  <si>
    <t>28005</t>
  </si>
  <si>
    <t>33885</t>
  </si>
  <si>
    <t>0183054329</t>
  </si>
  <si>
    <t>E.S. CAMARZANA</t>
  </si>
  <si>
    <t>CAMARZANA DE TERA</t>
  </si>
  <si>
    <t>CR N-525, 31,5  D</t>
  </si>
  <si>
    <t>-6.025583, 41.996139</t>
  </si>
  <si>
    <t>49332</t>
  </si>
  <si>
    <t>Restaurante, Cafetería/Bar, Taller mecánico, Taller eléctrico, Lavado cepillos, Lavado camiones, Parking turismos, Parking camiones, Zona de descanso, Box presión, Aspiradores, Waylet pago en caja, Punto recarga eléctrico Repsol</t>
  </si>
  <si>
    <t>33302</t>
  </si>
  <si>
    <t>0183001148</t>
  </si>
  <si>
    <t>E.S. EL PORTILLO M.I.</t>
  </si>
  <si>
    <t>CR N-601, 321 M.I.</t>
  </si>
  <si>
    <t>-5.519194, 42.569722</t>
  </si>
  <si>
    <t>L-D: 06:15-22:15</t>
  </si>
  <si>
    <t>Lavado cepillos, Box presión, Solred cheque lavado, Waylet pago en caja, Punto recarga eléctrico Repsol</t>
  </si>
  <si>
    <t>10026</t>
  </si>
  <si>
    <t>0183013572</t>
  </si>
  <si>
    <t>TRANSFUEL,S.L.</t>
  </si>
  <si>
    <t>MARTIN MUÑOZ DE LAS POSADAS</t>
  </si>
  <si>
    <t>CR N-601, 116,3</t>
  </si>
  <si>
    <t>-4.599694, 40.99525</t>
  </si>
  <si>
    <t>40446</t>
  </si>
  <si>
    <t>0183062835</t>
  </si>
  <si>
    <t>ES POLAOIL</t>
  </si>
  <si>
    <t>DOLORES</t>
  </si>
  <si>
    <t>CL MAESTRO SERRANO, 1</t>
  </si>
  <si>
    <t>-0.774889, 38.139722</t>
  </si>
  <si>
    <t>03150</t>
  </si>
  <si>
    <t>Cafetería/Bar, Lavado cepillos, Lavado camiones, Parking turismos, Parking camiones, Box presión, Aspiradores, Waylet pago en caja, Adblue Envasado</t>
  </si>
  <si>
    <t>33254</t>
  </si>
  <si>
    <t>0183013648</t>
  </si>
  <si>
    <t>FEBRER 02</t>
  </si>
  <si>
    <t>AV GABRIEL ALOMAR Y VILLALONGA, S.N</t>
  </si>
  <si>
    <t>2.656778, 39.566528</t>
  </si>
  <si>
    <t>07006</t>
  </si>
  <si>
    <t>EFITEC 95 N - España, Efitec 95 Premium, EFITEC 98 N - España, DIESEL E+ NEO - España, DIESEL E+10 NEO - España, Propano 11 Kg</t>
  </si>
  <si>
    <t>10631</t>
  </si>
  <si>
    <t>0183005792</t>
  </si>
  <si>
    <t>E.S. LA PALMERA</t>
  </si>
  <si>
    <t>SERRA DE DARO</t>
  </si>
  <si>
    <t>CR GE-643, 5</t>
  </si>
  <si>
    <t>3.065417, 42.028972</t>
  </si>
  <si>
    <t>17133</t>
  </si>
  <si>
    <t>34565</t>
  </si>
  <si>
    <t>0183052232</t>
  </si>
  <si>
    <t>ES GESEFEL RUBÍ</t>
  </si>
  <si>
    <t>CR C-1413 ,P.K. 9,8</t>
  </si>
  <si>
    <t>2.030833, 41.481222</t>
  </si>
  <si>
    <t>Restaurante, Cafetería/Bar, Parking turismos, Waylet pago en caja, Punto recarga eléctrico Repsol</t>
  </si>
  <si>
    <t>11641</t>
  </si>
  <si>
    <t>0183050145</t>
  </si>
  <si>
    <t>CR A-2, 441,4</t>
  </si>
  <si>
    <t>0.412333, 41.533889</t>
  </si>
  <si>
    <t>Cafetería/Bar, Lavado camiones, Parking turismos, Parking camiones, Zona de descanso, Box presión, Duchas, Waylet pago en surtidor, Waylet pago en caja, Adblue Envasado, Punto recarga eléctrico Repsol</t>
  </si>
  <si>
    <t>12957</t>
  </si>
  <si>
    <t>0183076843</t>
  </si>
  <si>
    <t>GUARDIA, LA - LOUZENZAS</t>
  </si>
  <si>
    <t>CR PO-552 P.K. 44</t>
  </si>
  <si>
    <t>-8.879639, 41.917194</t>
  </si>
  <si>
    <t>36780</t>
  </si>
  <si>
    <t>07302</t>
  </si>
  <si>
    <t>0183005461</t>
  </si>
  <si>
    <t>E.S. SANTA JULIA</t>
  </si>
  <si>
    <t>CL PZ. CRUZ HUMILLADERO, S.N.</t>
  </si>
  <si>
    <t>-4.4405, 36.711667</t>
  </si>
  <si>
    <t>EFITEC 95 N - España, Efitec 95 Premium, DIESEL E+ NEO - España, DIESEL E+10 NEO - España, Butano 6 Kg (K6), Propano 11 Kg, BLUE+GRANEL - España, Butano 12 Kg (NEL)</t>
  </si>
  <si>
    <t>07625</t>
  </si>
  <si>
    <t>0183056464</t>
  </si>
  <si>
    <t>CL ALMANSA, 25</t>
  </si>
  <si>
    <t>-0.617083, 38.820861</t>
  </si>
  <si>
    <t>33395</t>
  </si>
  <si>
    <t>0183006766</t>
  </si>
  <si>
    <t>E.S. EXPLOTACIONES SAN CRISTOBAL</t>
  </si>
  <si>
    <t>CL CTRA. DE OSSA DE MONTIEL, 21</t>
  </si>
  <si>
    <t>-2.613778, 39.257528</t>
  </si>
  <si>
    <t>L-S: 06:00-22:00; D: 06:00-15:00</t>
  </si>
  <si>
    <t>31242</t>
  </si>
  <si>
    <t>0183017748</t>
  </si>
  <si>
    <t>E.S. EL BOSQUE,S.A.</t>
  </si>
  <si>
    <t>CR PM-401, 8,2</t>
  </si>
  <si>
    <t>3.235472, 39.443611</t>
  </si>
  <si>
    <t>11825</t>
  </si>
  <si>
    <t>0183052752</t>
  </si>
  <si>
    <t>E.S. HNOS BAYO ESTACIONES,S.L.</t>
  </si>
  <si>
    <t>Ctra. A-334, Pk. 4,5 D</t>
  </si>
  <si>
    <t>-2.766909, 37.481666</t>
  </si>
  <si>
    <t>15550</t>
  </si>
  <si>
    <t>0183053644</t>
  </si>
  <si>
    <t>E.S. MATAS Y CAMPINS SUMINISTROS S.</t>
  </si>
  <si>
    <t>CL CAPITAN SALOM, S.N.</t>
  </si>
  <si>
    <t>2.652889, 39.586417</t>
  </si>
  <si>
    <t>34601</t>
  </si>
  <si>
    <t>0183119304</t>
  </si>
  <si>
    <t>E.S. GENIL</t>
  </si>
  <si>
    <t>CR A-364 P.K. 6,9</t>
  </si>
  <si>
    <t>-5.164833, 37.4895</t>
  </si>
  <si>
    <t>L-S: 07:00-14:00</t>
  </si>
  <si>
    <t>04090</t>
  </si>
  <si>
    <t>0183060896</t>
  </si>
  <si>
    <t>AS MONJASPRIETO, SL</t>
  </si>
  <si>
    <t>CL PASEO DEL MARQUES D</t>
  </si>
  <si>
    <t>-3.664694, 40.425972</t>
  </si>
  <si>
    <t>L-V: 07:30-21:00; S: 07:30-14:30; D: 09:00-14:00</t>
  </si>
  <si>
    <t>05428</t>
  </si>
  <si>
    <t>0063224562</t>
  </si>
  <si>
    <t>E.S. SOMONTANO SL</t>
  </si>
  <si>
    <t>PERALTILLA</t>
  </si>
  <si>
    <t>CR N-240, 173,5</t>
  </si>
  <si>
    <t>-0.015222, 42.052139</t>
  </si>
  <si>
    <t>22311</t>
  </si>
  <si>
    <t>33020</t>
  </si>
  <si>
    <t>0183000801</t>
  </si>
  <si>
    <t>E.S. JOSE L. CASALEIRO ACOSTA</t>
  </si>
  <si>
    <t>CL CUATRO CAMINOS, S.N.</t>
  </si>
  <si>
    <t>-6.144944, 36.677889</t>
  </si>
  <si>
    <t>L-V: 06:00-22:00; S: 08:00-16:00; D: 00:00-00:01</t>
  </si>
  <si>
    <t>33835</t>
  </si>
  <si>
    <t>0183003714</t>
  </si>
  <si>
    <t>VICAR</t>
  </si>
  <si>
    <t>CR N-340, 426</t>
  </si>
  <si>
    <t>-2.621028, 36.804778</t>
  </si>
  <si>
    <t>04738</t>
  </si>
  <si>
    <t>04471</t>
  </si>
  <si>
    <t>0183133388</t>
  </si>
  <si>
    <t>ESTACIÓN DE SERVICIO RONDA S.A.</t>
  </si>
  <si>
    <t>RONDA DE LA FERIA 17</t>
  </si>
  <si>
    <t>-5.747806, 41.507056</t>
  </si>
  <si>
    <t>49005</t>
  </si>
  <si>
    <t>L-S: 07:00-23:00; D: 08:00-22:00</t>
  </si>
  <si>
    <t>33466</t>
  </si>
  <si>
    <t>0183105501</t>
  </si>
  <si>
    <t>ES ESTACION DE SERVICIOS DIAZ GATA,</t>
  </si>
  <si>
    <t>SEGURA DE LEON</t>
  </si>
  <si>
    <t>CR C-434, 36,5</t>
  </si>
  <si>
    <t>-6.529111, 38.115722</t>
  </si>
  <si>
    <t>06270</t>
  </si>
  <si>
    <t>33296</t>
  </si>
  <si>
    <t>0183055516</t>
  </si>
  <si>
    <t>E.S. BORAGO DCHO</t>
  </si>
  <si>
    <t>CR A-4, 72 M.DCHO</t>
  </si>
  <si>
    <t>-3.477556, 39.870194</t>
  </si>
  <si>
    <t>01340</t>
  </si>
  <si>
    <t>0183135680</t>
  </si>
  <si>
    <t>AUTO ESTACION SERVICIO IRUN S.L.</t>
  </si>
  <si>
    <t>AVDA. ELIZATXO, 8</t>
  </si>
  <si>
    <t>-1.796417, 43.336611</t>
  </si>
  <si>
    <t>20303</t>
  </si>
  <si>
    <t>98943</t>
  </si>
  <si>
    <t>0183133438</t>
  </si>
  <si>
    <t>ES EASY FUEL FERNANDEZ SL</t>
  </si>
  <si>
    <t>AVENIDA DOLMENES DE VALENCINA 6</t>
  </si>
  <si>
    <t>-6.036833, 37.421639</t>
  </si>
  <si>
    <t>15623</t>
  </si>
  <si>
    <t>0183010784</t>
  </si>
  <si>
    <t>ES LAVANCARO</t>
  </si>
  <si>
    <t>VILLACONEJOS</t>
  </si>
  <si>
    <t>CL CARRETERA ARANJUEZ ,56 (CR M-305</t>
  </si>
  <si>
    <t>-3.490083, 40.10075</t>
  </si>
  <si>
    <t>28360</t>
  </si>
  <si>
    <t>Lavado cepillos, Parking turismos, Waylet pago en caja</t>
  </si>
  <si>
    <t>31176</t>
  </si>
  <si>
    <t>0183124338</t>
  </si>
  <si>
    <t>E.S. COYA S.L.</t>
  </si>
  <si>
    <t>C/BAIONA</t>
  </si>
  <si>
    <t>-8.749444, 42.214556</t>
  </si>
  <si>
    <t>36209</t>
  </si>
  <si>
    <t>Rest. Autoservicio, Cafetería/Bar, Lavado cepillos, Box presión, Aspiradores, Solred cheque lavado, Lavandería, Waylet pago en caja</t>
  </si>
  <si>
    <t>96646</t>
  </si>
  <si>
    <t>0183110840</t>
  </si>
  <si>
    <t>E.S. APSIL DISTRIBUCIONES SL</t>
  </si>
  <si>
    <t>CL VULCA, 11 P.I. CAN MET SIDRU</t>
  </si>
  <si>
    <t>2.279306, 41.676278</t>
  </si>
  <si>
    <t>Cafetería/Bar, Lavado cepillos, Box presión, Aspiradores, Waylet pago en caja, Adblue Envasado</t>
  </si>
  <si>
    <t>11898</t>
  </si>
  <si>
    <t>0183057454</t>
  </si>
  <si>
    <t>ES GERNILAN SA AMOREBIETA M DCHO</t>
  </si>
  <si>
    <t>-2.729444, 43.22925</t>
  </si>
  <si>
    <t>L-V: 06:30-20:00; S: 08:00-15:00</t>
  </si>
  <si>
    <t>05721</t>
  </si>
  <si>
    <t>0183014596</t>
  </si>
  <si>
    <t>MARRATXI</t>
  </si>
  <si>
    <t>CR C-713   PALMA-PUERTO ALCUDIA 13,</t>
  </si>
  <si>
    <t>2.756889, 39.647944</t>
  </si>
  <si>
    <t>07141</t>
  </si>
  <si>
    <t>05894</t>
  </si>
  <si>
    <t>0183054089</t>
  </si>
  <si>
    <t>CARBURANTES Y SERVICIOS GARCERAN SL</t>
  </si>
  <si>
    <t>BENIAJAN</t>
  </si>
  <si>
    <t>CR MU-300, PK. 4,8</t>
  </si>
  <si>
    <t>-1.07675, 37.982944</t>
  </si>
  <si>
    <t>30570</t>
  </si>
  <si>
    <t>Cafetería/Bar, Lavado cepillos, Parking turismos, Parking camiones, Box presión, Aspiradores, Lavandería, Waylet pago en surtidor, Waylet pago en caja, Adblue Envasado</t>
  </si>
  <si>
    <t>12035</t>
  </si>
  <si>
    <t>0183057140</t>
  </si>
  <si>
    <t>E.S. EL CHARCON</t>
  </si>
  <si>
    <t>CR GR-4, 2,3</t>
  </si>
  <si>
    <t>-3.668722, 37.226333</t>
  </si>
  <si>
    <t>07393</t>
  </si>
  <si>
    <t>0183109321</t>
  </si>
  <si>
    <t>TRASERRA JORDANA,SYL</t>
  </si>
  <si>
    <t>CARRETERA DE RIBES, 43,5</t>
  </si>
  <si>
    <t>1.853361, 42.107694</t>
  </si>
  <si>
    <t>05802</t>
  </si>
  <si>
    <t>0183060201</t>
  </si>
  <si>
    <t>PORTODEMOUROS S.C.</t>
  </si>
  <si>
    <t>CR AC-905, km. 12,2- DOMBODAN</t>
  </si>
  <si>
    <t>-8.201306, 42.860889</t>
  </si>
  <si>
    <t>15819</t>
  </si>
  <si>
    <t>33851</t>
  </si>
  <si>
    <t>0183002955</t>
  </si>
  <si>
    <t>ES RIVACOBA LAGUARDIA</t>
  </si>
  <si>
    <t>LAGUARDIA</t>
  </si>
  <si>
    <t>CR A-124, 65</t>
  </si>
  <si>
    <t>-2.578806, 42.547639</t>
  </si>
  <si>
    <t>01300</t>
  </si>
  <si>
    <t>Restaurante, Cafetería/Bar, Taller neumáticos, Lavado cepillos, Parking turismos, Box presión, Aspiradores, Solred cheque lavado, Waylet pago en caja, Punto recarga eléctrico Repsol</t>
  </si>
  <si>
    <t>96988</t>
  </si>
  <si>
    <t>0183123702</t>
  </si>
  <si>
    <t>E.S. VENTIN</t>
  </si>
  <si>
    <t>MUROS</t>
  </si>
  <si>
    <t>PARQUE EMPRESARIAL DE MUROS M15 PAR</t>
  </si>
  <si>
    <t>-9.072028, 42.785278</t>
  </si>
  <si>
    <t>15250</t>
  </si>
  <si>
    <t>Taller mecánico, Taller neumáticos, Taller eléctrico, Lavado cepillos, Parking turismos, Box presión, Aspiradores, Solred cheque lavado, Waylet pago en surtidor, Waylet pago en caja, Adblue Envasado</t>
  </si>
  <si>
    <t>11448</t>
  </si>
  <si>
    <t>0183051614</t>
  </si>
  <si>
    <t>UBARSI,S.A.</t>
  </si>
  <si>
    <t>CR C-243, 10,9</t>
  </si>
  <si>
    <t>1.990278, 41.540861</t>
  </si>
  <si>
    <t>08224</t>
  </si>
  <si>
    <t>Restaurante, Cafetería/Bar, Lavado cepillos, Lavado camiones, Parking turismos, Parking camiones, Box presión, Aspiradores, Solred cheque lavado, Waylet pago en surtidor, Waylet pago en caja</t>
  </si>
  <si>
    <t>15492</t>
  </si>
  <si>
    <t>0063224935</t>
  </si>
  <si>
    <t>E.S. GARMAR LOS VILLARES, S.L.</t>
  </si>
  <si>
    <t>CR C-519, 4  I</t>
  </si>
  <si>
    <t>-5.64925, 41.004528</t>
  </si>
  <si>
    <t>Cafetería/Bar, Box presión, Aspiradores, Solred cheque lavado, Waylet pago en caja, Punto recarga eléctrico Repsol</t>
  </si>
  <si>
    <t>33032</t>
  </si>
  <si>
    <t>0063167936</t>
  </si>
  <si>
    <t>E.S. CARMEN PRIETO E HIJOS,S.C.</t>
  </si>
  <si>
    <t>AZUAGA</t>
  </si>
  <si>
    <t>AV ESTALAJES, S.N.</t>
  </si>
  <si>
    <t>-5.684944, 38.261556</t>
  </si>
  <si>
    <t>06920</t>
  </si>
  <si>
    <t>95199</t>
  </si>
  <si>
    <t>0183136670</t>
  </si>
  <si>
    <t>ES COMBUISTIBLES CROSS</t>
  </si>
  <si>
    <t>POLIGONO INDUSTRIAL ALAVERA, PK 6,1</t>
  </si>
  <si>
    <t>-6.025444, 37.355083</t>
  </si>
  <si>
    <t>Cafetería/Bar, Lavado cepillos, Box presión, Aspiradores, Waylet pago en surtidor, Waylet pago en caja</t>
  </si>
  <si>
    <t>33960</t>
  </si>
  <si>
    <t>0183004332</t>
  </si>
  <si>
    <t>ES MANZANEDA GARCIA S.L.</t>
  </si>
  <si>
    <t>ARROYO DEL OJANCO</t>
  </si>
  <si>
    <t>CR N-322, 215</t>
  </si>
  <si>
    <t>-2.902083, 38.316806</t>
  </si>
  <si>
    <t>23340</t>
  </si>
  <si>
    <t>Restaurante, Cafetería/Bar, Lavado cepillos, Parking turismos, Parking camiones, Aspiradores, Waylet pago en caja</t>
  </si>
  <si>
    <t>94883</t>
  </si>
  <si>
    <t>0183135763</t>
  </si>
  <si>
    <t>ES RUEDAS Y SUELAS, S.L.</t>
  </si>
  <si>
    <t>MURO DE ALCOY</t>
  </si>
  <si>
    <t>CRTA CV 700 KM 6</t>
  </si>
  <si>
    <t>-0.424694, 38.782028</t>
  </si>
  <si>
    <t>03830</t>
  </si>
  <si>
    <t>EFITEC 95 N - España, Efitec 95 Premium, DIESEL E+ NEO - España, DIESEL NEXA 100% RENOVABLE - Esp</t>
  </si>
  <si>
    <t>07429</t>
  </si>
  <si>
    <t>0183010107</t>
  </si>
  <si>
    <t>ES GASTROEX SL</t>
  </si>
  <si>
    <t>GARROVILLA, LA</t>
  </si>
  <si>
    <t>CR EX-209 P.K.  49</t>
  </si>
  <si>
    <t>-6.482972, 38.919972</t>
  </si>
  <si>
    <t>06870</t>
  </si>
  <si>
    <t>33683</t>
  </si>
  <si>
    <t>0183012442</t>
  </si>
  <si>
    <t>E.S. ELAGAS SL</t>
  </si>
  <si>
    <t>CR CV-915 , 1</t>
  </si>
  <si>
    <t>-0.954111, 38.082583</t>
  </si>
  <si>
    <t>0183018159</t>
  </si>
  <si>
    <t>E.S. MARIA DEL PRADO VILLA GUTIERRE</t>
  </si>
  <si>
    <t>SACERUELA</t>
  </si>
  <si>
    <t>CL ARENAL, 47</t>
  </si>
  <si>
    <t>-4.608472, 38.946306</t>
  </si>
  <si>
    <t>13414</t>
  </si>
  <si>
    <t>Box presión, Duchas, Solred cheque lavado, Waylet pago en surtidor, Waylet pago en caja</t>
  </si>
  <si>
    <t>31360</t>
  </si>
  <si>
    <t>0183107374</t>
  </si>
  <si>
    <t>ES MATAS Y CAMPINS SUMINISTROS SL</t>
  </si>
  <si>
    <t>CR C-713   PALMA-PTO.ALCUDIA, 8,9</t>
  </si>
  <si>
    <t>2.718, 39.615806</t>
  </si>
  <si>
    <t>34426</t>
  </si>
  <si>
    <t>0183018787</t>
  </si>
  <si>
    <t>E.S. GARATGE BLAU</t>
  </si>
  <si>
    <t>CL CRTA DE VIC, 163</t>
  </si>
  <si>
    <t>1.835306, 41.731361</t>
  </si>
  <si>
    <t>93359</t>
  </si>
  <si>
    <t>0183120971</t>
  </si>
  <si>
    <t>ES TABERNAS</t>
  </si>
  <si>
    <t>CR. N-340 KM 479</t>
  </si>
  <si>
    <t>-2.308667, 37.08475</t>
  </si>
  <si>
    <t>Lavado camiones, Parking turismos, Parking camiones, Zona de descanso, Box presión, Aspiradores, Waylet pago en caja, Adblue Envasado</t>
  </si>
  <si>
    <t>11969</t>
  </si>
  <si>
    <t>0183053545</t>
  </si>
  <si>
    <t>E.S. XESTEIRA,S.L.</t>
  </si>
  <si>
    <t>CASTRELO</t>
  </si>
  <si>
    <t>CR PO-550 P.K. 5,9</t>
  </si>
  <si>
    <t>-8.802806, 42.477278</t>
  </si>
  <si>
    <t>36639</t>
  </si>
  <si>
    <t>12176</t>
  </si>
  <si>
    <t>0183101989</t>
  </si>
  <si>
    <t>DIEGO MENENDEZ RIVERA</t>
  </si>
  <si>
    <t>SANTIAGO DE LA BARCA</t>
  </si>
  <si>
    <t>CR AS-15, 4,1</t>
  </si>
  <si>
    <t>-6.151944, 43.376639</t>
  </si>
  <si>
    <t>06047</t>
  </si>
  <si>
    <t>0183060904</t>
  </si>
  <si>
    <t>INVESIONES ROGON,S.L</t>
  </si>
  <si>
    <t>CL FUENTE CARRANTONA, S.N.</t>
  </si>
  <si>
    <t>-3.636056, 40.401333</t>
  </si>
  <si>
    <t>L-V: 07:00-21:00; S: 07:00-20:00; D: 09:00-14:00</t>
  </si>
  <si>
    <t>31044</t>
  </si>
  <si>
    <t>0183016344</t>
  </si>
  <si>
    <t>E.S. VALLE DE RONCAL S.L.</t>
  </si>
  <si>
    <t>URZAINQUI</t>
  </si>
  <si>
    <t>CR NA-137, 28,7</t>
  </si>
  <si>
    <t>-0.939306, 42.837667</t>
  </si>
  <si>
    <t>06586</t>
  </si>
  <si>
    <t>0183060110</t>
  </si>
  <si>
    <t>U.S.  MONTERO ADAME</t>
  </si>
  <si>
    <t>VILLANUEVA DEL FRESNO</t>
  </si>
  <si>
    <t>CR C-436 BADAJOZ-VVA. FRESNO, 62,7</t>
  </si>
  <si>
    <t>-7.154972, 38.383028</t>
  </si>
  <si>
    <t>06110</t>
  </si>
  <si>
    <t>EFITEC 95 N - España, EFITEC 98 N - España, Butano 12,5 Kg, DIESEL E+ NEO - España, Propano 11 Kg, Butano 12 Kg (NEL)</t>
  </si>
  <si>
    <t>15090</t>
  </si>
  <si>
    <t>0183017607</t>
  </si>
  <si>
    <t>BONCOMPTE SERRA, M.</t>
  </si>
  <si>
    <t>SANT SALVADOR DE GUARDIOLA</t>
  </si>
  <si>
    <t>CR C-37, 78,48</t>
  </si>
  <si>
    <t>1.793306, 41.700722</t>
  </si>
  <si>
    <t>08253</t>
  </si>
  <si>
    <t>Restaurante, Cafetería/Bar, Parking turismos, Parking camiones, Aspiradores, Waylet pago en caja</t>
  </si>
  <si>
    <t>00653</t>
  </si>
  <si>
    <t>0183053263</t>
  </si>
  <si>
    <t>U.S. GASOLINERA VAFER SL</t>
  </si>
  <si>
    <t>CR N-5,P.K. 254,8 (AVDA. DE MIAJADA</t>
  </si>
  <si>
    <t>-5.881472, 39.448944</t>
  </si>
  <si>
    <t>12084</t>
  </si>
  <si>
    <t>0183056571</t>
  </si>
  <si>
    <t>E.S. LORQUI S.L.</t>
  </si>
  <si>
    <t>LORQUI</t>
  </si>
  <si>
    <t>CL POLG.INDUS. NUEVOS ACCESOS, S.N.</t>
  </si>
  <si>
    <t>-1.237778, 38.098639</t>
  </si>
  <si>
    <t>30564</t>
  </si>
  <si>
    <t>Restaurante, Cafetería/Bar, Lavado cepillos, Parking turismos, Parking camiones, Zona de descanso, Box presión, Duchas, Aspiradores, Solred cheque lavado, Waylet pago en caja</t>
  </si>
  <si>
    <t>07155</t>
  </si>
  <si>
    <t>0183017466</t>
  </si>
  <si>
    <t>MINAYA</t>
  </si>
  <si>
    <t>CR N-301, 195,2</t>
  </si>
  <si>
    <t>-2.330333, 39.276056</t>
  </si>
  <si>
    <t>02620</t>
  </si>
  <si>
    <t>Restaurante, Cafetería/Bar, Taller mecánico, Taller neumáticos, Parking turismos, Parking camiones, Zona de descanso, Box presión, Aspiradores, Waylet pago en caja</t>
  </si>
  <si>
    <t>31375</t>
  </si>
  <si>
    <t>0183055946</t>
  </si>
  <si>
    <t>ES HERMANOS GIMENEZ OCHANDO, C.B.</t>
  </si>
  <si>
    <t>PONTON, EL</t>
  </si>
  <si>
    <t>CR N-322, 454,1</t>
  </si>
  <si>
    <t>-1.1245, 39.474639</t>
  </si>
  <si>
    <t>46357</t>
  </si>
  <si>
    <t>31902</t>
  </si>
  <si>
    <t>0183003383</t>
  </si>
  <si>
    <t>HNOS SEGURA CASADO,S.L.</t>
  </si>
  <si>
    <t>CL AVDA. DE ZARAGOZA, 48</t>
  </si>
  <si>
    <t>-1.599861, 42.058083</t>
  </si>
  <si>
    <t>Cafetería/Bar, Lavado cepillos, Waylet pago en surtidor, Waylet pago en caja, Punto recarga eléctrico Repsol</t>
  </si>
  <si>
    <t>05666</t>
  </si>
  <si>
    <t>0183001585</t>
  </si>
  <si>
    <t>E.S. ANDORRA, S.L.</t>
  </si>
  <si>
    <t>ANDORRA</t>
  </si>
  <si>
    <t>CR A-223, 12,1</t>
  </si>
  <si>
    <t>-0.447833, 40.982278</t>
  </si>
  <si>
    <t>44500</t>
  </si>
  <si>
    <t>Parking turismos, Parking camiones, Waylet pago en caja, Punto recarga eléctrico Repsol</t>
  </si>
  <si>
    <t>05356</t>
  </si>
  <si>
    <t>0083016329</t>
  </si>
  <si>
    <t>PEDRET I MARZA</t>
  </si>
  <si>
    <t>CR N-260, 27,8</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</si>
  <si>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</si>
  <si>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</si>
  <si>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</si>
  <si>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</si>
  <si>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34119</t>
  </si>
  <si>
    <t>0183134360</t>
  </si>
  <si>
    <t>ES REPSOL TORREDELCAMPO</t>
  </si>
  <si>
    <t>TORREDELCAMPO</t>
  </si>
  <si>
    <t>CR A-316, KM 65,8</t>
  </si>
  <si>
    <t>-3.85725, 37.782</t>
  </si>
  <si>
    <t>23640</t>
  </si>
  <si>
    <t>Zona de descanso, Duchas, Waylet pago en caja</t>
  </si>
  <si>
    <t>04129</t>
  </si>
  <si>
    <t>0183004506</t>
  </si>
  <si>
    <t>E.S. DISCAMPER</t>
  </si>
  <si>
    <t>CORNELLANA</t>
  </si>
  <si>
    <t>CR N-634, 443,6</t>
  </si>
  <si>
    <t>-6.157278, 43.412778</t>
  </si>
  <si>
    <t>Restaurante, Cafetería/Bar, Lavado cepillos, Parking turismos, Waylet pago en caja</t>
  </si>
  <si>
    <t>92138</t>
  </si>
  <si>
    <t>0183116425</t>
  </si>
  <si>
    <t>E.S. PETROSELF</t>
  </si>
  <si>
    <t>A-7 (AUTOVIA DEL MEDITERRANEO) PK 5</t>
  </si>
  <si>
    <t>-1.339611, 37.892778</t>
  </si>
  <si>
    <t>13038</t>
  </si>
  <si>
    <t>0183061894</t>
  </si>
  <si>
    <t>E.S. LA CARTUJA</t>
  </si>
  <si>
    <t>CR C-440, 7,5</t>
  </si>
  <si>
    <t>-6.074139, 36.634833</t>
  </si>
  <si>
    <t>EFITEC 95 N - España, Butano 12,5 Kg, DIESEL E+ NEO - España, GO-B BONIF - España, BLUE+GRANEL - España</t>
  </si>
  <si>
    <t>12768</t>
  </si>
  <si>
    <t>0183062140</t>
  </si>
  <si>
    <t>VILLAFRANQUEZA</t>
  </si>
  <si>
    <t>CR A-214   VILLAFRANQUE-TANGE, 5</t>
  </si>
  <si>
    <t>-0.47775, 38.401</t>
  </si>
  <si>
    <t>03112</t>
  </si>
  <si>
    <t>Lavado cepillos, Parking turismos, Box presión, Aspiradores, Waylet pago en surtidor, Waylet pago en caja, Adblue Envasado, Lavados Klin</t>
  </si>
  <si>
    <t>10882</t>
  </si>
  <si>
    <t>0183018704</t>
  </si>
  <si>
    <t>E.S. GIRONES OIL SL</t>
  </si>
  <si>
    <t>SERINYA</t>
  </si>
  <si>
    <t>CR C-66, 24</t>
  </si>
  <si>
    <t>2.745139, 42.165083</t>
  </si>
  <si>
    <t>17852</t>
  </si>
  <si>
    <t>34237</t>
  </si>
  <si>
    <t>0183001528</t>
  </si>
  <si>
    <t>ÁREA DE SERVICIO BERTÓLEZ 2</t>
  </si>
  <si>
    <t>SAN CIBRAO DAS VIÑAS</t>
  </si>
  <si>
    <t>CR N-525 KM 234,3</t>
  </si>
  <si>
    <t>-7.866361, 42.31325</t>
  </si>
  <si>
    <t>32911</t>
  </si>
  <si>
    <t>34470</t>
  </si>
  <si>
    <t>0183000595</t>
  </si>
  <si>
    <t>E.S. LA PISCINA FUENTEOBEJUNA</t>
  </si>
  <si>
    <t>FUENTE OBEJUNA</t>
  </si>
  <si>
    <t>CR N-432, 179,6</t>
  </si>
  <si>
    <t>-5.403361, 38.275583</t>
  </si>
  <si>
    <t>14290</t>
  </si>
  <si>
    <t>96950</t>
  </si>
  <si>
    <t>0183122837</t>
  </si>
  <si>
    <t>N-340 P.K. 674,5 (M.D.)</t>
  </si>
  <si>
    <t>-1.038639, 38.063472</t>
  </si>
  <si>
    <t>Cafetería/Bar, Lavado cepillos, Parking turismos, Parking camiones, Zona de descanso, Box presión, Aspiradores, Solred cheque lavado, Waylet pago en caja, Punto recarga eléctrico Repsol, Lavados Klin</t>
  </si>
  <si>
    <t>0183056910</t>
  </si>
  <si>
    <t>E.S. MONROYO, S.L.</t>
  </si>
  <si>
    <t>MONROYO</t>
  </si>
  <si>
    <t>CR N-232, 93,6</t>
  </si>
  <si>
    <t>-0.035556, 40.788111</t>
  </si>
  <si>
    <t>44652</t>
  </si>
  <si>
    <t>Restaurante, Cafetería/Bar, Parking turismos, Box presión, Sin personal/desatendida, Aspiradores</t>
  </si>
  <si>
    <t>07498</t>
  </si>
  <si>
    <t>0183057652</t>
  </si>
  <si>
    <t>ENTREBASAGUAS DE MENA</t>
  </si>
  <si>
    <t>CR C-6318, 43</t>
  </si>
  <si>
    <t>-3.266222, 43.111639</t>
  </si>
  <si>
    <t>31130</t>
  </si>
  <si>
    <t>0183104645</t>
  </si>
  <si>
    <t>CR L-522 (ARCHENA-VILLANUEV), 1</t>
  </si>
  <si>
    <t>-1.305806, 38.119472</t>
  </si>
  <si>
    <t>33261</t>
  </si>
  <si>
    <t>0183001486</t>
  </si>
  <si>
    <t>JUAN ANTONIO GARCIA MARTINEZ</t>
  </si>
  <si>
    <t>BARRANDA</t>
  </si>
  <si>
    <t>CR C-330   CIEZA-POZO ALCON, 78,5</t>
  </si>
  <si>
    <t>-1.973222, 38.044194</t>
  </si>
  <si>
    <t>30412</t>
  </si>
  <si>
    <t>93686</t>
  </si>
  <si>
    <t>0183134436</t>
  </si>
  <si>
    <t>ES BAÑOS ALCANTARILLA</t>
  </si>
  <si>
    <t>AVDA CRISTO YACIENTE  26</t>
  </si>
  <si>
    <t>-1.22975, 37.975083</t>
  </si>
  <si>
    <t>Cafetería/Bar, Lavado cepillos, Zona de descanso, Box presión, Aspiradores, Solred cheque lavado, Waylet pago en caja, Adblue Envasado, Lavados Klin</t>
  </si>
  <si>
    <t>33705</t>
  </si>
  <si>
    <t>0183130020</t>
  </si>
  <si>
    <t>E.S. BAS,OIL, SOCIEDAD LIMITADA</t>
  </si>
  <si>
    <t>MOREDA</t>
  </si>
  <si>
    <t>A-401 KM 77,5</t>
  </si>
  <si>
    <t>-3.334444, 37.442278</t>
  </si>
  <si>
    <t>18540</t>
  </si>
  <si>
    <t>15774</t>
  </si>
  <si>
    <t>0063200331</t>
  </si>
  <si>
    <t>E.S. OTAMAR S.L.</t>
  </si>
  <si>
    <t>CL AVENIDA DE PORTUGAL, S.N.</t>
  </si>
  <si>
    <t>-8.64775, 42.041444</t>
  </si>
  <si>
    <t>97009</t>
  </si>
  <si>
    <t>0183124288</t>
  </si>
  <si>
    <t>E.S. PAIPORTA MARI SOUCASE</t>
  </si>
  <si>
    <t>CL.ACEQUIA FAVARA 2</t>
  </si>
  <si>
    <t>-0.407417, 39.434667</t>
  </si>
  <si>
    <t>Lavado cepillos, Aspiradores, Waylet pago en caja, Adblue Envasado, Punto recarga eléctrico Repsol, Recarga eléctrica</t>
  </si>
  <si>
    <t>34154</t>
  </si>
  <si>
    <t>0183014760</t>
  </si>
  <si>
    <t>E.S. LUCIA E HIJOS VILLA GUTIERREZ</t>
  </si>
  <si>
    <t>PUEBLA DE DON RODRIG</t>
  </si>
  <si>
    <t>CL AVENIDA CASTILLA-LA MANCHA, 1</t>
  </si>
  <si>
    <t>-4.616111, 39.083472</t>
  </si>
  <si>
    <t>33497</t>
  </si>
  <si>
    <t>0183057819</t>
  </si>
  <si>
    <t>ES CADAQUES</t>
  </si>
  <si>
    <t>CADAQUES</t>
  </si>
  <si>
    <t>AVENIDA CARIDAD SERIÑANA, 12</t>
  </si>
  <si>
    <t>3.276167, 42.290083</t>
  </si>
  <si>
    <t>17488</t>
  </si>
  <si>
    <t>15657</t>
  </si>
  <si>
    <t>0183058163</t>
  </si>
  <si>
    <t>ES HERSAN ENERGY, SL</t>
  </si>
  <si>
    <t>CASARICHE</t>
  </si>
  <si>
    <t>CR SE-757, PK.1</t>
  </si>
  <si>
    <t>-4.765083, 37.296556</t>
  </si>
  <si>
    <t>41580</t>
  </si>
  <si>
    <t>31136</t>
  </si>
  <si>
    <t>0183058635</t>
  </si>
  <si>
    <t>E.S. LAS BALSILLAS S.L.</t>
  </si>
  <si>
    <t>CR C-3223, 1</t>
  </si>
  <si>
    <t>-1.100861, 38.607</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</si>
  <si>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</si>
  <si>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</si>
  <si>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12296</t>
  </si>
  <si>
    <t>0183059724</t>
  </si>
  <si>
    <t>ES AREA DE SERVICIO GODISA SL</t>
  </si>
  <si>
    <t>ARGAMASILLA DE CALAT</t>
  </si>
  <si>
    <t>CR CR-506, 3.300</t>
  </si>
  <si>
    <t>-4.071306, 38.718028</t>
  </si>
  <si>
    <t>Restaurante, Cafetería/Bar, Parking turismos, Parking camiones, Zona de descanso, Box presión, Duchas, Aspiradores, Solred cheque lavado, Waylet pago en surtidor, Waylet pago en caja, Punto recarga eléctrico Repsol, Recarga eléctrica</t>
  </si>
  <si>
    <t>0183015890</t>
  </si>
  <si>
    <t>ES POLA DE ALLANDE</t>
  </si>
  <si>
    <t>POLA DE ALLANDE</t>
  </si>
  <si>
    <t>CL AVENIDA DE GALICIA, 44</t>
  </si>
  <si>
    <t>-6.614222, 43.271667</t>
  </si>
  <si>
    <t>33931</t>
  </si>
  <si>
    <t>0183129956</t>
  </si>
  <si>
    <t>E.S. SIERRA NEVADA</t>
  </si>
  <si>
    <t>GUEJAR SIERRA</t>
  </si>
  <si>
    <t>CR A-395 PK 22,4</t>
  </si>
  <si>
    <t>-3.442083, 37.134806</t>
  </si>
  <si>
    <t>18160</t>
  </si>
  <si>
    <t>L-X: 07:00-22:00; J-D: 07:00-23:00</t>
  </si>
  <si>
    <t>96765</t>
  </si>
  <si>
    <t>0183114107</t>
  </si>
  <si>
    <t>ES FUEL MARKT SL</t>
  </si>
  <si>
    <t>CL AVDA. BADIA POLESINE , 49</t>
  </si>
  <si>
    <t>-4.883389, 37.298667</t>
  </si>
  <si>
    <t>05785</t>
  </si>
  <si>
    <t>0063200869</t>
  </si>
  <si>
    <t>ES BATALLA DE LA ALBUERA SL</t>
  </si>
  <si>
    <t>ALBUERA (LA)</t>
  </si>
  <si>
    <t>CR N-432, 23</t>
  </si>
  <si>
    <t>-6.820583, 38.713111</t>
  </si>
  <si>
    <t>06170</t>
  </si>
  <si>
    <t>Lavado camiones, Parking turismos, Zona de descanso, Box presión, Aspiradores, Waylet pago en caja, Adblue Envasado</t>
  </si>
  <si>
    <t>33463</t>
  </si>
  <si>
    <t>0183003110</t>
  </si>
  <si>
    <t>E.S. SAN LÁZARO</t>
  </si>
  <si>
    <t>VIVERO</t>
  </si>
  <si>
    <t>CL SAN LAZARO, S.N.</t>
  </si>
  <si>
    <t>-7.591806, 43.667167</t>
  </si>
  <si>
    <t>33061</t>
  </si>
  <si>
    <t>0183000629</t>
  </si>
  <si>
    <t>E.S. MONCAVIMA S.L.</t>
  </si>
  <si>
    <t>CL AVDA.CARLOS III , 139</t>
  </si>
  <si>
    <t>-4.942722, 37.665</t>
  </si>
  <si>
    <t>Restaurante, Cafetería/Bar, Lavado cepillos, Parking turismos, Parking camiones, Zona de descanso, Box presión, Aspiradores, Solred cheque lavado, Waylet pago en caja</t>
  </si>
  <si>
    <t>33135</t>
  </si>
  <si>
    <t>0183014257</t>
  </si>
  <si>
    <t>ES PETRONALCA LIEDENA</t>
  </si>
  <si>
    <t>LIEDENA</t>
  </si>
  <si>
    <t>CR N-240, 41</t>
  </si>
  <si>
    <t>-1.27825, 42.614194</t>
  </si>
  <si>
    <t>31487</t>
  </si>
  <si>
    <t>31246</t>
  </si>
  <si>
    <t>0183008556</t>
  </si>
  <si>
    <t>ES PETRONALCA NALDA</t>
  </si>
  <si>
    <t>NALDA E.S.</t>
  </si>
  <si>
    <t>CR NAC 111  37 Y 37A KM 319</t>
  </si>
  <si>
    <t>-2.497278, 42.350472</t>
  </si>
  <si>
    <t>26190</t>
  </si>
  <si>
    <t>04438</t>
  </si>
  <si>
    <t>0183011105</t>
  </si>
  <si>
    <t>E.S. RDGUEZ-CORCOLES.</t>
  </si>
  <si>
    <t>TOBARRA</t>
  </si>
  <si>
    <t>CL AVENIDA GUARDIA CIVIL, 233</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</si>
  <si>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</si>
  <si>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</si>
  <si>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</si>
  <si>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</si>
  <si>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34333</t>
  </si>
  <si>
    <t>0183010248</t>
  </si>
  <si>
    <t>ES CODISOIL AVD BURGOS</t>
  </si>
  <si>
    <t>CL AVENIDA DE BURGOS, 33</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</si>
  <si>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</si>
  <si>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</si>
  <si>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</si>
  <si>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05628</t>
  </si>
  <si>
    <t>0183001981</t>
  </si>
  <si>
    <t>E.S. MAFOAL, S.L.</t>
  </si>
  <si>
    <t>BANDE</t>
  </si>
  <si>
    <t>CR N-540, 37,8  I</t>
  </si>
  <si>
    <t>-7.973083, 42.034389</t>
  </si>
  <si>
    <t>32840</t>
  </si>
  <si>
    <t>11567</t>
  </si>
  <si>
    <t>0183058429</t>
  </si>
  <si>
    <t>ES CEE SERRANIA DE RONDA SL</t>
  </si>
  <si>
    <t>JIMENA DE LA FRONTER</t>
  </si>
  <si>
    <t>CR A405 GAUCIN- S. ROQUE PK 15,4 0</t>
  </si>
  <si>
    <t>-5.41825, 36.464167</t>
  </si>
  <si>
    <t>11330</t>
  </si>
  <si>
    <t>15763</t>
  </si>
  <si>
    <t>0183053461</t>
  </si>
  <si>
    <t>ES RODRIGUEZ LOPEZ JUAN CARLOS</t>
  </si>
  <si>
    <t>CR N-332, 122,5 IZ</t>
  </si>
  <si>
    <t>-0.374361, 38.450278</t>
  </si>
  <si>
    <t>31213</t>
  </si>
  <si>
    <t>0183005503</t>
  </si>
  <si>
    <t>OFESA CAMPANILLAS</t>
  </si>
  <si>
    <t>CL AVENIDA J. ORTEGA GASSET, S.N.</t>
  </si>
  <si>
    <t>-4.533167, 36.719806</t>
  </si>
  <si>
    <t>EFITEC 95 N - España, Efitec 95 Premium, DIESEL E+ NEO - España, DIESEL E+10 NEO - España, GO-B BONIF - España, Butano 6 Kg (K6), Propano 11 Kg, BLUE+GRANEL - España, Butano 12 Kg (NEL)</t>
  </si>
  <si>
    <t>06704</t>
  </si>
  <si>
    <t>0183051770</t>
  </si>
  <si>
    <t>US MARTÍNEZ SÁNCHEZ GASÓLEOS S.L.</t>
  </si>
  <si>
    <t>CERCEDILLA</t>
  </si>
  <si>
    <t>CR M-622 7,2</t>
  </si>
  <si>
    <t>-4.067528, 40.733111</t>
  </si>
  <si>
    <t>28470</t>
  </si>
  <si>
    <t>L-S: 7:30-20:30; D: 8:30-20:00</t>
  </si>
  <si>
    <t>96122</t>
  </si>
  <si>
    <t>0183079987</t>
  </si>
  <si>
    <t>FEBRER 14</t>
  </si>
  <si>
    <t>BAHIA DE ALCUDIA</t>
  </si>
  <si>
    <t>CL AVDA. JUAN CARLOS I, 109-111</t>
  </si>
  <si>
    <t>3.113806, 39.821333</t>
  </si>
  <si>
    <t>07408</t>
  </si>
  <si>
    <t>Lavado cepillos, Box presión, Aspiradores, Solred cheque lavado, Waylet pago en caja, Recarga eléctrica</t>
  </si>
  <si>
    <t>07202</t>
  </si>
  <si>
    <t>0183058148</t>
  </si>
  <si>
    <t>ES PETROQU EN CONSTITUCION SL</t>
  </si>
  <si>
    <t>PEDRERA</t>
  </si>
  <si>
    <t>CR SE-491, 10,6</t>
  </si>
  <si>
    <t>-4.893333, 37.228722</t>
  </si>
  <si>
    <t>41566</t>
  </si>
  <si>
    <t>07181</t>
  </si>
  <si>
    <t>0183054972</t>
  </si>
  <si>
    <t>E.S MARTINEZ HYP ,S.L.</t>
  </si>
  <si>
    <t>MENDAVIA</t>
  </si>
  <si>
    <t>CR NA-134, 79</t>
  </si>
  <si>
    <t>-2.212222, 42.449611</t>
  </si>
  <si>
    <t>31587</t>
  </si>
  <si>
    <t>Lavado cepillos, Parking turismos, Aspiradores, Waylet pago en caja, Adblue Envasado</t>
  </si>
  <si>
    <t>92308</t>
  </si>
  <si>
    <t>0183117589</t>
  </si>
  <si>
    <t>E.S. MAJANEQUE</t>
  </si>
  <si>
    <t>HIGUERON, EL</t>
  </si>
  <si>
    <t>CR N-437 CORDOBA-ALMODOVAR DEL RIO,</t>
  </si>
  <si>
    <t>-4.877972, 37.845194</t>
  </si>
  <si>
    <t>14193</t>
  </si>
  <si>
    <t>15540</t>
  </si>
  <si>
    <t>0183058486</t>
  </si>
  <si>
    <t>E.S. SASTAGO S.A.</t>
  </si>
  <si>
    <t>ESCATRON</t>
  </si>
  <si>
    <t>CR A-221, 81,5</t>
  </si>
  <si>
    <t>-0.323333, 41.286306</t>
  </si>
  <si>
    <t>50790</t>
  </si>
  <si>
    <t>Taller mecánico, Taller neumáticos, Box presión, Aspiradores, Waylet pago en caja</t>
  </si>
  <si>
    <t>96206</t>
  </si>
  <si>
    <t>0183076918</t>
  </si>
  <si>
    <t>CARBURANTES DE MEDINA, S.L.</t>
  </si>
  <si>
    <t>SAN VICENTE DEL PALACIO</t>
  </si>
  <si>
    <t>CR N-6, 147.2</t>
  </si>
  <si>
    <t>-4.848167, 41.220694</t>
  </si>
  <si>
    <t>47493</t>
  </si>
  <si>
    <t>L-V: 24H; S: 00:00-16:00; D: 10:00-00:00</t>
  </si>
  <si>
    <t>05698</t>
  </si>
  <si>
    <t>0183005388</t>
  </si>
  <si>
    <t>E.S. NUESTRA SEÑORA PUEYO SA</t>
  </si>
  <si>
    <t>BELCHITE</t>
  </si>
  <si>
    <t>CR A-222, 28,1</t>
  </si>
  <si>
    <t>-0.742333, 41.309667</t>
  </si>
  <si>
    <t>50130</t>
  </si>
  <si>
    <t>Restaurante, Cafetería/Bar, Lavado cepillos, Parking turismos, Parking camiones, Zona de descanso, Box presión, Aspiradores, Solred cheque lavado, Waylet pago en caja, Punto recarga eléctrico Repsol, Recarga eléctrica</t>
  </si>
  <si>
    <t>33454</t>
  </si>
  <si>
    <t>0183014109</t>
  </si>
  <si>
    <t>ES AV. CONSTITUCIÓN</t>
  </si>
  <si>
    <t>CL AVENIDA DE LA CONSTITUCION, 137</t>
  </si>
  <si>
    <t>-0.373833, 39.492694</t>
  </si>
  <si>
    <t>46019</t>
  </si>
  <si>
    <t>31901</t>
  </si>
  <si>
    <t>0183129899</t>
  </si>
  <si>
    <t>ES GESGLOBAL DE ENERGIA S.L</t>
  </si>
  <si>
    <t>CL AVENIDA RICARDO CARAPETO S.N</t>
  </si>
  <si>
    <t>-6.961944, 38.87875</t>
  </si>
  <si>
    <t>06008</t>
  </si>
  <si>
    <t>33146</t>
  </si>
  <si>
    <t>0063206312</t>
  </si>
  <si>
    <t>E.S."EL SANCHO,S.L."</t>
  </si>
  <si>
    <t>GIBRALEON</t>
  </si>
  <si>
    <t>CR N-431, 89,1</t>
  </si>
  <si>
    <t>-6.961167, 37.363444</t>
  </si>
  <si>
    <t>21500</t>
  </si>
  <si>
    <t>Lavado cepillos, Parking turismos, Zona de descanso, Aspiradores, Waylet pago en caja</t>
  </si>
  <si>
    <t>04934</t>
  </si>
  <si>
    <t>0183075746</t>
  </si>
  <si>
    <t>F.J.SERRANO AYORA</t>
  </si>
  <si>
    <t>MAS DE LAS MATAS</t>
  </si>
  <si>
    <t>CL AGUAVIVA, 9</t>
  </si>
  <si>
    <t>-0.24025, 40.831472</t>
  </si>
  <si>
    <t>44564</t>
  </si>
  <si>
    <t>13309</t>
  </si>
  <si>
    <t>0183016443</t>
  </si>
  <si>
    <t>E.S. ACEUCHAL,S.L.</t>
  </si>
  <si>
    <t>ACEUCHAL</t>
  </si>
  <si>
    <t>CR C-423, 40,6</t>
  </si>
  <si>
    <t>-6.487194, 38.640556</t>
  </si>
  <si>
    <t>96234</t>
  </si>
  <si>
    <t>0183076876</t>
  </si>
  <si>
    <t>CASARES DAZA S.L.</t>
  </si>
  <si>
    <t>VALENCIA DE ALCANTARA</t>
  </si>
  <si>
    <t>CR N-521, 151,4</t>
  </si>
  <si>
    <t>-7.298278, 39.346472</t>
  </si>
  <si>
    <t>Cafetería/Bar, Taller mecánico, Taller neumáticos, Parking turismos, Parking camiones, Zona de descanso, Box presión, Waylet pago en caja</t>
  </si>
  <si>
    <t>33503</t>
  </si>
  <si>
    <t>0183006709</t>
  </si>
  <si>
    <t>SERVICIOS OLMEDILLO,S.L.</t>
  </si>
  <si>
    <t>OLMEDILLO DE ROA</t>
  </si>
  <si>
    <t>CR BU-619, 26,1</t>
  </si>
  <si>
    <t>-3.929972, 41.781611</t>
  </si>
  <si>
    <t>09311</t>
  </si>
  <si>
    <t>33264</t>
  </si>
  <si>
    <t>0063206627</t>
  </si>
  <si>
    <t>MENCHERO Y RUBIO S.L</t>
  </si>
  <si>
    <t>VILLARTA DE SAN JUAN</t>
  </si>
  <si>
    <t>CR N-4, 147,6</t>
  </si>
  <si>
    <t>-3.419139, 39.230444</t>
  </si>
  <si>
    <t>13210</t>
  </si>
  <si>
    <t>L-S: 08:00-15:00 y 16:30-21:30; D: 08:00-16:00</t>
  </si>
  <si>
    <t>EFITEC 95 N - España, Efitec 95 Premium, DIESEL E+ NEO - España, DIESEL NEXA 100% RENOVABLE - Esp, GO-B BONIF - España, Butano 12 Kg (NEL)</t>
  </si>
  <si>
    <t>97038</t>
  </si>
  <si>
    <t>0183132307</t>
  </si>
  <si>
    <t>E.S. EXNOR S.L.</t>
  </si>
  <si>
    <t>SANXENXO</t>
  </si>
  <si>
    <t>LGAR FONTOIRA VINQUIÑO 42A</t>
  </si>
  <si>
    <t>-8.812722, 42.415417</t>
  </si>
  <si>
    <t>36960</t>
  </si>
  <si>
    <t>Cafetería/Bar, Lavado cepillos, Parking turismos, Zona de descanso, Box presión, Aspiradores, Solred cheque lavado, Waylet pago en caja</t>
  </si>
  <si>
    <t>15040</t>
  </si>
  <si>
    <t>0183061514</t>
  </si>
  <si>
    <t>E.S. AVIÓN, S.L.</t>
  </si>
  <si>
    <t>AVION</t>
  </si>
  <si>
    <t>CR OR-212, 15</t>
  </si>
  <si>
    <t>-8.246028, 42.374361</t>
  </si>
  <si>
    <t>32520</t>
  </si>
  <si>
    <t>15358</t>
  </si>
  <si>
    <t>0183117456</t>
  </si>
  <si>
    <t>ES ANPIAN ESTACION DE SERVICIO REZA</t>
  </si>
  <si>
    <t>REZA</t>
  </si>
  <si>
    <t>CR OR-402 , P.K. 3.,8</t>
  </si>
  <si>
    <t>-7.894778, 42.351306</t>
  </si>
  <si>
    <t>32940</t>
  </si>
  <si>
    <t>Lavado cepillos, Lavado camiones, Box presión, Aspiradores, Solred cheque lavado, Waylet pago en caja, Adblue Envasado, Punto recarga eléctrico Repsol</t>
  </si>
  <si>
    <t>12278</t>
  </si>
  <si>
    <t>0183135664</t>
  </si>
  <si>
    <t>ES FAVARA</t>
  </si>
  <si>
    <t>CTRA. N. 332  KM. 246</t>
  </si>
  <si>
    <t>-0.278194, 39.143528</t>
  </si>
  <si>
    <t>Cafetería/Bar, Zona de descanso, Waylet pago en caja</t>
  </si>
  <si>
    <t>97081</t>
  </si>
  <si>
    <t>0183130111</t>
  </si>
  <si>
    <t>E.S. LAS LAGUNAS</t>
  </si>
  <si>
    <t>CABAÑAS DE LA SAGRA</t>
  </si>
  <si>
    <t>CTRA TO-2516 KM 0,1</t>
  </si>
  <si>
    <t>-3.964, 39.992361</t>
  </si>
  <si>
    <t>45592</t>
  </si>
  <si>
    <t>15626</t>
  </si>
  <si>
    <t>0183122530</t>
  </si>
  <si>
    <t>E.S. CARBURANTE SAGUNTO S.L.</t>
  </si>
  <si>
    <t>V-23, P.K. 3</t>
  </si>
  <si>
    <t>-0.282833, 39.6555</t>
  </si>
  <si>
    <t>Cafetería/Bar, Parking turismos, Box presión, Aspiradores, Waylet pago en caja, Adblue Envasado</t>
  </si>
  <si>
    <t>96686</t>
  </si>
  <si>
    <t>0183112036</t>
  </si>
  <si>
    <t>E.S. MORALEDA</t>
  </si>
  <si>
    <t>CR  A-92 P.K. 211,2   M.D.</t>
  </si>
  <si>
    <t>-3.95275, 37.182583</t>
  </si>
  <si>
    <t>Restaurante, Cafetería/Bar, Lavado cepillos, Parking turismos, Parking camiones, Box presión, Aspiradores, Solred cheque lavado, Waylet pago en caja, Punto recarga eléctrico Repsol</t>
  </si>
  <si>
    <t>06289</t>
  </si>
  <si>
    <t>0183053958</t>
  </si>
  <si>
    <t>GAS. CAMPORROBLES SL</t>
  </si>
  <si>
    <t>CAMPORROBLES</t>
  </si>
  <si>
    <t>CR VL-502  DE MIRA, 1,1</t>
  </si>
  <si>
    <t>-1.404056, 39.651556</t>
  </si>
  <si>
    <t>46330</t>
  </si>
  <si>
    <t>L-S: 08:00-14:00; D: 15:00-21:00</t>
  </si>
  <si>
    <t>07096</t>
  </si>
  <si>
    <t>0183055854</t>
  </si>
  <si>
    <t>SANT PAU,C.B.</t>
  </si>
  <si>
    <t>ALBOCACER</t>
  </si>
  <si>
    <t>CR CS-800  32,3</t>
  </si>
  <si>
    <t>-0.006333, 40.342611</t>
  </si>
  <si>
    <t>12140</t>
  </si>
  <si>
    <t>07110</t>
  </si>
  <si>
    <t>0183053990</t>
  </si>
  <si>
    <t>ES SUMINISTROS RUTA DE LA PLATA SL</t>
  </si>
  <si>
    <t>CR N-630, 799</t>
  </si>
  <si>
    <t>-6.074583, 37.507417</t>
  </si>
  <si>
    <t>Cafetería/Bar, Lavado cepillos, Lavado camiones, Parking camiones, Box presión, Aspiradores, Waylet pago en surtidor, Waylet pago en caja, Adblue Envasado</t>
  </si>
  <si>
    <t>11021</t>
  </si>
  <si>
    <t>0183112135</t>
  </si>
  <si>
    <t>JOSE CALVO LUCIA E HIJOS</t>
  </si>
  <si>
    <t>CR  EX-118 P.K. 1</t>
  </si>
  <si>
    <t>-5.318583, 39.448194</t>
  </si>
  <si>
    <t>Lavado camiones, Parking turismos, Parking camiones, Box presión, Aspiradores, Waylet pago en caja, Recarga eléctrica</t>
  </si>
  <si>
    <t>04387</t>
  </si>
  <si>
    <t>0183050152</t>
  </si>
  <si>
    <t>E.S. OBRADOR,SA-RAFAL</t>
  </si>
  <si>
    <t>CL ARAGON-(ES RAFAL), 180</t>
  </si>
  <si>
    <t>2.671556, 39.584278</t>
  </si>
  <si>
    <t>11865</t>
  </si>
  <si>
    <t>0183058015</t>
  </si>
  <si>
    <t>ESTACION DE SERVICIO BEMBIBRE, S.L.</t>
  </si>
  <si>
    <t>RUA ARCAI, 120</t>
  </si>
  <si>
    <t>-8.656194, 43.021667</t>
  </si>
  <si>
    <t>15873</t>
  </si>
  <si>
    <t>L-V: 06:30-22:30; S-D: 08:00-22:30</t>
  </si>
  <si>
    <t>Lavado cepillos, Parking turismos, Parking camiones, Zona de descanso, Box presión, Aspiradores, Waylet pago en caja, Punto recarga eléctrico Repsol</t>
  </si>
  <si>
    <t>00740</t>
  </si>
  <si>
    <t>0183060268</t>
  </si>
  <si>
    <t>ES RICOGAS DEL SUR, S.L.</t>
  </si>
  <si>
    <t>CR N-333 35,8</t>
  </si>
  <si>
    <t>-5.409278, 37.329333</t>
  </si>
  <si>
    <t>01765</t>
  </si>
  <si>
    <t>0183079508</t>
  </si>
  <si>
    <t>ES SAMOS</t>
  </si>
  <si>
    <t>SAMOS</t>
  </si>
  <si>
    <t>CL GENERAL FRANCO, 1</t>
  </si>
  <si>
    <t>-7.325722, 42.732583</t>
  </si>
  <si>
    <t>27620</t>
  </si>
  <si>
    <t>L: 08:00-22:30</t>
  </si>
  <si>
    <t>02908</t>
  </si>
  <si>
    <t>0183061993</t>
  </si>
  <si>
    <t>E.S.  IGUAL BUSTAMANTE</t>
  </si>
  <si>
    <t>RUBIELOS DE MORA</t>
  </si>
  <si>
    <t>CR TE - 200, 16,4</t>
  </si>
  <si>
    <t>-0.655917, 40.19075</t>
  </si>
  <si>
    <t>44415</t>
  </si>
  <si>
    <t>L: 08:00-21:30</t>
  </si>
  <si>
    <t>13991</t>
  </si>
  <si>
    <t>0183101344</t>
  </si>
  <si>
    <t>E.S. ALMARAZ,S.L.</t>
  </si>
  <si>
    <t>ALMARAZ</t>
  </si>
  <si>
    <t>CR A-5, 200</t>
  </si>
  <si>
    <t>-5.696167, 39.791194</t>
  </si>
  <si>
    <t>10350</t>
  </si>
  <si>
    <t>Rest. Autoservicio, Restaurante, Cafetería/Bar, Lavado camiones, Parking turismos, Parking camiones, Zona de descanso, Box presión, Duchas, Aspiradores, Waylet pago en caja, Adblue Envasado</t>
  </si>
  <si>
    <t>11697</t>
  </si>
  <si>
    <t>0183057934</t>
  </si>
  <si>
    <t>ES. RINCON DE LA BARCA</t>
  </si>
  <si>
    <t>CASPE</t>
  </si>
  <si>
    <t>CR A-230, 1,8</t>
  </si>
  <si>
    <t>-0.067917, 41.249056</t>
  </si>
  <si>
    <t>50700</t>
  </si>
  <si>
    <t>Parking turismos, Zona de descanso, Waylet pago en surtidor, Waylet pago en caja</t>
  </si>
  <si>
    <t>34503</t>
  </si>
  <si>
    <t>0183050616</t>
  </si>
  <si>
    <t>SANT CELONI</t>
  </si>
  <si>
    <t>CR C-35 P.K. 55,1</t>
  </si>
  <si>
    <t>2.486083, 41.680667</t>
  </si>
  <si>
    <t>08470</t>
  </si>
  <si>
    <t>Cafetería/Bar, Lavado cepillos, Parking turismos, Waylet pago en surtidor, Waylet pago en caja</t>
  </si>
  <si>
    <t>34346</t>
  </si>
  <si>
    <t>0183015544</t>
  </si>
  <si>
    <t>MAYPA S.L.</t>
  </si>
  <si>
    <t>TRIJUEQUE</t>
  </si>
  <si>
    <t>CR A-2, 75,7</t>
  </si>
  <si>
    <t>-3.009417, 40.761528</t>
  </si>
  <si>
    <t>19192</t>
  </si>
  <si>
    <t>Restaurante, Cafetería/Bar, Parking turismos, Parking camiones, Zona de descanso, Duchas, Aspiradores, Waylet pago en caja, Punto recarga eléctrico Repsol</t>
  </si>
  <si>
    <t>31614</t>
  </si>
  <si>
    <t>0183075449</t>
  </si>
  <si>
    <t>E.S. LAS CONCHAS</t>
  </si>
  <si>
    <t>LOBEIRA</t>
  </si>
  <si>
    <t>OU- 540, PK 53,9</t>
  </si>
  <si>
    <t>-8.029389, 41.951694</t>
  </si>
  <si>
    <t>32897</t>
  </si>
  <si>
    <t>12767</t>
  </si>
  <si>
    <t>0183061530</t>
  </si>
  <si>
    <t>E.S. MENCHERO Y RUBIO</t>
  </si>
  <si>
    <t>CR N-4, 153,3</t>
  </si>
  <si>
    <t>-3.399056, 39.180472</t>
  </si>
  <si>
    <t>96320</t>
  </si>
  <si>
    <t>0183102896</t>
  </si>
  <si>
    <t>CR A-2, 125,15</t>
  </si>
  <si>
    <t>-2.554806, 41.01375</t>
  </si>
  <si>
    <t>33337</t>
  </si>
  <si>
    <t>0183052562</t>
  </si>
  <si>
    <t>E.S.MANSILLA,S.L.</t>
  </si>
  <si>
    <t>MANSILLA DE LAS MULAS</t>
  </si>
  <si>
    <t>CR N-601, 308</t>
  </si>
  <si>
    <t>-5.414389, 42.495472</t>
  </si>
  <si>
    <t>24210</t>
  </si>
  <si>
    <t>96529</t>
  </si>
  <si>
    <t>0183108562</t>
  </si>
  <si>
    <t>E.S. A GRANXA</t>
  </si>
  <si>
    <t>PORRIÑO-POG.A GRANXA-E.S.</t>
  </si>
  <si>
    <t>PG INDUSTRIAL A GRANXA, SN</t>
  </si>
  <si>
    <t>-8.620389, 42.108778</t>
  </si>
  <si>
    <t>36470</t>
  </si>
  <si>
    <t>31531</t>
  </si>
  <si>
    <t>0183016526</t>
  </si>
  <si>
    <t>GASOLINERA HNOS YANES, S.L.</t>
  </si>
  <si>
    <t>SAN TIRSO DE ABRES</t>
  </si>
  <si>
    <t>CR N-640, PK. 26</t>
  </si>
  <si>
    <t>-7.148583, 43.412944</t>
  </si>
  <si>
    <t>33774</t>
  </si>
  <si>
    <t>Taller neumáticos, Parking turismos, Parking camiones, Zona de descanso, Box presión, Aspiradores, Solred cheque lavado, Waylet pago en caja</t>
  </si>
  <si>
    <t>34205</t>
  </si>
  <si>
    <t>0183004019</t>
  </si>
  <si>
    <t>E.S. MEJIAS GONZALEZ, ISMAEL</t>
  </si>
  <si>
    <t>CL SEVILLA, 82</t>
  </si>
  <si>
    <t>-5.650389, 37.467389</t>
  </si>
  <si>
    <t>Lavado cepillos, Zona de descanso, Box presión, Duchas, Aspiradores, Waylet pago en surtidor, Waylet pago en caja, Punto recarga eléctrico Repsol</t>
  </si>
  <si>
    <t>06715</t>
  </si>
  <si>
    <t>0183057330</t>
  </si>
  <si>
    <t>E.S. GASOLIL ROBERT SL</t>
  </si>
  <si>
    <t>LA POBLA DE CLARAMUN</t>
  </si>
  <si>
    <t>CL AVENIDA CATALUÑA, 1</t>
  </si>
  <si>
    <t>1.676111, 41.552611</t>
  </si>
  <si>
    <t>08787</t>
  </si>
  <si>
    <t>04398</t>
  </si>
  <si>
    <t>0183055813</t>
  </si>
  <si>
    <t>E.S. HIDIFER SL</t>
  </si>
  <si>
    <t>VILLARRAMIEL</t>
  </si>
  <si>
    <t>CR N-610, 32,4</t>
  </si>
  <si>
    <t>-4.89975, 42.046278</t>
  </si>
  <si>
    <t>L-V: 07:30-22:00; S: 07:30-15:00; D: 14:00-22:00</t>
  </si>
  <si>
    <t>Restaurante, Cafetería/Bar, Taller mecánico, Parking turismos, Parking camiones, Waylet pago en caja</t>
  </si>
  <si>
    <t>12633</t>
  </si>
  <si>
    <t>0183136712</t>
  </si>
  <si>
    <t>ES CAMPOHERMOSO NIJAR</t>
  </si>
  <si>
    <t>CAMPOHERMOSO</t>
  </si>
  <si>
    <t>CTRA IRYDA KM 6</t>
  </si>
  <si>
    <t>04110</t>
  </si>
  <si>
    <t>33558</t>
  </si>
  <si>
    <t>0183008333</t>
  </si>
  <si>
    <t>E.S.  LOPEZ MOLINA,J.</t>
  </si>
  <si>
    <t>PACA, LA-LORCA-AVILES</t>
  </si>
  <si>
    <t>CR MU-3211, 32,1</t>
  </si>
  <si>
    <t>-1.835, 37.868583</t>
  </si>
  <si>
    <t>30812</t>
  </si>
  <si>
    <t>33377</t>
  </si>
  <si>
    <t>0183054519</t>
  </si>
  <si>
    <t>E.S.N.SRA.DEL CARMEN</t>
  </si>
  <si>
    <t>ESPIEL</t>
  </si>
  <si>
    <t>CR N-432, 236,2</t>
  </si>
  <si>
    <t>-4.899528, 38.12475</t>
  </si>
  <si>
    <t>14220</t>
  </si>
  <si>
    <t>EFITEC 95 N - España, Efitec 95 Premium, DIESEL E+ NEO - España, DIESEL E+10 NEO - España, GO-B BONIF - España</t>
  </si>
  <si>
    <t>15834</t>
  </si>
  <si>
    <t>0183062892</t>
  </si>
  <si>
    <t>GALLARDO BERROCAL J.</t>
  </si>
  <si>
    <t>CODOSERA, LA</t>
  </si>
  <si>
    <t>CL CARRETERA SAN VICENTE, S.N.</t>
  </si>
  <si>
    <t>-7.162361, 39.21375</t>
  </si>
  <si>
    <t>06518</t>
  </si>
  <si>
    <t>94698</t>
  </si>
  <si>
    <t>0183131309</t>
  </si>
  <si>
    <t>E.S. CARBURANTES LA HISPANIDAD</t>
  </si>
  <si>
    <t>AV ANDALUCIA PARCELA M14 PER 10</t>
  </si>
  <si>
    <t>-6.939472, 37.269667</t>
  </si>
  <si>
    <t>10728</t>
  </si>
  <si>
    <t>0183129865</t>
  </si>
  <si>
    <t>PEPINO</t>
  </si>
  <si>
    <t>CR CM-5100 PK 5,30</t>
  </si>
  <si>
    <t>-4.820333, 40.010556</t>
  </si>
  <si>
    <t>45638</t>
  </si>
  <si>
    <t>33351</t>
  </si>
  <si>
    <t>0183055334</t>
  </si>
  <si>
    <t>ES ARQUILLOS RUIZ LOPEZ SL</t>
  </si>
  <si>
    <t>ARQUILLOS</t>
  </si>
  <si>
    <t>CR LINARES ORCERA, KM 28</t>
  </si>
  <si>
    <t>-3.37575, 38.183306</t>
  </si>
  <si>
    <t>23230</t>
  </si>
  <si>
    <t>Taller mecánico, Box presión, Aspiradores, Waylet pago en caja, Adblue Envasado, Punto recarga eléctrico Repsol</t>
  </si>
  <si>
    <t>07093</t>
  </si>
  <si>
    <t>0183059344</t>
  </si>
  <si>
    <t>E.S. MORA VICENS,S.L.</t>
  </si>
  <si>
    <t>SOLLER</t>
  </si>
  <si>
    <t>CR C-711, 30</t>
  </si>
  <si>
    <t>2.708389, 39.765778</t>
  </si>
  <si>
    <t>07100</t>
  </si>
  <si>
    <t>EFITEC 95 N - España, EFITEC 98 N - España, DIESEL E+ NEO - España, Butano 6 Kg (K6), Butano 12 Kg (NEL)</t>
  </si>
  <si>
    <t>Parking turismos, Waylet pago en caja, Recarga eléctrica</t>
  </si>
  <si>
    <t>01433</t>
  </si>
  <si>
    <t>0183119478</t>
  </si>
  <si>
    <t>AS FERNANDEZ MENENDEZ ALEJANDRO</t>
  </si>
  <si>
    <t>CL SANTA DORADIA, 22</t>
  </si>
  <si>
    <t>-5.657083, 43.53825</t>
  </si>
  <si>
    <t>33202</t>
  </si>
  <si>
    <t>12730</t>
  </si>
  <si>
    <t>0183062538</t>
  </si>
  <si>
    <t>ABORGA GESTION, S.L.</t>
  </si>
  <si>
    <t>CR A-4, 98,20</t>
  </si>
  <si>
    <t>-3.517806, 39.649417</t>
  </si>
  <si>
    <t>34273</t>
  </si>
  <si>
    <t>0183010255</t>
  </si>
  <si>
    <t>SEGUIN Y DIEGO,S.L.</t>
  </si>
  <si>
    <t>FUENTESAUCO</t>
  </si>
  <si>
    <t>CR C-519, 35</t>
  </si>
  <si>
    <t>-5.494472, 41.233472</t>
  </si>
  <si>
    <t>49400</t>
  </si>
  <si>
    <t>L-V: 07:00-21:00; S: 08:00-20:00; D: 08:00-15:00</t>
  </si>
  <si>
    <t>34039</t>
  </si>
  <si>
    <t>0183053180</t>
  </si>
  <si>
    <t>ES POWERMOTION, SLU</t>
  </si>
  <si>
    <t>MADRIGALEJO</t>
  </si>
  <si>
    <t>CR C-701, PK.4</t>
  </si>
  <si>
    <t>-5.625861, 39.1405</t>
  </si>
  <si>
    <t>10110</t>
  </si>
  <si>
    <t>33191</t>
  </si>
  <si>
    <t>0183003334</t>
  </si>
  <si>
    <t>E.S. PULIGARCI, S.L.</t>
  </si>
  <si>
    <t>IBI</t>
  </si>
  <si>
    <t>CL AVENIDA JUAN CARLOS I, 1</t>
  </si>
  <si>
    <t>-0.567917, 38.626556</t>
  </si>
  <si>
    <t>03440</t>
  </si>
  <si>
    <t>96550</t>
  </si>
  <si>
    <t>0183107317</t>
  </si>
  <si>
    <t>-3.63875, 37.197583</t>
  </si>
  <si>
    <t>10150</t>
  </si>
  <si>
    <t>0183010974</t>
  </si>
  <si>
    <t>RIBERA DE ORBIGO SL</t>
  </si>
  <si>
    <t>ARMELLADA</t>
  </si>
  <si>
    <t>CL POBLADO ARMELLADA, S.N. LE-420,</t>
  </si>
  <si>
    <t>-5.867917, 42.548556</t>
  </si>
  <si>
    <t>24284</t>
  </si>
  <si>
    <t>Lavado camiones, Parking turismos, Parking camiones, Zona de descanso, Box presión, Aspiradores, Solred cheque lavado, Waylet pago en caja</t>
  </si>
  <si>
    <t>50080</t>
  </si>
  <si>
    <t>0183052273</t>
  </si>
  <si>
    <t>E.S. SAN JUAN BOSCO, S.A. - R I</t>
  </si>
  <si>
    <t>AV JOSE ATARES N 3</t>
  </si>
  <si>
    <t>-0.885917, 41.661389</t>
  </si>
  <si>
    <t>31121</t>
  </si>
  <si>
    <t>0063198352</t>
  </si>
  <si>
    <t>E.S. GUREAK ZERBITZUGUNEAK OÑATI</t>
  </si>
  <si>
    <t>CR GI-2630, 17,90</t>
  </si>
  <si>
    <t>-2.420639, 43.039917</t>
  </si>
  <si>
    <t>05725</t>
  </si>
  <si>
    <t>0183015304</t>
  </si>
  <si>
    <t>E.S. REPRIS, S.L.</t>
  </si>
  <si>
    <t>CR BP-1503 GRACIA-MANRESA, 16,1</t>
  </si>
  <si>
    <t>2.069528, 41.477833</t>
  </si>
  <si>
    <t>33310</t>
  </si>
  <si>
    <t>0183010164</t>
  </si>
  <si>
    <t>GASOLEOS TOLEDO SL</t>
  </si>
  <si>
    <t>ESQUIVIAS</t>
  </si>
  <si>
    <t>CL PASEO GALATEA, 35</t>
  </si>
  <si>
    <t>-3.770167, 40.108528</t>
  </si>
  <si>
    <t>45221</t>
  </si>
  <si>
    <t>96115</t>
  </si>
  <si>
    <t>0183018472</t>
  </si>
  <si>
    <t>E.S. ERRONDO,S.L.</t>
  </si>
  <si>
    <t>CL PASEO ERRONDO, 7</t>
  </si>
  <si>
    <t>-1.981472, 43.309028</t>
  </si>
  <si>
    <t>20010</t>
  </si>
  <si>
    <t>02301</t>
  </si>
  <si>
    <t>0183052141</t>
  </si>
  <si>
    <t>GASOLINERAS EL CAÑUELO,S.L.</t>
  </si>
  <si>
    <t>AV DEL CUARTEL, 1</t>
  </si>
  <si>
    <t>-4.911028, 41.305194</t>
  </si>
  <si>
    <t>92735</t>
  </si>
  <si>
    <t>0183120740</t>
  </si>
  <si>
    <t>AREAS DE BASSELLA, S.L.</t>
  </si>
  <si>
    <t>BASELLA</t>
  </si>
  <si>
    <t>CR C-14, P.K. 134</t>
  </si>
  <si>
    <t>1.294306, 42.005889</t>
  </si>
  <si>
    <t>25289</t>
  </si>
  <si>
    <t>Cafetería/Bar, Lavado camiones, Parking turismos, Parking camiones, Zona de descanso, Box presión, Aspiradores, Waylet pago en surtidor, Waylet pago en caja, Recarga eléctrica</t>
  </si>
  <si>
    <t>15579</t>
  </si>
  <si>
    <t>0183058734</t>
  </si>
  <si>
    <t>E.S. TRANSJUAN, S.L.</t>
  </si>
  <si>
    <t>LOBOS, LOS</t>
  </si>
  <si>
    <t>CR AL-610, 13</t>
  </si>
  <si>
    <t>-1.770222, 37.307444</t>
  </si>
  <si>
    <t>04619</t>
  </si>
  <si>
    <t>01453</t>
  </si>
  <si>
    <t>0183137942</t>
  </si>
  <si>
    <t>ES SENDRA SOLBES</t>
  </si>
  <si>
    <t>AVENIDA PAIS VALENCIANO, 27</t>
  </si>
  <si>
    <t>-0.271833, 39.676306</t>
  </si>
  <si>
    <t>15411</t>
  </si>
  <si>
    <t>0183001874</t>
  </si>
  <si>
    <t>E.S. ELVIRIA,S.L.</t>
  </si>
  <si>
    <t>AT N-340, 192,5</t>
  </si>
  <si>
    <t>-4.766028, 36.494306</t>
  </si>
  <si>
    <t>11996</t>
  </si>
  <si>
    <t>0183059591</t>
  </si>
  <si>
    <t>ES CARBURANTES MONTEARENAS SL</t>
  </si>
  <si>
    <t>CL MONTEARENAS (ANTIGUA N-VI), S.N.</t>
  </si>
  <si>
    <t>-6.576194, 42.550889</t>
  </si>
  <si>
    <t>24401</t>
  </si>
  <si>
    <t>Lavado cepillos, Parking turismos, Box presión, Aspiradores, Solred cheque lavado, Waylet pago en caja, Punto recarga eléctrico Repsol, Lavados Klin, Recarga eléctrica</t>
  </si>
  <si>
    <t>15388</t>
  </si>
  <si>
    <t>0183052000</t>
  </si>
  <si>
    <t>E.S. LOYMA TRAVEL OIL SLL</t>
  </si>
  <si>
    <t>ROBLEDA</t>
  </si>
  <si>
    <t>CR C-526, 90  D</t>
  </si>
  <si>
    <t>-6.60825, 40.386889</t>
  </si>
  <si>
    <t>37521</t>
  </si>
  <si>
    <t>05539</t>
  </si>
  <si>
    <t>0183057355</t>
  </si>
  <si>
    <t>ES ESTACION DE SERVICIO DE LOGROSAN</t>
  </si>
  <si>
    <t>LOGROSAN</t>
  </si>
  <si>
    <t>CR C-401, 203</t>
  </si>
  <si>
    <t>-5.479444, 39.333333</t>
  </si>
  <si>
    <t>07459</t>
  </si>
  <si>
    <t>0183009638</t>
  </si>
  <si>
    <t>HNOS. SEGURA CASADO,S.L.</t>
  </si>
  <si>
    <t>CABANILLAS</t>
  </si>
  <si>
    <t>CR NA-126, 8</t>
  </si>
  <si>
    <t>-1.516056, 42.029556</t>
  </si>
  <si>
    <t>31511</t>
  </si>
  <si>
    <t>L-V: 06:00-22:00; S: 06:00-20:00; D: 07:00-14:00</t>
  </si>
  <si>
    <t>05927</t>
  </si>
  <si>
    <t>0183007806</t>
  </si>
  <si>
    <t>E.S. L. GUARDIOLA, S.L</t>
  </si>
  <si>
    <t>CALLOSA D EN SARRIA</t>
  </si>
  <si>
    <t>CL SAN ISIDRO, 10</t>
  </si>
  <si>
    <t>-0.121194, 38.6495</t>
  </si>
  <si>
    <t>03510</t>
  </si>
  <si>
    <t>Lavandería, Waylet pago en surtidor, Waylet pago en caja</t>
  </si>
  <si>
    <t>98134</t>
  </si>
  <si>
    <t>0183131382</t>
  </si>
  <si>
    <t>E.S. GARCIA SALAMANCA SL</t>
  </si>
  <si>
    <t>CTRA EX 101, KM 4,200</t>
  </si>
  <si>
    <t>-6.396722, 38.431972</t>
  </si>
  <si>
    <t>34241</t>
  </si>
  <si>
    <t>0183015478</t>
  </si>
  <si>
    <t>E.S.LA PEÑITA II</t>
  </si>
  <si>
    <t>ALHAURIN EL GRANDE</t>
  </si>
  <si>
    <t>CL CARRETERA DE CARTAMA, 1</t>
  </si>
  <si>
    <t>-4.679056, 36.652889</t>
  </si>
  <si>
    <t>29120</t>
  </si>
  <si>
    <t>11368</t>
  </si>
  <si>
    <t>0183125541</t>
  </si>
  <si>
    <t>GASOLINERA BALMES S.A</t>
  </si>
  <si>
    <t>C/ BALMES 286-290</t>
  </si>
  <si>
    <t>2.146806, 41.401861</t>
  </si>
  <si>
    <t>08006</t>
  </si>
  <si>
    <t>01983</t>
  </si>
  <si>
    <t>0183077981</t>
  </si>
  <si>
    <t>ES UNIDAD DE SUMINITRO PAMEN</t>
  </si>
  <si>
    <t>CL PLAZA PUERTA PILAR, S.N.</t>
  </si>
  <si>
    <t>-6.971306, 38.874333</t>
  </si>
  <si>
    <t>06004</t>
  </si>
  <si>
    <t>L-V: 07:00-21:00; S: 07:00-15:00; D: 08:00-14:00</t>
  </si>
  <si>
    <t>33097</t>
  </si>
  <si>
    <t>0042139410</t>
  </si>
  <si>
    <t>ES AREA DE SERVICIO  VILLARDEFRADES</t>
  </si>
  <si>
    <t>VILLARDEFRADES</t>
  </si>
  <si>
    <t>CR N-6 216</t>
  </si>
  <si>
    <t>-5.252556, 41.7235</t>
  </si>
  <si>
    <t>47860</t>
  </si>
  <si>
    <t>L-V: 08:00-21:00; S: 08:00-16:00; D: 11:00-21:00</t>
  </si>
  <si>
    <t>92246</t>
  </si>
  <si>
    <t>0183102276</t>
  </si>
  <si>
    <t>CR VV-2041, 0,80</t>
  </si>
  <si>
    <t>-0.578806, 38.975861</t>
  </si>
  <si>
    <t>EFITEC 95 N - España, Efitec 95 Premium, DIESEL E+ NEO - España, DIESEL E+10 NEO - España, Butano 12 Kg (NEL)</t>
  </si>
  <si>
    <t>Cafetería/Bar, Parking turismos, Box presión, Aspiradores, Waylet pago en surtidor, Waylet pago en caja, Adblue Envasado</t>
  </si>
  <si>
    <t>33379</t>
  </si>
  <si>
    <t>0183011014</t>
  </si>
  <si>
    <t>E.S. LA PARADA</t>
  </si>
  <si>
    <t>BELMEZ</t>
  </si>
  <si>
    <t>CL TRAJANO, 8</t>
  </si>
  <si>
    <t>-5.205694, 38.272444</t>
  </si>
  <si>
    <t>14240</t>
  </si>
  <si>
    <t>L-V: 07:00-15:00 y 17:00-21:00; S: 07:00-15:00</t>
  </si>
  <si>
    <t>15185</t>
  </si>
  <si>
    <t>0183012624</t>
  </si>
  <si>
    <t>E.S. LOS ROSALES</t>
  </si>
  <si>
    <t>CL AVENIDA CARLOTA ALESSANDRE, 9</t>
  </si>
  <si>
    <t>-4.503028, 36.615028</t>
  </si>
  <si>
    <t>12242</t>
  </si>
  <si>
    <t>0183056001</t>
  </si>
  <si>
    <t>ES COSTERA GASOLEOS</t>
  </si>
  <si>
    <t>VALLADA</t>
  </si>
  <si>
    <t>PASEO DE LAS CORTES VALENCIANAS</t>
  </si>
  <si>
    <t>-0.688111, 38.900611</t>
  </si>
  <si>
    <t>46691</t>
  </si>
  <si>
    <t>L-V: 06:30-20:30; S-D: 08:00-14:00</t>
  </si>
  <si>
    <t>12137</t>
  </si>
  <si>
    <t>0183056027</t>
  </si>
  <si>
    <t>S. FRANCISCO JAVIER</t>
  </si>
  <si>
    <t>CR RV-19, 1,1 M.D.</t>
  </si>
  <si>
    <t>-5.908778, 37.376583</t>
  </si>
  <si>
    <t>03419</t>
  </si>
  <si>
    <t>0183009554</t>
  </si>
  <si>
    <t>ES J&amp;A PETROL STATION, SL-FRESNO</t>
  </si>
  <si>
    <t>FRESNO ALHANDIGA</t>
  </si>
  <si>
    <t>CR N-630, 372  D</t>
  </si>
  <si>
    <t>-5.623083, 40.70025</t>
  </si>
  <si>
    <t>37789</t>
  </si>
  <si>
    <t>05764</t>
  </si>
  <si>
    <t>0183005495</t>
  </si>
  <si>
    <t>ES RINCON DE LA VICTORIA</t>
  </si>
  <si>
    <t>RINCON DE LA VICTORI</t>
  </si>
  <si>
    <t>CL AVENIDA DE MALAGA, S.N.</t>
  </si>
  <si>
    <t>-4.304333, 36.715972</t>
  </si>
  <si>
    <t>96875</t>
  </si>
  <si>
    <t>0183118348</t>
  </si>
  <si>
    <t>E.S. VALAES,S.L.</t>
  </si>
  <si>
    <t>SAN AGUSTIN DE GUADA</t>
  </si>
  <si>
    <t>CR N-1 ,P.K. 34</t>
  </si>
  <si>
    <t>-3.610278, 40.673139</t>
  </si>
  <si>
    <t>28750</t>
  </si>
  <si>
    <t>02693</t>
  </si>
  <si>
    <t>0183063130</t>
  </si>
  <si>
    <t>U.S. CARDEÑA</t>
  </si>
  <si>
    <t>CARDEÑA</t>
  </si>
  <si>
    <t>CR C-420, 181,7</t>
  </si>
  <si>
    <t>-4.323722, 38.267444</t>
  </si>
  <si>
    <t>14445</t>
  </si>
  <si>
    <t>L-V: 07:30-22:00; S-D: 07:30-14:30</t>
  </si>
  <si>
    <t>34521</t>
  </si>
  <si>
    <t>0183009893</t>
  </si>
  <si>
    <t>CR CV-42, 0</t>
  </si>
  <si>
    <t>-0.445917, 39.161917</t>
  </si>
  <si>
    <t>L-V: 06:00-21:00; S: 06:00-14:00</t>
  </si>
  <si>
    <t>EFITEC 95 N - España, DIESEL E+ NEO - España, DIESEL NEXA 100% RENOVABLE - Esp, Butano 12 Kg (NEL)</t>
  </si>
  <si>
    <t>96890</t>
  </si>
  <si>
    <t>0183119148</t>
  </si>
  <si>
    <t>E.S. LUIS GASCON SAN MARTIN</t>
  </si>
  <si>
    <t>LALUEZA</t>
  </si>
  <si>
    <t>Ctra. A-1213, P.K. 33</t>
  </si>
  <si>
    <t>-0.254583, 41.844833</t>
  </si>
  <si>
    <t>22214</t>
  </si>
  <si>
    <t>L-V: 07:00-20:30; S: 08:00-14:00</t>
  </si>
  <si>
    <t>96224</t>
  </si>
  <si>
    <t>0183078484</t>
  </si>
  <si>
    <t>E.S. SARMIENTO FUERTES</t>
  </si>
  <si>
    <t>ARDON</t>
  </si>
  <si>
    <t>CR N-630, 161,5</t>
  </si>
  <si>
    <t>-5.579694, 42.462444</t>
  </si>
  <si>
    <t>24232</t>
  </si>
  <si>
    <t>L-V: 08:00-22:00; S: 08:00-15:00; D: 15:00-22:00</t>
  </si>
  <si>
    <t>12432</t>
  </si>
  <si>
    <t>0183133909</t>
  </si>
  <si>
    <t xml:space="preserve"> E.S. BIGASTRO JOSE ANTONIO LECHUGA</t>
  </si>
  <si>
    <t>BIGASTRO</t>
  </si>
  <si>
    <t>CL PROGRESO 19</t>
  </si>
  <si>
    <t>-0.885222, 38.059194</t>
  </si>
  <si>
    <t>03380</t>
  </si>
  <si>
    <t>Cafetería/Bar, Lavado cepillos, Box presión, Duchas, Aspiradores, Waylet pago en caja, Punto recarga eléctrico Repsol, Lavados Klin</t>
  </si>
  <si>
    <t>93313</t>
  </si>
  <si>
    <t>0183131861</t>
  </si>
  <si>
    <t>ES LA GAVIOTA SL</t>
  </si>
  <si>
    <t>CR N 432 KM 396 MI</t>
  </si>
  <si>
    <t>-3.857944, 37.411611</t>
  </si>
  <si>
    <t>Cafetería/Bar, Zona de descanso, Box presión, Duchas, Aspiradores, Waylet pago en surtidor, Waylet pago en caja</t>
  </si>
  <si>
    <t>10918</t>
  </si>
  <si>
    <t>0183012764</t>
  </si>
  <si>
    <t>E.S. SAN RAFAEL</t>
  </si>
  <si>
    <t>SAN RAFAEL DEL RIO</t>
  </si>
  <si>
    <t>CL SALVADOR PONS, 30</t>
  </si>
  <si>
    <t>0.348917, 40.604417</t>
  </si>
  <si>
    <t>12510</t>
  </si>
  <si>
    <t>Restaurante, Cafetería/Bar, Lavado cepillos, Parking turismos, Parking camiones, Sin personal/desatendida, Aspiradores, Solred cheque lavado, Waylet pago en caja</t>
  </si>
  <si>
    <t>96977</t>
  </si>
  <si>
    <t>0183123462</t>
  </si>
  <si>
    <t>C/ AVENIDA CASTILLA LA MANCHA, Nº 1</t>
  </si>
  <si>
    <t>-3.867861, 40.084583</t>
  </si>
  <si>
    <t>07144</t>
  </si>
  <si>
    <t>0183004142</t>
  </si>
  <si>
    <t>E.S. FAER, S.L.</t>
  </si>
  <si>
    <t>TORDEHUMOS</t>
  </si>
  <si>
    <t>CR C-519, 12</t>
  </si>
  <si>
    <t>-5.145667, 41.807861</t>
  </si>
  <si>
    <t>47830</t>
  </si>
  <si>
    <t>L-S: 08:00-21:00; D: 09:00-21:00</t>
  </si>
  <si>
    <t>34534</t>
  </si>
  <si>
    <t>0183056720</t>
  </si>
  <si>
    <t>ES AJALVIR I</t>
  </si>
  <si>
    <t>-3.481556, 40.526722</t>
  </si>
  <si>
    <t>Lavado cepillos, Lavado camiones, Parking turismos, Box presión, Aspiradores, Solred cheque lavado, Waylet pago en caja, Adblue Envasado, Punto recarga eléctrico Repsol, Lavados Klin</t>
  </si>
  <si>
    <t>07381</t>
  </si>
  <si>
    <t>0183051408</t>
  </si>
  <si>
    <t>ES GASOILS AMAT SL</t>
  </si>
  <si>
    <t>SANT SADURNI D'ANOIA</t>
  </si>
  <si>
    <t>CL CRTA. SAN QUINTI, 28</t>
  </si>
  <si>
    <t>1.781056, 41.425611</t>
  </si>
  <si>
    <t>08770</t>
  </si>
  <si>
    <t>Restaurante, Cafetería/Bar, Lavado cepillos, Parking turismos, Box presión, Aspiradores, Lavandería, Waylet pago en caja, Punto recarga eléctrico Repsol</t>
  </si>
  <si>
    <t>04276</t>
  </si>
  <si>
    <t>0183012582</t>
  </si>
  <si>
    <t>ES GESEFEL CALDES DE MONTBUI</t>
  </si>
  <si>
    <t>CL PI I MARGALL, 118</t>
  </si>
  <si>
    <t>2.167694, 41.627472</t>
  </si>
  <si>
    <t>12704</t>
  </si>
  <si>
    <t>0183076256</t>
  </si>
  <si>
    <t>CR N-332 KM 209,5</t>
  </si>
  <si>
    <t>-0.072722, 38.895194</t>
  </si>
  <si>
    <t>15027</t>
  </si>
  <si>
    <t>0183051341</t>
  </si>
  <si>
    <t>LINEROS PEREDA,C.B.</t>
  </si>
  <si>
    <t>JEREZ DE LOS CABALLE</t>
  </si>
  <si>
    <t>CR DE BADAJOZ, 3</t>
  </si>
  <si>
    <t>-6.764806, 38.3265</t>
  </si>
  <si>
    <t>06380</t>
  </si>
  <si>
    <t>98846</t>
  </si>
  <si>
    <t>0183137819</t>
  </si>
  <si>
    <t>ES ZIZUR IZQUIERDA</t>
  </si>
  <si>
    <t>ZIZUR MAYOR</t>
  </si>
  <si>
    <t>AVENIDA ESTELLA Nº 10</t>
  </si>
  <si>
    <t>33613</t>
  </si>
  <si>
    <t>0183007376</t>
  </si>
  <si>
    <t>E.S. MILLA,S.L.</t>
  </si>
  <si>
    <t>MADRIGUERAS</t>
  </si>
  <si>
    <t>CL AVENIDA LEVANTE, 15</t>
  </si>
  <si>
    <t>-1.799472, 39.233056</t>
  </si>
  <si>
    <t>02230</t>
  </si>
  <si>
    <t>EFITEC 95 N - España, DIESEL E+ NEO - España, DIESEL NEXA 100% RENOVABLE - Esp, GO-B BONIF - España, Propano 11 Kg, BLUE+GRANEL - España, Butano 12 Kg (NEL)</t>
  </si>
  <si>
    <t>96970</t>
  </si>
  <si>
    <t>0183122894</t>
  </si>
  <si>
    <t>ESTACIO DE SERVEI JORBA S.L.</t>
  </si>
  <si>
    <t xml:space="preserve"> A-2,Pk 543 MI</t>
  </si>
  <si>
    <t>1.509833, 41.619444</t>
  </si>
  <si>
    <t>33526</t>
  </si>
  <si>
    <t>0183000686</t>
  </si>
  <si>
    <t>TALAYUELA</t>
  </si>
  <si>
    <t>CR C-904, PK.12,4</t>
  </si>
  <si>
    <t>-5.61025, 39.981472</t>
  </si>
  <si>
    <t>10310</t>
  </si>
  <si>
    <t>33360</t>
  </si>
  <si>
    <t>0183055789</t>
  </si>
  <si>
    <t>FEBRER 08</t>
  </si>
  <si>
    <t>CR C-712, 11,6</t>
  </si>
  <si>
    <t>3.226556, 39.703111</t>
  </si>
  <si>
    <t>03633</t>
  </si>
  <si>
    <t>0183009091</t>
  </si>
  <si>
    <t>E.S.MUÑOZ, S.A.</t>
  </si>
  <si>
    <t>SANTA CRUZ DE CAMPEZO</t>
  </si>
  <si>
    <t>CR A-132  VITORIA-ESTELLA, 38,1</t>
  </si>
  <si>
    <t>-2.357278, 42.670222</t>
  </si>
  <si>
    <t>01110</t>
  </si>
  <si>
    <t>L-V: 06:00-22:00; S: 06:30-22:00; D: 13:30-22:00</t>
  </si>
  <si>
    <t>33827</t>
  </si>
  <si>
    <t>0183054055</t>
  </si>
  <si>
    <t>E.S.  ZUÑEGAS,S.L.</t>
  </si>
  <si>
    <t>MEDINA DE POMAR</t>
  </si>
  <si>
    <t>CR N-629, 25,3</t>
  </si>
  <si>
    <t>-3.483, 42.945</t>
  </si>
  <si>
    <t>09500</t>
  </si>
  <si>
    <t>33303</t>
  </si>
  <si>
    <t>0183018886</t>
  </si>
  <si>
    <t>GESMAESA-FUENTESILA</t>
  </si>
  <si>
    <t>OVIEDO-FUENTESILA</t>
  </si>
  <si>
    <t>AU A-66, 33,00</t>
  </si>
  <si>
    <t>-5.869306, 43.340556</t>
  </si>
  <si>
    <t>Restaurante, Cafetería/Bar, Lavado cepillos, Parking turismos, Parking camiones, Box presión, Solred cheque lavado, Waylet pago en caja</t>
  </si>
  <si>
    <t>0008280257</t>
  </si>
  <si>
    <t>ONDINA DEL SEGRE S.L</t>
  </si>
  <si>
    <t>PONTS</t>
  </si>
  <si>
    <t>CR C-14, 117,10</t>
  </si>
  <si>
    <t>1.191222, 41.92075</t>
  </si>
  <si>
    <t>25740</t>
  </si>
  <si>
    <t>L: 04:00-22:00</t>
  </si>
  <si>
    <t>Cafetería/Bar, Lavado cepillos, Lavado camiones, Parking turismos, Parking camiones, Zona de descanso, Box presión, Aspiradores, Waylet pago en caja, Recarga eléctrica</t>
  </si>
  <si>
    <t>96460</t>
  </si>
  <si>
    <t>0183109230</t>
  </si>
  <si>
    <t>BAÑON Y VALERO, S.L.</t>
  </si>
  <si>
    <t>MASSAMAGRELL</t>
  </si>
  <si>
    <t>CL CAMINO LLARI, S.N.</t>
  </si>
  <si>
    <t>-0.327778, 39.57425</t>
  </si>
  <si>
    <t>46130</t>
  </si>
  <si>
    <t>33806</t>
  </si>
  <si>
    <t>0183079524</t>
  </si>
  <si>
    <t>ES PIQUERAS ABAD SL</t>
  </si>
  <si>
    <t>TORRE DE JUAN ABAD</t>
  </si>
  <si>
    <t>CR CR-614, 25</t>
  </si>
  <si>
    <t>-3.064361, 38.588361</t>
  </si>
  <si>
    <t>13344</t>
  </si>
  <si>
    <t>L-V: 07:15-21:00; S: 07:15-15:00; D: 07:15-21:00</t>
  </si>
  <si>
    <t>06524</t>
  </si>
  <si>
    <t>0183015577</t>
  </si>
  <si>
    <t>US MARTINEZ FIDALGO MANUEL</t>
  </si>
  <si>
    <t>MORALEJA DEL VINO</t>
  </si>
  <si>
    <t>CR ZA-610, 5,4  I</t>
  </si>
  <si>
    <t>-5.660083, 41.466083</t>
  </si>
  <si>
    <t>49150</t>
  </si>
  <si>
    <t>97018</t>
  </si>
  <si>
    <t>0183124866</t>
  </si>
  <si>
    <t>E.S. PETROBIERZO</t>
  </si>
  <si>
    <t>SAN ROMAN DE BEMBIBR</t>
  </si>
  <si>
    <t>CR N-6 POLIGONO INDUSTRIAL ALTO, KM</t>
  </si>
  <si>
    <t>-6.45225, 42.623778</t>
  </si>
  <si>
    <t>24318</t>
  </si>
  <si>
    <t>L-V: 07:00-21:00; S: 09:00-14:00; D: 16:00-21:00</t>
  </si>
  <si>
    <t>97151</t>
  </si>
  <si>
    <t>0183133867</t>
  </si>
  <si>
    <t>ES SAN PEDRO</t>
  </si>
  <si>
    <t>SAN PEDRO DE ALCANTA</t>
  </si>
  <si>
    <t>C/ CARRIL DE PICAZA, PARCELA 24 A-G</t>
  </si>
  <si>
    <t>-4.992528, 36.496583</t>
  </si>
  <si>
    <t>29670</t>
  </si>
  <si>
    <t>98648</t>
  </si>
  <si>
    <t>0183133495</t>
  </si>
  <si>
    <t>EESS MONCAVIMA SL</t>
  </si>
  <si>
    <t>FRANCO DE PINEDA S/N</t>
  </si>
  <si>
    <t>-5.945111, 37.396444</t>
  </si>
  <si>
    <t>15207</t>
  </si>
  <si>
    <t>0183058346</t>
  </si>
  <si>
    <t>M.ALONSO E HIJOS SL.</t>
  </si>
  <si>
    <t>BARAJAS DE MELO</t>
  </si>
  <si>
    <t>CL EXTRAMUROS, S.N.</t>
  </si>
  <si>
    <t>-2.9085, 40.123889</t>
  </si>
  <si>
    <t>16460</t>
  </si>
  <si>
    <t>15364</t>
  </si>
  <si>
    <t>0063204531</t>
  </si>
  <si>
    <t>ES.O "CARQUEIXO"S.L.</t>
  </si>
  <si>
    <t>CASTELO</t>
  </si>
  <si>
    <t>CR LU 530, KM 3-S.CASTELO 175</t>
  </si>
  <si>
    <t>-7.523389, 43.012861</t>
  </si>
  <si>
    <t>27295</t>
  </si>
  <si>
    <t>96857</t>
  </si>
  <si>
    <t>0183118496</t>
  </si>
  <si>
    <t>E.S. MAVEL, S.L.</t>
  </si>
  <si>
    <t>PARQ.IND.LA LAGUNA-SECT.ARROYO CULE</t>
  </si>
  <si>
    <t>-3.777306, 40.308528</t>
  </si>
  <si>
    <t>28916</t>
  </si>
  <si>
    <t>Cafetería/Bar, Lavado cepillos, Parking turismos, Box presión, Aspiradores, Solred cheque lavado, Waylet pago en surtidor, Waylet pago en caja, Punto recarga eléctrico Repsol</t>
  </si>
  <si>
    <t>31003</t>
  </si>
  <si>
    <t>0183050921</t>
  </si>
  <si>
    <t>E.S. JOSE ALONSO FOTOGRAFIA CORDOBE</t>
  </si>
  <si>
    <t>CR N-4, 419,9</t>
  </si>
  <si>
    <t>-4.828056, 37.758194</t>
  </si>
  <si>
    <t>14191</t>
  </si>
  <si>
    <t>07367</t>
  </si>
  <si>
    <t>0183010040</t>
  </si>
  <si>
    <t>E.S. HNOS VERDE CB</t>
  </si>
  <si>
    <t>HORTEZUELA</t>
  </si>
  <si>
    <t>CRTA C-116 KM 18,75</t>
  </si>
  <si>
    <t>-2.87075, 41.495833</t>
  </si>
  <si>
    <t>42366</t>
  </si>
  <si>
    <t>L-D: 8:00-22:00</t>
  </si>
  <si>
    <t>12247</t>
  </si>
  <si>
    <t>0183052851</t>
  </si>
  <si>
    <t>ES GUREAK ZERBITZUGUNEAK SLU</t>
  </si>
  <si>
    <t>ITSASONDO- E.S.</t>
  </si>
  <si>
    <t>CR N-1, 423,3</t>
  </si>
  <si>
    <t>-2.163667, 43.065889</t>
  </si>
  <si>
    <t>20249</t>
  </si>
  <si>
    <t>12905</t>
  </si>
  <si>
    <t>0183061696</t>
  </si>
  <si>
    <t>ES CAP DESARROLLO DE INVERS. Y PROY</t>
  </si>
  <si>
    <t>CL LOS DORADORES, 6</t>
  </si>
  <si>
    <t>-4.105694, 40.941472</t>
  </si>
  <si>
    <t>40004</t>
  </si>
  <si>
    <t>06439</t>
  </si>
  <si>
    <t>0183053792</t>
  </si>
  <si>
    <t>U.S. JUAN TRINIDAD</t>
  </si>
  <si>
    <t>ZARZA DE ALANGE</t>
  </si>
  <si>
    <t>CR C-423, 35,6</t>
  </si>
  <si>
    <t>-6.219833, 38.822111</t>
  </si>
  <si>
    <t>06830</t>
  </si>
  <si>
    <t>05880</t>
  </si>
  <si>
    <t>0183016401</t>
  </si>
  <si>
    <t>CARB.NTRA.S.REMEDIOS</t>
  </si>
  <si>
    <t>OLVERA</t>
  </si>
  <si>
    <t>CL AVENIDA JULIAN BESTEIRO, S.N.</t>
  </si>
  <si>
    <t>-5.254694, 36.934167</t>
  </si>
  <si>
    <t>11690</t>
  </si>
  <si>
    <t>L-D: 09:00-19:00</t>
  </si>
  <si>
    <t>04274</t>
  </si>
  <si>
    <t>0063206106</t>
  </si>
  <si>
    <t>CR CR CIRCUNVALACION</t>
  </si>
  <si>
    <t>-2.839528, 42.566278</t>
  </si>
  <si>
    <t>Cafetería/Bar, Taller mecánico, Taller neumáticos, Taller eléctrico, Solred cheque lavado, Waylet pago en surtidor, Waylet pago en caja</t>
  </si>
  <si>
    <t>31156</t>
  </si>
  <si>
    <t>0183008713</t>
  </si>
  <si>
    <t>ES TRINIDAD</t>
  </si>
  <si>
    <t>LOREDO</t>
  </si>
  <si>
    <t>CA-141  (Bº ZUÑEDA Nº 7)</t>
  </si>
  <si>
    <t>-3.709361, 43.456778</t>
  </si>
  <si>
    <t>39140</t>
  </si>
  <si>
    <t>05920</t>
  </si>
  <si>
    <t>0183052604</t>
  </si>
  <si>
    <t>ES GIRONES OIL SL</t>
  </si>
  <si>
    <t>BESALU</t>
  </si>
  <si>
    <t>CR N-260, 63,7</t>
  </si>
  <si>
    <t>2.691889, 42.202083</t>
  </si>
  <si>
    <t>17850</t>
  </si>
  <si>
    <t>L-S: 07:00-21:00; D: 07:00-14:00 y 17:00-21:00</t>
  </si>
  <si>
    <t>Restaurante, Cafetería/Bar, Lavado cepillos, Parking turismos, Parking camiones, Waylet pago en caja</t>
  </si>
  <si>
    <t>10803</t>
  </si>
  <si>
    <t>0063204564</t>
  </si>
  <si>
    <t>ES CAMUÑAS 1988</t>
  </si>
  <si>
    <t>CR CM-4133 P.K. 15,50 I</t>
  </si>
  <si>
    <t>-3.469389, 39.435667</t>
  </si>
  <si>
    <t>L-V: 05:00-21:30; S: 06:00-21:30; D: 07:00-21:30</t>
  </si>
  <si>
    <t>31204</t>
  </si>
  <si>
    <t>0183063668</t>
  </si>
  <si>
    <t>ES ORPINSOIL TOLEDO</t>
  </si>
  <si>
    <t>CL NAVALPINO,30</t>
  </si>
  <si>
    <t>-4.043222, 39.860694</t>
  </si>
  <si>
    <t>45004</t>
  </si>
  <si>
    <t>05281</t>
  </si>
  <si>
    <t>0183054840</t>
  </si>
  <si>
    <t>U.S.CUELLAR II</t>
  </si>
  <si>
    <t>CR N-5A, 342,5</t>
  </si>
  <si>
    <t>-6.358111, 38.905639</t>
  </si>
  <si>
    <t>L-V: 06:00-22:00; S: 06:00-14:00</t>
  </si>
  <si>
    <t>93902</t>
  </si>
  <si>
    <t>0183115088</t>
  </si>
  <si>
    <t>E.S. HERED. MANUEL ALEJO, S.L.</t>
  </si>
  <si>
    <t>PEDROSO, EL</t>
  </si>
  <si>
    <t>CR A-432 ,P.K. 30,15</t>
  </si>
  <si>
    <t>-5.762444, 37.837278</t>
  </si>
  <si>
    <t>41360</t>
  </si>
  <si>
    <t>10899</t>
  </si>
  <si>
    <t>0183059450</t>
  </si>
  <si>
    <t>E.S. HNOS. DOMINGUEZ</t>
  </si>
  <si>
    <t>VALLE DE ABDALAJIS</t>
  </si>
  <si>
    <t>CR A-343, 18,9</t>
  </si>
  <si>
    <t>-4.680306, 36.93475</t>
  </si>
  <si>
    <t>29240</t>
  </si>
  <si>
    <t>33160</t>
  </si>
  <si>
    <t>0183010644</t>
  </si>
  <si>
    <t>E.S.  EL PUERTO 1</t>
  </si>
  <si>
    <t>AV DE ESPAÑA, 44</t>
  </si>
  <si>
    <t>-6.098167, 40.021639</t>
  </si>
  <si>
    <t>15930</t>
  </si>
  <si>
    <t>0183056944</t>
  </si>
  <si>
    <t>ES CIALFRI SL</t>
  </si>
  <si>
    <t>VILLANUEVA DE CASTEL</t>
  </si>
  <si>
    <t>CL DIPUTACION 16</t>
  </si>
  <si>
    <t>-0.508222, 39.076389</t>
  </si>
  <si>
    <t>46270</t>
  </si>
  <si>
    <t>34198</t>
  </si>
  <si>
    <t>0183129964</t>
  </si>
  <si>
    <t>ES MUÑOZ GONZALEZ JUAN FRANCISCO</t>
  </si>
  <si>
    <t>SORIHUELA DEL GUADAL</t>
  </si>
  <si>
    <t>AVDA ANDALUCIA, 32</t>
  </si>
  <si>
    <t>-3.051028, 38.245778</t>
  </si>
  <si>
    <t>23270</t>
  </si>
  <si>
    <t>31050</t>
  </si>
  <si>
    <t>0183013937</t>
  </si>
  <si>
    <t>E.S. ZAIDIN</t>
  </si>
  <si>
    <t>CL AVENIDA DILAR, 19</t>
  </si>
  <si>
    <t>-3.5995, 37.160639</t>
  </si>
  <si>
    <t>92700</t>
  </si>
  <si>
    <t>0183135441</t>
  </si>
  <si>
    <t>ES PETRONALCA ARMENTIA</t>
  </si>
  <si>
    <t>Armentia</t>
  </si>
  <si>
    <t>ALTO DE ARMENTIA, 2</t>
  </si>
  <si>
    <t>-2.698917, 42.836778</t>
  </si>
  <si>
    <t>01007</t>
  </si>
  <si>
    <t>Lavado cepillos, Waylet pago en caja, Adblue Envasado</t>
  </si>
  <si>
    <t>93848</t>
  </si>
  <si>
    <t>0183136589</t>
  </si>
  <si>
    <t>ES LA BASTIDA</t>
  </si>
  <si>
    <t>CL. PAGESIA, 2</t>
  </si>
  <si>
    <t>2.037306, 41.506861</t>
  </si>
  <si>
    <t>L-V: 06:00-21:00; S: 09:00-14:00</t>
  </si>
  <si>
    <t>96939</t>
  </si>
  <si>
    <t>0183121763</t>
  </si>
  <si>
    <t>ES VIDRERES ENERGIES S.L.</t>
  </si>
  <si>
    <t>VIDRERAS</t>
  </si>
  <si>
    <t>C-63 P.K. 9,4</t>
  </si>
  <si>
    <t>2.780528, 41.766389</t>
  </si>
  <si>
    <t>17411</t>
  </si>
  <si>
    <t>L-D: 00:06-22:00</t>
  </si>
  <si>
    <t>Cafetería/Bar, Lavado cepillos, Parking turismos, Parking camiones, Box presión, Aspiradores, Waylet pago en surtidor, Waylet pago en caja, Lavados Klin</t>
  </si>
  <si>
    <t>15537</t>
  </si>
  <si>
    <t>0100033406</t>
  </si>
  <si>
    <t>E.S. CAÑADA HERMOSA</t>
  </si>
  <si>
    <t>CAÑADA HERMOSA</t>
  </si>
  <si>
    <t>CR RM-15 (AUTOVIA DEL NOROESTE) KM</t>
  </si>
  <si>
    <t>-1.337694, 38.007389</t>
  </si>
  <si>
    <t>30837</t>
  </si>
  <si>
    <t>15205</t>
  </si>
  <si>
    <t>0183061167</t>
  </si>
  <si>
    <t>E.S. LOPEZ HERMANOS</t>
  </si>
  <si>
    <t>PRADENA</t>
  </si>
  <si>
    <t>CR N-110, 144,6</t>
  </si>
  <si>
    <t>-3.671944, 41.149167</t>
  </si>
  <si>
    <t>40165</t>
  </si>
  <si>
    <t>15152</t>
  </si>
  <si>
    <t>0183016914</t>
  </si>
  <si>
    <t>ES EL GRAO</t>
  </si>
  <si>
    <t>EL GRAO</t>
  </si>
  <si>
    <t>CR C-232 GRAU-TERUEL, PK. 1,0</t>
  </si>
  <si>
    <t>0.010667, 39.976694</t>
  </si>
  <si>
    <t>12100</t>
  </si>
  <si>
    <t>07160</t>
  </si>
  <si>
    <t>0063190995</t>
  </si>
  <si>
    <t>E.S. DISTROIL GASOLEOS SLU</t>
  </si>
  <si>
    <t>CUBILLAS DE SANTA MARTA</t>
  </si>
  <si>
    <t>CR A-62, 102</t>
  </si>
  <si>
    <t>-4.58375, 41.809722</t>
  </si>
  <si>
    <t>47290</t>
  </si>
  <si>
    <t>31198</t>
  </si>
  <si>
    <t>0183005412</t>
  </si>
  <si>
    <t>DISTR.ENERGIA PEDRERO FDEZ,S.A.</t>
  </si>
  <si>
    <t>CR N-432, 3,4</t>
  </si>
  <si>
    <t>-6.938361, 38.848833</t>
  </si>
  <si>
    <t>96848</t>
  </si>
  <si>
    <t>0183117472</t>
  </si>
  <si>
    <t>E.S. SAN JUAN BOSCO, S.A. - NUENO</t>
  </si>
  <si>
    <t>NUENO</t>
  </si>
  <si>
    <t>CR A-23 ,P.K. 584 M.D. Salida 372</t>
  </si>
  <si>
    <t>-0.445278, 42.250806</t>
  </si>
  <si>
    <t>22193</t>
  </si>
  <si>
    <t>EFITEC 95 N - España, Efitec 95 Premium, EFITEC 98 N - España, Butano 12,5 Kg, DIESEL E+ NEO - España, DIESEL NEXA 100% RENOVABLE - Esp, Butano 6 Kg (K6), Propano 11 Kg, BLUE+GRANEL - España</t>
  </si>
  <si>
    <t>34520</t>
  </si>
  <si>
    <t>0183060151</t>
  </si>
  <si>
    <t>ES GALURESA ALFONSO MOLINA</t>
  </si>
  <si>
    <t>AV ALFONSO MOLINA, S.N.</t>
  </si>
  <si>
    <t>-8.407194, 43.353222</t>
  </si>
  <si>
    <t>12547</t>
  </si>
  <si>
    <t>0183112655</t>
  </si>
  <si>
    <t>E.S. ALZ ALBORACHE</t>
  </si>
  <si>
    <t>ALBORACHE</t>
  </si>
  <si>
    <t>CR  CV-425 P.K. 4,9</t>
  </si>
  <si>
    <t>-0.782861, 39.394194</t>
  </si>
  <si>
    <t>46369</t>
  </si>
  <si>
    <t>Restaurante, Cafetería/Bar, Lavado cepillos, Parking turismos, Parking camiones, Zona de descanso, Box presión, Aspiradores, Solred cheque lavado, Waylet pago en caja, Adblue Envasado</t>
  </si>
  <si>
    <t>96297</t>
  </si>
  <si>
    <t>0183100312</t>
  </si>
  <si>
    <t>E.S. OJEDA Y OJEDA, S.L.</t>
  </si>
  <si>
    <t>BEAS DE SEGURA</t>
  </si>
  <si>
    <t>CR  A-6301 KM. 3,5</t>
  </si>
  <si>
    <t>-2.916694, 38.261444</t>
  </si>
  <si>
    <t>23280</t>
  </si>
  <si>
    <t>EFITEC 95 N - España, EFITEC 98 N - España, Butano 12,5 Kg, DIESEL E+ NEO - España, DIESEL NEXA 100% RENOVABLE - Esp, GO-B BONIF - España, Butano 6 Kg (K6), Butano 12 Kg (NEL)</t>
  </si>
  <si>
    <t>05620</t>
  </si>
  <si>
    <t>0183011196</t>
  </si>
  <si>
    <t>E.S. HIJOS DE MODESTO ARCE S.L.</t>
  </si>
  <si>
    <t>PS DE LA RIBERA, 215</t>
  </si>
  <si>
    <t>-1.642861, 42.201611</t>
  </si>
  <si>
    <t>L-V: 06:30-20:00; S: 08:00-13:00</t>
  </si>
  <si>
    <t>Cafetería/Bar, Parking turismos, Zona de descanso, Box presión, Waylet pago en caja</t>
  </si>
  <si>
    <t>96514</t>
  </si>
  <si>
    <t>0183105311</t>
  </si>
  <si>
    <t>E.S. LA TELVA,S.L.</t>
  </si>
  <si>
    <t>TELVA</t>
  </si>
  <si>
    <t>CR AC-220 (CONFLUENC. AC-213), S.N.</t>
  </si>
  <si>
    <t>-8.360167, 43.294306</t>
  </si>
  <si>
    <t>15181</t>
  </si>
  <si>
    <t>07377</t>
  </si>
  <si>
    <t>0183018951</t>
  </si>
  <si>
    <t>E.S. M. ISABEL BELDA</t>
  </si>
  <si>
    <t>CL PALLETER, 10</t>
  </si>
  <si>
    <t>-0.466278, 39.364167</t>
  </si>
  <si>
    <t>96845</t>
  </si>
  <si>
    <t>0183118017</t>
  </si>
  <si>
    <t>E.S. MAIRENA CENTRO</t>
  </si>
  <si>
    <t>CL CRTA MAIRENA CENTRO</t>
  </si>
  <si>
    <t>-6.064944, 37.339028</t>
  </si>
  <si>
    <t>11845</t>
  </si>
  <si>
    <t>0183063536</t>
  </si>
  <si>
    <t>LA RODRIGOSA</t>
  </si>
  <si>
    <t>MASUECO DE LA RIBERA</t>
  </si>
  <si>
    <t>CR SA-314, 28</t>
  </si>
  <si>
    <t>-6.582694, 41.200417</t>
  </si>
  <si>
    <t>37251</t>
  </si>
  <si>
    <t>13081</t>
  </si>
  <si>
    <t>0183061431</t>
  </si>
  <si>
    <t>ES SERVICIOS Y EXPLOTACIONES MANUEL</t>
  </si>
  <si>
    <t>GOR</t>
  </si>
  <si>
    <t>CR A-92    NORTE(N-342), 208</t>
  </si>
  <si>
    <t>-3.02725, 37.393278</t>
  </si>
  <si>
    <t>18870</t>
  </si>
  <si>
    <t>Restaurante, Cafetería/Bar, Lavado camiones, Parking turismos, Parking camiones, Zona de descanso, Duchas, Waylet pago en caja, Adblue Envasado</t>
  </si>
  <si>
    <t>96877</t>
  </si>
  <si>
    <t>0183119130</t>
  </si>
  <si>
    <t>AREA DE SERVICIO VIASTUR-PRUVIA</t>
  </si>
  <si>
    <t>PRUVIA</t>
  </si>
  <si>
    <t>AU AS-II (OVIEDO-GIJÓN) KM. 9,8</t>
  </si>
  <si>
    <t>-5.813417, 43.442722</t>
  </si>
  <si>
    <t>33353</t>
  </si>
  <si>
    <t>0183009364</t>
  </si>
  <si>
    <t>E.S. EDUARDO ANTONIO CRUZ ESCOBOSA</t>
  </si>
  <si>
    <t>BERJA</t>
  </si>
  <si>
    <t>CL AVENIDA JOSE BARRIONUEVO, S.N</t>
  </si>
  <si>
    <t>-2.945833, 36.841667</t>
  </si>
  <si>
    <t>04760</t>
  </si>
  <si>
    <t>L-S: 06:30-20:30; D: 06:30-14:30</t>
  </si>
  <si>
    <t>31143</t>
  </si>
  <si>
    <t>0183017615</t>
  </si>
  <si>
    <t>E.S.  LOS MOLINOS</t>
  </si>
  <si>
    <t>CR L-213, 1</t>
  </si>
  <si>
    <t>-6.084028, 36.281472</t>
  </si>
  <si>
    <t>96207</t>
  </si>
  <si>
    <t>0183076678</t>
  </si>
  <si>
    <t>MONTE LAS ENCINAS SL</t>
  </si>
  <si>
    <t>VILLANUEVA DE LOS CABALLEROS</t>
  </si>
  <si>
    <t>CR A-6, 223</t>
  </si>
  <si>
    <t>-5.323944, 41.785528</t>
  </si>
  <si>
    <t>47850</t>
  </si>
  <si>
    <t>94341</t>
  </si>
  <si>
    <t>0183116078</t>
  </si>
  <si>
    <t>E.S. BAMAGASA INVERSIONES S.L.</t>
  </si>
  <si>
    <t>NAQUERA</t>
  </si>
  <si>
    <t>CR  VP-6044 P.K. 17,5 - P.IND. LLOM</t>
  </si>
  <si>
    <t>-0.429306, 39.647194</t>
  </si>
  <si>
    <t>46119</t>
  </si>
  <si>
    <t>15541</t>
  </si>
  <si>
    <t>0183016815</t>
  </si>
  <si>
    <t>E.S. GUREAK ZERBITZUGUNEAK AGINAGA</t>
  </si>
  <si>
    <t>AGUINAGA</t>
  </si>
  <si>
    <t>CR N-634   (BO. DE AGUINAGA), 7,6</t>
  </si>
  <si>
    <t>-2.073278, 43.277417</t>
  </si>
  <si>
    <t>03575</t>
  </si>
  <si>
    <t>0183005677</t>
  </si>
  <si>
    <t>E.S. BARGUES</t>
  </si>
  <si>
    <t>CERVERA</t>
  </si>
  <si>
    <t>CR A-2, 518</t>
  </si>
  <si>
    <t>1.261056, 41.670972</t>
  </si>
  <si>
    <t>25200</t>
  </si>
  <si>
    <t>96266</t>
  </si>
  <si>
    <t>0183080209</t>
  </si>
  <si>
    <t>CR C-32, 15,75</t>
  </si>
  <si>
    <t>1.676139, 41.220194</t>
  </si>
  <si>
    <t>12369</t>
  </si>
  <si>
    <t>0183059658</t>
  </si>
  <si>
    <t>ES. LA LAGUNA</t>
  </si>
  <si>
    <t>AGON</t>
  </si>
  <si>
    <t>CR N-122, 53,5</t>
  </si>
  <si>
    <t>-1.419444, 41.840056</t>
  </si>
  <si>
    <t>50560</t>
  </si>
  <si>
    <t>05486</t>
  </si>
  <si>
    <t>0183135615</t>
  </si>
  <si>
    <t>E.S. HERMANOS NAVARRO</t>
  </si>
  <si>
    <t>SUCINA</t>
  </si>
  <si>
    <t>AVDA. CONSTITUCIÓN , 38</t>
  </si>
  <si>
    <t>-0.943611, 37.891306</t>
  </si>
  <si>
    <t>30590</t>
  </si>
  <si>
    <t>97015</t>
  </si>
  <si>
    <t>0183125012</t>
  </si>
  <si>
    <t>E.S. BOLA</t>
  </si>
  <si>
    <t>AVDA. DIAGONAL 22</t>
  </si>
  <si>
    <t>-0.990111, 41.636528</t>
  </si>
  <si>
    <t>L-V: 06:00-22:00; S: 08:00-15:00</t>
  </si>
  <si>
    <t>12778</t>
  </si>
  <si>
    <t>0183078542</t>
  </si>
  <si>
    <t>MONTE MANANTIAL SL</t>
  </si>
  <si>
    <t>CR A-6, 224,6</t>
  </si>
  <si>
    <t>-5.311361, 41.774333</t>
  </si>
  <si>
    <t>94241</t>
  </si>
  <si>
    <t>0183122571</t>
  </si>
  <si>
    <t>E.S. MARE NOSTRUM OIL S.L. MD</t>
  </si>
  <si>
    <t>ALCORAYA</t>
  </si>
  <si>
    <t>CR A-220 SAN VICENTE-AGOST MD KM 3,</t>
  </si>
  <si>
    <t>-0.565444, 38.4115</t>
  </si>
  <si>
    <t>03699</t>
  </si>
  <si>
    <t>04079</t>
  </si>
  <si>
    <t>0183076975</t>
  </si>
  <si>
    <t>ES UNICROM INVERSIONES S.L.</t>
  </si>
  <si>
    <t>CL PASEO SAN FRANCISCO DE SALES, 44</t>
  </si>
  <si>
    <t>-3.711722, 40.443083</t>
  </si>
  <si>
    <t>S: 08:00-15:00</t>
  </si>
  <si>
    <t>96006</t>
  </si>
  <si>
    <t>0183063833</t>
  </si>
  <si>
    <t>E.S. SAN GABRIEL</t>
  </si>
  <si>
    <t>CR N-432, 276,5</t>
  </si>
  <si>
    <t>-4.765444, 37.85175</t>
  </si>
  <si>
    <t>12415</t>
  </si>
  <si>
    <t>0183061316</t>
  </si>
  <si>
    <t>ES. EL SISALLAR</t>
  </si>
  <si>
    <t>CR N-240, 129,8</t>
  </si>
  <si>
    <t>0.311167, 41.827972</t>
  </si>
  <si>
    <t>Parking turismos, Parking camiones, Aspiradores, Waylet pago en surtidor, Waylet pago en caja</t>
  </si>
  <si>
    <t>93267</t>
  </si>
  <si>
    <t>0183135144</t>
  </si>
  <si>
    <t>ESTACION DE SERVICIO BOO G2, SL</t>
  </si>
  <si>
    <t>BOO DE GUARNIZO</t>
  </si>
  <si>
    <t>BOO, 52</t>
  </si>
  <si>
    <t>-3.8435, 43.412222</t>
  </si>
  <si>
    <t>39613</t>
  </si>
  <si>
    <t>96758</t>
  </si>
  <si>
    <t>0183113109</t>
  </si>
  <si>
    <t>E.S. EL GRADO,S.L.</t>
  </si>
  <si>
    <t>GRADO, EL</t>
  </si>
  <si>
    <t>CR  A-138 ,P.K. 9,10</t>
  </si>
  <si>
    <t>0.225944, 42.140611</t>
  </si>
  <si>
    <t>22390</t>
  </si>
  <si>
    <t>04291</t>
  </si>
  <si>
    <t>0183001569</t>
  </si>
  <si>
    <t>CL PASEO EZEQUIEL GONZALEZ, 28</t>
  </si>
  <si>
    <t>-4.122944, 40.946111</t>
  </si>
  <si>
    <t>40002</t>
  </si>
  <si>
    <t>00625</t>
  </si>
  <si>
    <t>0183063031</t>
  </si>
  <si>
    <t>US LAZCABA S.L.</t>
  </si>
  <si>
    <t>MONTANCHEZ</t>
  </si>
  <si>
    <t>JUAN CARLOS RODRIGUEZ IBARRA Nº 15</t>
  </si>
  <si>
    <t>-6.1485, 39.228917</t>
  </si>
  <si>
    <t>10170</t>
  </si>
  <si>
    <t>L-S: 08:00-14:00 y 15:30-20:00</t>
  </si>
  <si>
    <t>96523</t>
  </si>
  <si>
    <t>0183106657</t>
  </si>
  <si>
    <t>AREA DE SERVICIO LEGORRETA</t>
  </si>
  <si>
    <t>LEGORRETA</t>
  </si>
  <si>
    <t>CR N-1, 425</t>
  </si>
  <si>
    <t>-2.156194, 43.078861</t>
  </si>
  <si>
    <t>20250</t>
  </si>
  <si>
    <t>Restaurante, Cafetería/Bar, Lavado cepillos, Box presión, Duchas, Aspiradores, Solred cheque lavado, Lavandería, Waylet pago en caja, Punto recarga eléctrico Repsol</t>
  </si>
  <si>
    <t>31025</t>
  </si>
  <si>
    <t>0183060011</t>
  </si>
  <si>
    <t>E.S. EL HELMÁNTICO,S.L.</t>
  </si>
  <si>
    <t>ALDEASECA DE LA ARMUÑA</t>
  </si>
  <si>
    <t>CR N-630, 334  D</t>
  </si>
  <si>
    <t>-5.670306, 41.017111</t>
  </si>
  <si>
    <t>37189</t>
  </si>
  <si>
    <t>Zona de descanso, Box presión, Aspiradores, Solred cheque lavado, Waylet pago en surtidor, Waylet pago en caja, Adblue Envasado, Punto recarga eléctrico Repsol</t>
  </si>
  <si>
    <t>04321</t>
  </si>
  <si>
    <t>0183078179</t>
  </si>
  <si>
    <t>ES COMBUSTIBLES SETUBAL, S.L.</t>
  </si>
  <si>
    <t>CL AVENIDA ABRANTES, S.N.</t>
  </si>
  <si>
    <t>-3.723889, 40.383833</t>
  </si>
  <si>
    <t>28025</t>
  </si>
  <si>
    <t>L-V: 07:00-22:00; S: 08:00-21:00</t>
  </si>
  <si>
    <t>06202</t>
  </si>
  <si>
    <t>0183063858</t>
  </si>
  <si>
    <t>E.S. LA AMISTOSINA SL</t>
  </si>
  <si>
    <t xml:space="preserve"> CL MADRID, 143</t>
  </si>
  <si>
    <t>-3.726472, 40.320806</t>
  </si>
  <si>
    <t>28905</t>
  </si>
  <si>
    <t>33374</t>
  </si>
  <si>
    <t>0183003540</t>
  </si>
  <si>
    <t>E.S. LORENZO RASINES SL</t>
  </si>
  <si>
    <t>CR N-420, 294,6</t>
  </si>
  <si>
    <t>-3.128361, 39.400861</t>
  </si>
  <si>
    <t>EFITEC 95 N - España, Efitec 95 Premium, Butano 12,5 Kg, DIESEL E+ NEO - España, Diésel e+5, DIESEL NEXA 100% RENOVABLE - Esp, Propano 11 Kg, BLUE+GRANEL - España</t>
  </si>
  <si>
    <t>01885</t>
  </si>
  <si>
    <t>0183000116</t>
  </si>
  <si>
    <t>E.S. LOS ALAMOS</t>
  </si>
  <si>
    <t>CL AVDA. MANUEL FRAGA IRIBARNE,14</t>
  </si>
  <si>
    <t>-4.489778, 36.644583</t>
  </si>
  <si>
    <t>EFITEC 95 N - España, Efitec 95 Premium, DIESEL E+ NEO - España, DIESEL NEXA 100% RENOVABLE - Esp, Butano 6 Kg (K6), Propano 11 Kg, BLUE+GRANEL - España, Butano 12 Kg (NEL)</t>
  </si>
  <si>
    <t>33701</t>
  </si>
  <si>
    <t>0183112648</t>
  </si>
  <si>
    <t>ES GASOLINERA ROLO SL</t>
  </si>
  <si>
    <t>CORIA</t>
  </si>
  <si>
    <t>CR C-526, 29,2</t>
  </si>
  <si>
    <t>-6.52125, 39.969139</t>
  </si>
  <si>
    <t>10800</t>
  </si>
  <si>
    <t>96668</t>
  </si>
  <si>
    <t>0183111509</t>
  </si>
  <si>
    <t>ES AQUATERRA ARGANDA DEL REY</t>
  </si>
  <si>
    <t>CR  R-3  ,P.K. 19,5 M.I.</t>
  </si>
  <si>
    <t>-3.449028, 40.345333</t>
  </si>
  <si>
    <t>L-V: 06:00-22:00; D: 13:00-21:00</t>
  </si>
  <si>
    <t>34610</t>
  </si>
  <si>
    <t>0183051887</t>
  </si>
  <si>
    <t>ES JUAN DIEGO ARAGON GUERRERO SL</t>
  </si>
  <si>
    <t>ROCIANA DEL CONDADO</t>
  </si>
  <si>
    <t>CL CARRIL DE LOS MORISCOS, 157</t>
  </si>
  <si>
    <t>-6.595417, 37.301472</t>
  </si>
  <si>
    <t>21720</t>
  </si>
  <si>
    <t>Cafetería/Bar, Taller mecánico, Taller neumáticos, Lavado cepillos, Parking turismos, Box presión, Aspiradores, Waylet pago en caja</t>
  </si>
  <si>
    <t>00022</t>
  </si>
  <si>
    <t>0183050301</t>
  </si>
  <si>
    <t>PUERTA CABAÑAS, S.L.</t>
  </si>
  <si>
    <t>ALMUNIA DE DÑA.GODINA</t>
  </si>
  <si>
    <t>CR N-2   A, 272</t>
  </si>
  <si>
    <t>-1.371528, 41.483222</t>
  </si>
  <si>
    <t>50100</t>
  </si>
  <si>
    <t>0183008226</t>
  </si>
  <si>
    <t>E.S. C.NAVAS-MALPICA</t>
  </si>
  <si>
    <t>CR N-2   A, 331</t>
  </si>
  <si>
    <t>-0.795111, 41.651722</t>
  </si>
  <si>
    <t>L-V: 06:00-21:00; S-D: 08:00-15:00</t>
  </si>
  <si>
    <t>Restaurante, Cafetería/Bar, Taller mecánico, Lavado cepillos, Lavado camiones, Parking turismos, Parking camiones, Zona de descanso, Box presión, Aspiradores, Waylet pago en caja</t>
  </si>
  <si>
    <t>94789</t>
  </si>
  <si>
    <t>0183125442</t>
  </si>
  <si>
    <t>E.S. LOLA SANCHEZ SL</t>
  </si>
  <si>
    <t>PALMA, LA</t>
  </si>
  <si>
    <t>C/ MARCONA 21</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</si>
  <si>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</si>
  <si>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</si>
  <si>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</si>
  <si>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97034</t>
  </si>
  <si>
    <t>0183125350</t>
  </si>
  <si>
    <t>E.S. SALAS GRA INVERSALAS S.L.</t>
  </si>
  <si>
    <t>SALAS</t>
  </si>
  <si>
    <t>ROTONDA CASAZORRINA S.N</t>
  </si>
  <si>
    <t>-6.232806, 43.40475</t>
  </si>
  <si>
    <t>Restaurante, Cafetería/Bar, Lavado cepillos, Box presión, Aspiradores, Solred cheque lavado, Waylet pago en caja</t>
  </si>
  <si>
    <t>97150</t>
  </si>
  <si>
    <t>0183135862</t>
  </si>
  <si>
    <t>ES CARBURANTES ZAOR CASTRILLO</t>
  </si>
  <si>
    <t>CASTRILLO DE LA GUAR</t>
  </si>
  <si>
    <t>A-62 PK 195</t>
  </si>
  <si>
    <t>-5.317806, 41.227139</t>
  </si>
  <si>
    <t>49419</t>
  </si>
  <si>
    <t>L: 06:00-01:00</t>
  </si>
  <si>
    <t>33648</t>
  </si>
  <si>
    <t>0183063601</t>
  </si>
  <si>
    <t>ES ESTUCER S.L.</t>
  </si>
  <si>
    <t>CARMENA</t>
  </si>
  <si>
    <t>CR SANTA OLALLA-CARPIO, P.K. 2</t>
  </si>
  <si>
    <t>-4.418778, 39.961139</t>
  </si>
  <si>
    <t>45531</t>
  </si>
  <si>
    <t>L-S: 07:00-20:00; D: 09:00-20:00</t>
  </si>
  <si>
    <t>96674</t>
  </si>
  <si>
    <t>0183111814</t>
  </si>
  <si>
    <t>E.S. GOMEAN</t>
  </si>
  <si>
    <t>GOMEAN</t>
  </si>
  <si>
    <t>CR  A-6 P.K. 479 M.D.  (SALIDA CAST</t>
  </si>
  <si>
    <t>-7.393611, 42.940306</t>
  </si>
  <si>
    <t>27164</t>
  </si>
  <si>
    <t>Restaurante, Cafetería/Bar, Parking turismos, Parking camiones, Duchas, Waylet pago en caja, Adblue Envasado</t>
  </si>
  <si>
    <t>13474</t>
  </si>
  <si>
    <t>0183075951</t>
  </si>
  <si>
    <t>E.S. GASOLPER ESPARTAL</t>
  </si>
  <si>
    <t>CL CRTA.MADRID ESQ.RIO JUCAR, 19</t>
  </si>
  <si>
    <t>-0.522944, 38.344611</t>
  </si>
  <si>
    <t>Lavado cepillos, Lavado camiones, Parking turismos, Box presión, Aspiradores, Solred cheque lavado, Waylet pago en caja, Punto recarga eléctrico Repsol, Lavados Klin</t>
  </si>
  <si>
    <t>00257</t>
  </si>
  <si>
    <t>0183050061</t>
  </si>
  <si>
    <t>US TRANSPORTES VICO DE LA DUEÑA SL</t>
  </si>
  <si>
    <t>CL PASEO CRISTOBAL COLON S.N.</t>
  </si>
  <si>
    <t>-3.372222, 38.997972</t>
  </si>
  <si>
    <t>L-S: 08:00-14:00</t>
  </si>
  <si>
    <t>03589</t>
  </si>
  <si>
    <t>0183000561</t>
  </si>
  <si>
    <t>E.S. TERCEÑO S.L.</t>
  </si>
  <si>
    <t>SAN PEDRO DEL ARROYO</t>
  </si>
  <si>
    <t>CR N-501, 24  A</t>
  </si>
  <si>
    <t>-4.873083, 40.803111</t>
  </si>
  <si>
    <t>05350</t>
  </si>
  <si>
    <t>01287</t>
  </si>
  <si>
    <t>0183058072</t>
  </si>
  <si>
    <t>BARCINOVA 98 S.L.</t>
  </si>
  <si>
    <t>CL PUJADAS, 154</t>
  </si>
  <si>
    <t>2.198611, 41.399889</t>
  </si>
  <si>
    <t>10910</t>
  </si>
  <si>
    <t>0183050087</t>
  </si>
  <si>
    <t>E.S. ALJACOR OIL SL</t>
  </si>
  <si>
    <t>PATERNA DEL CAMPO</t>
  </si>
  <si>
    <t>CR HU-5135, 0,3</t>
  </si>
  <si>
    <t>-6.406361, 37.423528</t>
  </si>
  <si>
    <t>21880</t>
  </si>
  <si>
    <t>L-D: 07:00-14:00 y 16:00-21:00</t>
  </si>
  <si>
    <t>0183001643</t>
  </si>
  <si>
    <t>ES ALAS</t>
  </si>
  <si>
    <t>AT A-3, 348</t>
  </si>
  <si>
    <t>-0.459611, 39.481167</t>
  </si>
  <si>
    <t>07214</t>
  </si>
  <si>
    <t>0183121151</t>
  </si>
  <si>
    <t>ES DIEGO GONZALES CANALES S.L.</t>
  </si>
  <si>
    <t>PRIEGO</t>
  </si>
  <si>
    <t>CR. CU-2023 KM. 74,5</t>
  </si>
  <si>
    <t>-2.316917, 40.450778</t>
  </si>
  <si>
    <t>16800</t>
  </si>
  <si>
    <t>L-D: 08:00-15:00 y 17:00-21:00</t>
  </si>
  <si>
    <t>03742</t>
  </si>
  <si>
    <t>0183055649</t>
  </si>
  <si>
    <t>E.S. LA TORRE, S.L.</t>
  </si>
  <si>
    <t>0.201056, 40.222083</t>
  </si>
  <si>
    <t>Restaurante, Cafetería/Bar, Lavado cepillos, Parking turismos, Parking camiones, Box presión, Duchas, Aspiradores, Solred cheque lavado, Waylet pago en caja, Punto recarga eléctrico Repsol</t>
  </si>
  <si>
    <t>05002</t>
  </si>
  <si>
    <t>0183016237</t>
  </si>
  <si>
    <t>GASOLEOS DIAZ,S.L.</t>
  </si>
  <si>
    <t>HUETE</t>
  </si>
  <si>
    <t>CR CM-310, 102,7</t>
  </si>
  <si>
    <t>-2.688424, 40.148893</t>
  </si>
  <si>
    <t>16500</t>
  </si>
  <si>
    <t>L-S: 08:00-21:00; D: 08:00-15:00</t>
  </si>
  <si>
    <t>34445</t>
  </si>
  <si>
    <t>0183018019</t>
  </si>
  <si>
    <t>ES BRESOIL SL</t>
  </si>
  <si>
    <t>CR C-3213, 15,7</t>
  </si>
  <si>
    <t>-0.80475, 38.473944</t>
  </si>
  <si>
    <t>Cafetería/Bar, Box presión, Aspiradores, Waylet pago en surtidor, Waylet pago en caja, Punto recarga eléctrico Repsol, Recarga eléctrica</t>
  </si>
  <si>
    <t>00961</t>
  </si>
  <si>
    <t>0183079680</t>
  </si>
  <si>
    <t>ES DIAZ DEUSTO S.L.</t>
  </si>
  <si>
    <t>CL PLAZA VICTORIA, S.N.</t>
  </si>
  <si>
    <t>-6.289389, 36.526639</t>
  </si>
  <si>
    <t>L-V: 07:30-15:00 y 17:00-21:00; S: 09:00-14:00</t>
  </si>
  <si>
    <t>05693</t>
  </si>
  <si>
    <t>0183003706</t>
  </si>
  <si>
    <t>E.S. ROGONOIL SL</t>
  </si>
  <si>
    <t>ATAQUINES</t>
  </si>
  <si>
    <t>CR N-6, 141</t>
  </si>
  <si>
    <t>-4.807472, 41.182028</t>
  </si>
  <si>
    <t>47210</t>
  </si>
  <si>
    <t>Restaurante, Cafetería/Bar, Parking turismos, Duchas, Waylet pago en caja, Punto recarga eléctrico Repsol</t>
  </si>
  <si>
    <t>0183059765</t>
  </si>
  <si>
    <t>E.S. VIRGEN HUERTAS,SL</t>
  </si>
  <si>
    <t>CR LA PULGARA,130</t>
  </si>
  <si>
    <t>-1.681194, 37.671361</t>
  </si>
  <si>
    <t>L-S: 06:00-22:00; D: 06:30-14:30</t>
  </si>
  <si>
    <t>37002</t>
  </si>
  <si>
    <t>0183104876</t>
  </si>
  <si>
    <t>SARMIENTO FUERTES SL</t>
  </si>
  <si>
    <t>VILLAMAÑAN</t>
  </si>
  <si>
    <t>CR N-630, 176</t>
  </si>
  <si>
    <t>-5.576833, 42.322167</t>
  </si>
  <si>
    <t>10886</t>
  </si>
  <si>
    <t>0183052331</t>
  </si>
  <si>
    <t>E.S.  NUESTRA SEÑORA MILAGROS</t>
  </si>
  <si>
    <t>PUERTO DE SAMTA MARIA, EL</t>
  </si>
  <si>
    <t>CR C-602  P.K. 6,50</t>
  </si>
  <si>
    <t>-6.260139, 36.642444</t>
  </si>
  <si>
    <t>Restaurante, Cafetería/Bar, Lavado camiones, Parking turismos, Parking camiones, Zona de descanso, Box presión, Aspiradores, Waylet pago en caja</t>
  </si>
  <si>
    <t>33941</t>
  </si>
  <si>
    <t>0183009158</t>
  </si>
  <si>
    <t>HNOS.FDEZ.MARQUEZ</t>
  </si>
  <si>
    <t>ROTA</t>
  </si>
  <si>
    <t>PG INDUSTRIAL, 83</t>
  </si>
  <si>
    <t>-6.366556, 36.632</t>
  </si>
  <si>
    <t>11520</t>
  </si>
  <si>
    <t>Taller neumáticos, Lavado cepillos, Box presión, Aspiradores, Solred cheque lavado, Waylet pago en surtidor, Waylet pago en caja, Punto recarga eléctrico Repsol</t>
  </si>
  <si>
    <t>10507</t>
  </si>
  <si>
    <t>0183018456</t>
  </si>
  <si>
    <t>E.S. MIGUEL ESTEBAN</t>
  </si>
  <si>
    <t>MIGUEL ESTEBAN</t>
  </si>
  <si>
    <t>CR CM-310, 7</t>
  </si>
  <si>
    <t>-3.076361, 39.530222</t>
  </si>
  <si>
    <t>45830</t>
  </si>
  <si>
    <t>L-V: 05:30-22:00; S: 06:00-22:00; D: 07:00-22:00</t>
  </si>
  <si>
    <t>33789</t>
  </si>
  <si>
    <t>0063196745</t>
  </si>
  <si>
    <t>ES M. DOLORES MURILLO NAVARRO</t>
  </si>
  <si>
    <t>CR N-630, PK.651,3</t>
  </si>
  <si>
    <t>-6.393417, 38.676944</t>
  </si>
  <si>
    <t>95562</t>
  </si>
  <si>
    <t>0183135276</t>
  </si>
  <si>
    <t>ES GASOLINERAS MARINO II SL</t>
  </si>
  <si>
    <t>AUTOVIA ALICANTE KM 171,5</t>
  </si>
  <si>
    <t>-0.93825, 38.729028</t>
  </si>
  <si>
    <t>L-D: 06:00-02:00</t>
  </si>
  <si>
    <t>Restaurante, Parking turismos, Parking camiones, Sin personal/desatendida, Waylet pago en caja</t>
  </si>
  <si>
    <t>00882</t>
  </si>
  <si>
    <t>0183063882</t>
  </si>
  <si>
    <t>US CARBURANTES Y LUBRICANTES PIEDRA</t>
  </si>
  <si>
    <t>CR N-110, 316</t>
  </si>
  <si>
    <t>-5.326889, 40.466083</t>
  </si>
  <si>
    <t>15103</t>
  </si>
  <si>
    <t>0183063270</t>
  </si>
  <si>
    <t>ES 15103 GASOLINERA DE BIESCAS</t>
  </si>
  <si>
    <t>BIESCAS</t>
  </si>
  <si>
    <t>CR C-136, 72</t>
  </si>
  <si>
    <t>-0.326889, 42.630222</t>
  </si>
  <si>
    <t>22630</t>
  </si>
  <si>
    <t>15280</t>
  </si>
  <si>
    <t>0183051721</t>
  </si>
  <si>
    <t>ES COMBUSTIBLES RUIDERA, S.L.</t>
  </si>
  <si>
    <t>RUIDERA</t>
  </si>
  <si>
    <t>CR. N-430 (RUIDERA), 415</t>
  </si>
  <si>
    <t>-2.883, 38.978222</t>
  </si>
  <si>
    <t>13249</t>
  </si>
  <si>
    <t>L-D: 09:00-22:00</t>
  </si>
  <si>
    <t>Taller neumáticos, Lavado cepillos, Box presión, Aspiradores, Waylet pago en caja</t>
  </si>
  <si>
    <t>11747</t>
  </si>
  <si>
    <t>0183060276</t>
  </si>
  <si>
    <t>E.S. CHOUSAL, S.L.</t>
  </si>
  <si>
    <t>CL AVENIDA RICARDO MEYA, S.N.</t>
  </si>
  <si>
    <t>-8.761444, 42.203917</t>
  </si>
  <si>
    <t>Lavado cepillos, Box presión, Aspiradores, Solred cheque lavado, Waylet pago en caja, Lavados Klin</t>
  </si>
  <si>
    <t>93967</t>
  </si>
  <si>
    <t>0183137884</t>
  </si>
  <si>
    <t>ES OZAGAS GALICIA, S.L</t>
  </si>
  <si>
    <t>OZA DE LOS RIOS</t>
  </si>
  <si>
    <t>CRTA AC 840 KM 6,89 IZ</t>
  </si>
  <si>
    <t>-8.1905, 43.225889</t>
  </si>
  <si>
    <t>92675</t>
  </si>
  <si>
    <t>0183132620</t>
  </si>
  <si>
    <t>ES AEROBUSINESS PLUS SL</t>
  </si>
  <si>
    <t>VISTABELLA DEL MAESTRAZGO</t>
  </si>
  <si>
    <t>AVDA. CASTELLON SN</t>
  </si>
  <si>
    <t>-0.289667, 40.2945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</si>
</sst>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color rgb="000000"/>
    </font>
  </fonts>
  <fills count="3">
    <fill>
      <patternFill patternType="none"/>
    </fill>
    <fill>
      <patternFill patternType="gray125"/>
    </fill>
    <fill>
      <patternFill patternType="mediumGray">
        <fgColor rgb="ffcb96"/>
        <bgColor rgb="ffcb96"/>
      </patternFill>
    </fill>
  </fills>
  <borders count="7">
    <border>
      <left/>
      <right/>
      <top/>
      <bottom/>
      <diagonal/>
    </border>
    <border>
      <left style="medium"/>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style="medium"/>
      <top/>
      <bottom style="medium"/>
      <diagonal/>
    </border>
  </borders>
  <cellStyleXfs count="1">
    <xf numFmtId="0" fontId="0" fillId="0" borderId="0"/>
  </cellStyleXfs>
  <cellXfs count="1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cellXfs>
  <cellStyles count="1">
    <cellStyle name="Normal" xfId="0" builtinId="0"/>
  </cellStyles>
  <dxfs count="17">
    <dxf>
      <alignment horizontal="center" vertical="center"/>
    </dxf>
    <dxf>
      <alignment horizontal="center" vertical="center"/>
    </dxf>
    <dxf>
      <alignment horizontal="left" vertical="center"/>
    </dxf>
    <dxf>
      <alignment horizontal="left" vertical="center"/>
    </dxf>
    <dxf>
      <alignment horizontal="left" vertical="center"/>
    </dxf>
    <dxf>
      <alignment horizontal="right" vertical="center"/>
    </dxf>
    <dxf>
      <alignment horizontal="right" vertical="center"/>
    </dxf>
    <dxf>
      <alignment horizontal="righ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Name" displayName="tableName" ref="A9:Q3009" totalsRowShown="1" headerRowCount="1">
  <autoFilter ref="A9:Q30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name="Código" totalsRowLabel="Total" dxfId="0"/>
    <tableColumn id="2" name="Código Solred" totalsRowFunction="none" dxfId="1"/>
    <tableColumn id="3" name="Estación" totalsRowFunction="none" dxfId="2"/>
    <tableColumn id="4" name="Provincia" totalsRowFunction="none" dxfId="3"/>
    <tableColumn id="5" name="Localidad" totalsRowFunction="none" dxfId="4"/>
    <tableColumn id="6" name="Precio final (Sin IVA)" totalsRowFunction="none" dxfId="5"/>
    <tableColumn id="7" name="Precio final (IVA inc)" totalsRowFunction="none" dxfId="6"/>
    <tableColumn id="8" name="Descuento" totalsRowFunction="none" dxfId="7"/>
    <tableColumn id="9" name="Comunidad Autónoma" totalsRowFunction="none" dxfId="8"/>
    <tableColumn id="10" name="Dirección" totalsRowFunction="none" dxfId="9"/>
    <tableColumn id="11" name="Coordenadas" totalsRowFunction="none" dxfId="10"/>
    <tableColumn id="12" name="Código Postal" totalsRowFunction="none" dxfId="11"/>
    <tableColumn id="13" name="Margen" totalsRowFunction="none" dxfId="12"/>
    <tableColumn id="14" name="Horario" totalsRowFunction="none" dxfId="13"/>
    <tableColumn id="15" name="Ver en Google Maps" totalsRowFunction="none" dxfId="14"/>
    <tableColumn id="16" name="Productos" totalsRowFunction="none" dxfId="15"/>
    <tableColumn id="17" name="Servicios" totalsRowFunction="none" dxfId="1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009"/>
  <sheetFormatPr defaultRowHeight="15" outlineLevelRow="0" outlineLevelCol="0" x14ac:dyDescent="5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2" x14ac:dyDescent="0.25">
      <c r="A2" s="1" t="s">
        <v>0</v>
      </c>
      <c r="B2" s="2" t="s">
        <v>1</v>
      </c>
    </row>
    <row r="3" spans="1:2" x14ac:dyDescent="0.25">
      <c r="A3" s="3" t="s">
        <v>2</v>
      </c>
      <c r="B3" s="4" t="s">
        <v>3</v>
      </c>
    </row>
    <row r="4" spans="1:2" x14ac:dyDescent="0.25">
      <c r="A4" s="3" t="s">
        <v>4</v>
      </c>
      <c r="B4" s="4" t="s">
        <v>1</v>
      </c>
    </row>
    <row r="5" spans="1:2" x14ac:dyDescent="0.25">
      <c r="A5" s="3" t="s">
        <v>5</v>
      </c>
      <c r="B5" s="4" t="s">
        <v>6</v>
      </c>
    </row>
    <row r="6" spans="1:2" x14ac:dyDescent="0.25">
      <c r="A6" s="3" t="s">
        <v>7</v>
      </c>
      <c r="B6" s="4" t="s">
        <v>8</v>
      </c>
    </row>
    <row r="7" spans="1:2" x14ac:dyDescent="0.25">
      <c r="A7" s="5" t="s">
        <v>9</v>
      </c>
      <c r="B7" s="6" t="s">
        <v>10</v>
      </c>
    </row>
    <row r="9" spans="1:17" x14ac:dyDescent="0.25">
      <c r="A9" s="7" t="s">
        <v>11</v>
      </c>
      <c r="B9" s="7" t="s">
        <v>12</v>
      </c>
      <c r="C9" s="7" t="s">
        <v>13</v>
      </c>
      <c r="D9" s="7" t="s">
        <v>14</v>
      </c>
      <c r="E9" s="7" t="s">
        <v>15</v>
      </c>
      <c r="F9" s="7" t="s">
        <v>16</v>
      </c>
      <c r="G9" s="7" t="s">
        <v>17</v>
      </c>
      <c r="H9" s="7" t="s">
        <v>9</v>
      </c>
      <c r="I9" s="7" t="s">
        <v>18</v>
      </c>
      <c r="J9" s="7" t="s">
        <v>19</v>
      </c>
      <c r="K9" s="7" t="s">
        <v>20</v>
      </c>
      <c r="L9" s="7" t="s">
        <v>21</v>
      </c>
      <c r="M9" s="7" t="s">
        <v>22</v>
      </c>
      <c r="N9" s="7" t="s">
        <v>23</v>
      </c>
      <c r="O9" s="7" t="s">
        <v>24</v>
      </c>
      <c r="P9" s="7" t="s">
        <v>25</v>
      </c>
      <c r="Q9" s="7" t="s">
        <v>26</v>
      </c>
    </row>
    <row r="10" spans="1:17" x14ac:dyDescent="0.25">
      <c r="A10" s="8" t="s">
        <v>27</v>
      </c>
      <c r="B10" s="8" t="s">
        <v>28</v>
      </c>
      <c r="C10" s="9" t="s">
        <v>29</v>
      </c>
      <c r="D10" s="9" t="s">
        <v>30</v>
      </c>
      <c r="E10" s="9" t="s">
        <v>31</v>
      </c>
      <c r="F10" s="10">
        <v>1.341</v>
      </c>
      <c r="G10" s="10">
        <v>1.475</v>
      </c>
      <c r="H10" s="10"/>
      <c r="I10" s="9" t="s">
        <v>32</v>
      </c>
      <c r="J10" s="9" t="s">
        <v>33</v>
      </c>
      <c r="K10" s="9" t="s">
        <v>34</v>
      </c>
      <c r="L10" s="8" t="s">
        <v>35</v>
      </c>
      <c r="M10" s="9" t="s">
        <v>36</v>
      </c>
      <c r="N10" s="9" t="s">
        <v>37</v>
      </c>
      <c r="O10" s="9">
        <f>HYPERLINK("https://www.google.com/maps/search/?api=1&amp;query=38.02957324,-6.22055162", "https://www.google.com/maps/search/?api=1&amp;query=38.02957324,-6.22055162")</f>
      </c>
      <c r="P10" s="9" t="s">
        <v>38</v>
      </c>
      <c r="Q10" s="9" t="s">
        <v>39</v>
      </c>
    </row>
    <row r="11" spans="1:17" x14ac:dyDescent="0.25">
      <c r="A11" s="8" t="s">
        <v>40</v>
      </c>
      <c r="B11" s="8" t="s">
        <v>41</v>
      </c>
      <c r="C11" s="9" t="s">
        <v>42</v>
      </c>
      <c r="D11" s="9" t="s">
        <v>43</v>
      </c>
      <c r="E11" s="9" t="s">
        <v>44</v>
      </c>
      <c r="F11" s="10">
        <v>1.341</v>
      </c>
      <c r="G11" s="10">
        <v>1.475</v>
      </c>
      <c r="H11" s="10"/>
      <c r="I11" s="9" t="s">
        <v>45</v>
      </c>
      <c r="J11" s="9" t="s">
        <v>46</v>
      </c>
      <c r="K11" s="9" t="s">
        <v>47</v>
      </c>
      <c r="L11" s="8" t="s">
        <v>48</v>
      </c>
      <c r="M11" s="9" t="s">
        <v>49</v>
      </c>
      <c r="N11" s="9" t="s">
        <v>37</v>
      </c>
      <c r="O11" s="9">
        <f>HYPERLINK("https://www.google.com/maps/search/?api=1&amp;query=37.34834588,-6.42325093", "https://www.google.com/maps/search/?api=1&amp;query=37.34834588,-6.42325093")</f>
      </c>
      <c r="P11" s="9" t="s">
        <v>50</v>
      </c>
      <c r="Q11" s="9" t="s">
        <v>51</v>
      </c>
    </row>
    <row r="12" spans="1:17" x14ac:dyDescent="0.25">
      <c r="A12" s="8" t="s">
        <v>52</v>
      </c>
      <c r="B12" s="8" t="s">
        <v>53</v>
      </c>
      <c r="C12" s="9" t="s">
        <v>54</v>
      </c>
      <c r="D12" s="9" t="s">
        <v>43</v>
      </c>
      <c r="E12" s="9" t="s">
        <v>44</v>
      </c>
      <c r="F12" s="10">
        <v>1.341</v>
      </c>
      <c r="G12" s="10">
        <v>1.475</v>
      </c>
      <c r="H12" s="10"/>
      <c r="I12" s="9" t="s">
        <v>45</v>
      </c>
      <c r="J12" s="9" t="s">
        <v>46</v>
      </c>
      <c r="K12" s="9" t="s">
        <v>55</v>
      </c>
      <c r="L12" s="8" t="s">
        <v>48</v>
      </c>
      <c r="M12" s="9" t="s">
        <v>36</v>
      </c>
      <c r="N12" s="9" t="s">
        <v>37</v>
      </c>
      <c r="O12" s="9">
        <f>HYPERLINK("https://www.google.com/maps/search/?api=1&amp;query=37.34687112,-6.42312362", "https://www.google.com/maps/search/?api=1&amp;query=37.34687112,-6.42312362")</f>
      </c>
      <c r="P12" s="9" t="s">
        <v>56</v>
      </c>
      <c r="Q12" s="9" t="s">
        <v>57</v>
      </c>
    </row>
    <row r="13" spans="1:17" x14ac:dyDescent="0.25">
      <c r="A13" s="8" t="s">
        <v>58</v>
      </c>
      <c r="B13" s="8" t="s">
        <v>59</v>
      </c>
      <c r="C13" s="9" t="s">
        <v>60</v>
      </c>
      <c r="D13" s="9" t="s">
        <v>61</v>
      </c>
      <c r="E13" s="9" t="s">
        <v>62</v>
      </c>
      <c r="F13" s="10">
        <v>1.35</v>
      </c>
      <c r="G13" s="10">
        <v>1.485</v>
      </c>
      <c r="H13" s="10"/>
      <c r="I13" s="9" t="s">
        <v>45</v>
      </c>
      <c r="J13" s="9" t="s">
        <v>63</v>
      </c>
      <c r="K13" s="9" t="s">
        <v>64</v>
      </c>
      <c r="L13" s="8" t="s">
        <v>65</v>
      </c>
      <c r="M13" s="9" t="s">
        <v>49</v>
      </c>
      <c r="N13" s="9" t="s">
        <v>66</v>
      </c>
      <c r="O13" s="9">
        <f>HYPERLINK("https://www.google.com/maps/search/?api=1&amp;query=37.30204365,-4.88028024", "https://www.google.com/maps/search/?api=1&amp;query=37.30204365,-4.88028024")</f>
      </c>
      <c r="P13" s="9" t="s">
        <v>67</v>
      </c>
      <c r="Q13" s="9" t="s">
        <v>68</v>
      </c>
    </row>
    <row r="14" spans="1:17" x14ac:dyDescent="0.25">
      <c r="A14" s="8" t="s">
        <v>69</v>
      </c>
      <c r="B14" s="8" t="s">
        <v>70</v>
      </c>
      <c r="C14" s="9" t="s">
        <v>71</v>
      </c>
      <c r="D14" s="9" t="s">
        <v>72</v>
      </c>
      <c r="E14" s="9" t="s">
        <v>73</v>
      </c>
      <c r="F14" s="10">
        <v>1.359</v>
      </c>
      <c r="G14" s="10">
        <v>1.495</v>
      </c>
      <c r="H14" s="10"/>
      <c r="I14" s="9" t="s">
        <v>74</v>
      </c>
      <c r="J14" s="9" t="s">
        <v>75</v>
      </c>
      <c r="K14" s="9" t="s">
        <v>76</v>
      </c>
      <c r="L14" s="8" t="s">
        <v>77</v>
      </c>
      <c r="M14" s="9" t="s">
        <v>36</v>
      </c>
      <c r="N14" s="9" t="s">
        <v>37</v>
      </c>
      <c r="O14" s="9">
        <f>HYPERLINK("https://www.google.com/maps/search/?api=1&amp;query=41.9136494,-4.51000251", "https://www.google.com/maps/search/?api=1&amp;query=41.9136494,-4.51000251")</f>
      </c>
      <c r="P14" s="9" t="s">
        <v>78</v>
      </c>
      <c r="Q14" s="9" t="s">
        <v>79</v>
      </c>
    </row>
    <row r="15" spans="1:17" x14ac:dyDescent="0.25">
      <c r="A15" s="8" t="s">
        <v>80</v>
      </c>
      <c r="B15" s="8" t="s">
        <v>81</v>
      </c>
      <c r="C15" s="9" t="s">
        <v>82</v>
      </c>
      <c r="D15" s="9" t="s">
        <v>83</v>
      </c>
      <c r="E15" s="9" t="s">
        <v>84</v>
      </c>
      <c r="F15" s="10">
        <v>1.359</v>
      </c>
      <c r="G15" s="10">
        <v>1.495</v>
      </c>
      <c r="H15" s="10"/>
      <c r="I15" s="9" t="s">
        <v>83</v>
      </c>
      <c r="J15" s="9" t="s">
        <v>85</v>
      </c>
      <c r="K15" s="9" t="s">
        <v>86</v>
      </c>
      <c r="L15" s="8" t="s">
        <v>87</v>
      </c>
      <c r="M15" s="9" t="s">
        <v>36</v>
      </c>
      <c r="N15" s="9" t="s">
        <v>88</v>
      </c>
      <c r="O15" s="9">
        <f>HYPERLINK("https://www.google.com/maps/search/?api=1&amp;query=40.331278,-3.403472", "https://www.google.com/maps/search/?api=1&amp;query=40.331278,-3.403472")</f>
      </c>
      <c r="P15" s="9" t="s">
        <v>89</v>
      </c>
      <c r="Q15" s="9" t="s">
        <v>90</v>
      </c>
    </row>
    <row r="16" spans="1:17" x14ac:dyDescent="0.25">
      <c r="A16" s="8" t="s">
        <v>91</v>
      </c>
      <c r="B16" s="8" t="s">
        <v>92</v>
      </c>
      <c r="C16" s="9" t="s">
        <v>93</v>
      </c>
      <c r="D16" s="9" t="s">
        <v>94</v>
      </c>
      <c r="E16" s="9" t="s">
        <v>95</v>
      </c>
      <c r="F16" s="10">
        <v>1.359</v>
      </c>
      <c r="G16" s="10">
        <v>1.495</v>
      </c>
      <c r="H16" s="10"/>
      <c r="I16" s="9" t="s">
        <v>96</v>
      </c>
      <c r="J16" s="9" t="s">
        <v>97</v>
      </c>
      <c r="K16" s="9" t="s">
        <v>98</v>
      </c>
      <c r="L16" s="8" t="s">
        <v>99</v>
      </c>
      <c r="M16" s="9" t="s">
        <v>100</v>
      </c>
      <c r="N16" s="9" t="s">
        <v>37</v>
      </c>
      <c r="O16" s="9">
        <f>HYPERLINK("https://www.google.com/maps/search/?api=1&amp;query=41.92810195,2.24545083", "https://www.google.com/maps/search/?api=1&amp;query=41.92810195,2.24545083")</f>
      </c>
      <c r="P16" s="9" t="s">
        <v>101</v>
      </c>
      <c r="Q16" s="9" t="s">
        <v>102</v>
      </c>
    </row>
    <row r="17" spans="1:17" x14ac:dyDescent="0.25">
      <c r="A17" s="8" t="s">
        <v>103</v>
      </c>
      <c r="B17" s="8" t="s">
        <v>104</v>
      </c>
      <c r="C17" s="9" t="s">
        <v>105</v>
      </c>
      <c r="D17" s="9" t="s">
        <v>106</v>
      </c>
      <c r="E17" s="9" t="s">
        <v>107</v>
      </c>
      <c r="F17" s="10">
        <v>1.359</v>
      </c>
      <c r="G17" s="10">
        <v>1.495</v>
      </c>
      <c r="H17" s="10"/>
      <c r="I17" s="9" t="s">
        <v>106</v>
      </c>
      <c r="J17" s="9" t="s">
        <v>108</v>
      </c>
      <c r="K17" s="9" t="s">
        <v>109</v>
      </c>
      <c r="L17" s="8" t="s">
        <v>110</v>
      </c>
      <c r="M17" s="9" t="s">
        <v>36</v>
      </c>
      <c r="N17" s="9" t="s">
        <v>37</v>
      </c>
      <c r="O17" s="9">
        <f>HYPERLINK("https://www.google.com/maps/search/?api=1&amp;query=38.00490798,-1.1450202", "https://www.google.com/maps/search/?api=1&amp;query=38.00490798,-1.1450202")</f>
      </c>
      <c r="P17" s="9" t="s">
        <v>111</v>
      </c>
      <c r="Q17" s="9" t="s">
        <v>112</v>
      </c>
    </row>
    <row r="18" spans="1:17" x14ac:dyDescent="0.25">
      <c r="A18" s="8" t="s">
        <v>113</v>
      </c>
      <c r="B18" s="8" t="s">
        <v>114</v>
      </c>
      <c r="C18" s="9" t="s">
        <v>115</v>
      </c>
      <c r="D18" s="9" t="s">
        <v>116</v>
      </c>
      <c r="E18" s="9" t="s">
        <v>117</v>
      </c>
      <c r="F18" s="10">
        <v>1.359</v>
      </c>
      <c r="G18" s="10">
        <v>1.495</v>
      </c>
      <c r="H18" s="10"/>
      <c r="I18" s="9" t="s">
        <v>118</v>
      </c>
      <c r="J18" s="9" t="s">
        <v>119</v>
      </c>
      <c r="K18" s="9" t="s">
        <v>120</v>
      </c>
      <c r="L18" s="8" t="s">
        <v>121</v>
      </c>
      <c r="M18" s="9" t="s">
        <v>100</v>
      </c>
      <c r="N18" s="9" t="s">
        <v>122</v>
      </c>
      <c r="O18" s="9">
        <f>HYPERLINK("https://www.google.com/maps/search/?api=1&amp;query=43.37261368,-2.99620669", "https://www.google.com/maps/search/?api=1&amp;query=43.37261368,-2.99620669")</f>
      </c>
      <c r="P18" s="9" t="s">
        <v>123</v>
      </c>
      <c r="Q18" s="9" t="s">
        <v>124</v>
      </c>
    </row>
    <row r="19" spans="1:17" x14ac:dyDescent="0.25">
      <c r="A19" s="8" t="s">
        <v>125</v>
      </c>
      <c r="B19" s="8" t="s">
        <v>126</v>
      </c>
      <c r="C19" s="9" t="s">
        <v>127</v>
      </c>
      <c r="D19" s="9" t="s">
        <v>128</v>
      </c>
      <c r="E19" s="9" t="s">
        <v>129</v>
      </c>
      <c r="F19" s="10">
        <v>1.359</v>
      </c>
      <c r="G19" s="10">
        <v>1.495</v>
      </c>
      <c r="H19" s="10"/>
      <c r="I19" s="9" t="s">
        <v>45</v>
      </c>
      <c r="J19" s="9" t="s">
        <v>130</v>
      </c>
      <c r="K19" s="9" t="s">
        <v>131</v>
      </c>
      <c r="L19" s="8" t="s">
        <v>132</v>
      </c>
      <c r="M19" s="9" t="s">
        <v>49</v>
      </c>
      <c r="N19" s="9" t="s">
        <v>88</v>
      </c>
      <c r="O19" s="9">
        <f>HYPERLINK("https://www.google.com/maps/search/?api=1&amp;query=36.67123515,-6.12185524", "https://www.google.com/maps/search/?api=1&amp;query=36.67123515,-6.12185524")</f>
      </c>
      <c r="P19" s="9" t="s">
        <v>133</v>
      </c>
      <c r="Q19" s="9" t="s">
        <v>134</v>
      </c>
    </row>
    <row r="20" spans="1:17" x14ac:dyDescent="0.25">
      <c r="A20" s="8" t="s">
        <v>135</v>
      </c>
      <c r="B20" s="8" t="s">
        <v>136</v>
      </c>
      <c r="C20" s="9" t="s">
        <v>137</v>
      </c>
      <c r="D20" s="9" t="s">
        <v>138</v>
      </c>
      <c r="E20" s="9" t="s">
        <v>139</v>
      </c>
      <c r="F20" s="10">
        <v>1.359</v>
      </c>
      <c r="G20" s="10">
        <v>1.495</v>
      </c>
      <c r="H20" s="10"/>
      <c r="I20" s="9" t="s">
        <v>140</v>
      </c>
      <c r="J20" s="9" t="s">
        <v>141</v>
      </c>
      <c r="K20" s="9" t="s">
        <v>142</v>
      </c>
      <c r="L20" s="8" t="s">
        <v>143</v>
      </c>
      <c r="M20" s="9" t="s">
        <v>49</v>
      </c>
      <c r="N20" s="9" t="s">
        <v>37</v>
      </c>
      <c r="O20" s="9">
        <f>HYPERLINK("https://www.google.com/maps/search/?api=1&amp;query=42.56251654,-8.67200803", "https://www.google.com/maps/search/?api=1&amp;query=42.56251654,-8.67200803")</f>
      </c>
      <c r="P20" s="9" t="s">
        <v>144</v>
      </c>
      <c r="Q20" s="9" t="s">
        <v>112</v>
      </c>
    </row>
    <row r="21" spans="1:17" x14ac:dyDescent="0.25">
      <c r="A21" s="8" t="s">
        <v>145</v>
      </c>
      <c r="B21" s="8" t="s">
        <v>146</v>
      </c>
      <c r="C21" s="9" t="s">
        <v>147</v>
      </c>
      <c r="D21" s="9" t="s">
        <v>83</v>
      </c>
      <c r="E21" s="9" t="s">
        <v>83</v>
      </c>
      <c r="F21" s="10">
        <v>1.359</v>
      </c>
      <c r="G21" s="10">
        <v>1.495</v>
      </c>
      <c r="H21" s="10"/>
      <c r="I21" s="9" t="s">
        <v>83</v>
      </c>
      <c r="J21" s="9" t="s">
        <v>148</v>
      </c>
      <c r="K21" s="9" t="s">
        <v>149</v>
      </c>
      <c r="L21" s="8" t="s">
        <v>150</v>
      </c>
      <c r="M21" s="9" t="s">
        <v>36</v>
      </c>
      <c r="N21" s="9" t="s">
        <v>37</v>
      </c>
      <c r="O21" s="9">
        <f>HYPERLINK("https://www.google.com/maps/search/?api=1&amp;query=40.3663149,-3.65586409", "https://www.google.com/maps/search/?api=1&amp;query=40.3663149,-3.65586409")</f>
      </c>
      <c r="P21" s="9" t="s">
        <v>56</v>
      </c>
      <c r="Q21" s="9" t="s">
        <v>151</v>
      </c>
    </row>
    <row r="22" spans="1:17" x14ac:dyDescent="0.25">
      <c r="A22" s="8" t="s">
        <v>152</v>
      </c>
      <c r="B22" s="8" t="s">
        <v>153</v>
      </c>
      <c r="C22" s="9" t="s">
        <v>154</v>
      </c>
      <c r="D22" s="9" t="s">
        <v>155</v>
      </c>
      <c r="E22" s="9" t="s">
        <v>156</v>
      </c>
      <c r="F22" s="10">
        <v>1.359</v>
      </c>
      <c r="G22" s="10">
        <v>1.495</v>
      </c>
      <c r="H22" s="10"/>
      <c r="I22" s="9" t="s">
        <v>157</v>
      </c>
      <c r="J22" s="9" t="s">
        <v>158</v>
      </c>
      <c r="K22" s="9" t="s">
        <v>159</v>
      </c>
      <c r="L22" s="8" t="s">
        <v>160</v>
      </c>
      <c r="M22" s="9" t="s">
        <v>36</v>
      </c>
      <c r="N22" s="9" t="s">
        <v>161</v>
      </c>
      <c r="O22" s="9">
        <f>HYPERLINK("https://www.google.com/maps/search/?api=1&amp;query=39.42640479,3.02410085", "https://www.google.com/maps/search/?api=1&amp;query=39.42640479,3.02410085")</f>
      </c>
      <c r="P22" s="9" t="s">
        <v>162</v>
      </c>
      <c r="Q22" s="9" t="s">
        <v>112</v>
      </c>
    </row>
    <row r="23" spans="1:17" x14ac:dyDescent="0.25">
      <c r="A23" s="8" t="s">
        <v>163</v>
      </c>
      <c r="B23" s="8" t="s">
        <v>164</v>
      </c>
      <c r="C23" s="9" t="s">
        <v>165</v>
      </c>
      <c r="D23" s="9" t="s">
        <v>166</v>
      </c>
      <c r="E23" s="9" t="s">
        <v>167</v>
      </c>
      <c r="F23" s="10">
        <v>1.359</v>
      </c>
      <c r="G23" s="10">
        <v>1.495</v>
      </c>
      <c r="H23" s="10"/>
      <c r="I23" s="9" t="s">
        <v>168</v>
      </c>
      <c r="J23" s="9" t="s">
        <v>169</v>
      </c>
      <c r="K23" s="9" t="s">
        <v>170</v>
      </c>
      <c r="L23" s="8" t="s">
        <v>171</v>
      </c>
      <c r="M23" s="9" t="s">
        <v>49</v>
      </c>
      <c r="N23" s="9" t="s">
        <v>37</v>
      </c>
      <c r="O23" s="9">
        <f>HYPERLINK("https://www.google.com/maps/search/?api=1&amp;query=40.57510754,-3.26032816", "https://www.google.com/maps/search/?api=1&amp;query=40.57510754,-3.26032816")</f>
      </c>
      <c r="P23" s="9" t="s">
        <v>172</v>
      </c>
      <c r="Q23" s="9" t="s">
        <v>173</v>
      </c>
    </row>
    <row r="24" spans="1:17" x14ac:dyDescent="0.25">
      <c r="A24" s="8" t="s">
        <v>174</v>
      </c>
      <c r="B24" s="8" t="s">
        <v>175</v>
      </c>
      <c r="C24" s="9" t="s">
        <v>176</v>
      </c>
      <c r="D24" s="9" t="s">
        <v>177</v>
      </c>
      <c r="E24" s="9" t="s">
        <v>178</v>
      </c>
      <c r="F24" s="10">
        <v>1.359</v>
      </c>
      <c r="G24" s="10">
        <v>1.495</v>
      </c>
      <c r="H24" s="10"/>
      <c r="I24" s="9" t="s">
        <v>74</v>
      </c>
      <c r="J24" s="9" t="s">
        <v>179</v>
      </c>
      <c r="K24" s="9" t="s">
        <v>180</v>
      </c>
      <c r="L24" s="8" t="s">
        <v>181</v>
      </c>
      <c r="M24" s="9" t="s">
        <v>49</v>
      </c>
      <c r="N24" s="9" t="s">
        <v>37</v>
      </c>
      <c r="O24" s="9">
        <f>HYPERLINK("https://www.google.com/maps/search/?api=1&amp;query=41.27566656,-4.88785752", "https://www.google.com/maps/search/?api=1&amp;query=41.27566656,-4.88785752")</f>
      </c>
      <c r="P24" s="9" t="s">
        <v>182</v>
      </c>
      <c r="Q24" s="9" t="s">
        <v>183</v>
      </c>
    </row>
    <row r="25" spans="1:17" x14ac:dyDescent="0.25">
      <c r="A25" s="8" t="s">
        <v>184</v>
      </c>
      <c r="B25" s="8" t="s">
        <v>185</v>
      </c>
      <c r="C25" s="9" t="s">
        <v>186</v>
      </c>
      <c r="D25" s="9" t="s">
        <v>187</v>
      </c>
      <c r="E25" s="9" t="s">
        <v>188</v>
      </c>
      <c r="F25" s="10">
        <v>1.359</v>
      </c>
      <c r="G25" s="10">
        <v>1.495</v>
      </c>
      <c r="H25" s="10"/>
      <c r="I25" s="9" t="s">
        <v>74</v>
      </c>
      <c r="J25" s="9" t="s">
        <v>189</v>
      </c>
      <c r="K25" s="9" t="s">
        <v>190</v>
      </c>
      <c r="L25" s="8" t="s">
        <v>191</v>
      </c>
      <c r="M25" s="9" t="s">
        <v>49</v>
      </c>
      <c r="N25" s="9" t="s">
        <v>37</v>
      </c>
      <c r="O25" s="9">
        <f>HYPERLINK("https://www.google.com/maps/search/?api=1&amp;query=42.58443315,-6.62563088", "https://www.google.com/maps/search/?api=1&amp;query=42.58443315,-6.62563088")</f>
      </c>
      <c r="P25" s="9" t="s">
        <v>192</v>
      </c>
      <c r="Q25" s="9" t="s">
        <v>193</v>
      </c>
    </row>
    <row r="26" spans="1:17" x14ac:dyDescent="0.25">
      <c r="A26" s="8" t="s">
        <v>194</v>
      </c>
      <c r="B26" s="8" t="s">
        <v>195</v>
      </c>
      <c r="C26" s="9" t="s">
        <v>196</v>
      </c>
      <c r="D26" s="9" t="s">
        <v>197</v>
      </c>
      <c r="E26" s="9" t="s">
        <v>198</v>
      </c>
      <c r="F26" s="10">
        <v>1.359</v>
      </c>
      <c r="G26" s="10">
        <v>1.495</v>
      </c>
      <c r="H26" s="10"/>
      <c r="I26" s="9" t="s">
        <v>168</v>
      </c>
      <c r="J26" s="9" t="s">
        <v>199</v>
      </c>
      <c r="K26" s="9" t="s">
        <v>200</v>
      </c>
      <c r="L26" s="8" t="s">
        <v>201</v>
      </c>
      <c r="M26" s="9" t="s">
        <v>100</v>
      </c>
      <c r="N26" s="9" t="s">
        <v>37</v>
      </c>
      <c r="O26" s="9">
        <f>HYPERLINK("https://www.google.com/maps/search/?api=1&amp;query=40.10487916,-3.64589433", "https://www.google.com/maps/search/?api=1&amp;query=40.10487916,-3.64589433")</f>
      </c>
      <c r="P26" s="9" t="s">
        <v>202</v>
      </c>
      <c r="Q26" s="9" t="s">
        <v>203</v>
      </c>
    </row>
    <row r="27" spans="1:17" x14ac:dyDescent="0.25">
      <c r="A27" s="8" t="s">
        <v>204</v>
      </c>
      <c r="B27" s="8" t="s">
        <v>205</v>
      </c>
      <c r="C27" s="9" t="s">
        <v>206</v>
      </c>
      <c r="D27" s="9" t="s">
        <v>138</v>
      </c>
      <c r="E27" s="9" t="s">
        <v>207</v>
      </c>
      <c r="F27" s="10">
        <v>1.359</v>
      </c>
      <c r="G27" s="10">
        <v>1.495</v>
      </c>
      <c r="H27" s="10"/>
      <c r="I27" s="9" t="s">
        <v>140</v>
      </c>
      <c r="J27" s="9" t="s">
        <v>208</v>
      </c>
      <c r="K27" s="9" t="s">
        <v>209</v>
      </c>
      <c r="L27" s="8" t="s">
        <v>210</v>
      </c>
      <c r="M27" s="9" t="s">
        <v>100</v>
      </c>
      <c r="N27" s="9" t="s">
        <v>211</v>
      </c>
      <c r="O27" s="9">
        <f>HYPERLINK("https://www.google.com/maps/search/?api=1&amp;query=42.16200203,-8.80165357", "https://www.google.com/maps/search/?api=1&amp;query=42.16200203,-8.80165357")</f>
      </c>
      <c r="P27" s="9" t="s">
        <v>212</v>
      </c>
      <c r="Q27" s="9" t="s">
        <v>213</v>
      </c>
    </row>
    <row r="28" spans="1:17" x14ac:dyDescent="0.25">
      <c r="A28" s="8" t="s">
        <v>214</v>
      </c>
      <c r="B28" s="8" t="s">
        <v>215</v>
      </c>
      <c r="C28" s="9" t="s">
        <v>216</v>
      </c>
      <c r="D28" s="9" t="s">
        <v>217</v>
      </c>
      <c r="E28" s="9" t="s">
        <v>218</v>
      </c>
      <c r="F28" s="10">
        <v>1.359</v>
      </c>
      <c r="G28" s="10">
        <v>1.495</v>
      </c>
      <c r="H28" s="10"/>
      <c r="I28" s="9" t="s">
        <v>45</v>
      </c>
      <c r="J28" s="9" t="s">
        <v>219</v>
      </c>
      <c r="K28" s="9" t="s">
        <v>220</v>
      </c>
      <c r="L28" s="8" t="s">
        <v>221</v>
      </c>
      <c r="M28" s="9" t="s">
        <v>36</v>
      </c>
      <c r="N28" s="9" t="s">
        <v>211</v>
      </c>
      <c r="O28" s="9">
        <f>HYPERLINK("https://www.google.com/maps/search/?api=1&amp;query=36.46367505,-5.03876522", "https://www.google.com/maps/search/?api=1&amp;query=36.46367505,-5.03876522")</f>
      </c>
      <c r="P28" s="9" t="s">
        <v>222</v>
      </c>
      <c r="Q28" s="9" t="s">
        <v>124</v>
      </c>
    </row>
    <row r="29" spans="1:17" x14ac:dyDescent="0.25">
      <c r="A29" s="8" t="s">
        <v>223</v>
      </c>
      <c r="B29" s="8" t="s">
        <v>224</v>
      </c>
      <c r="C29" s="9" t="s">
        <v>225</v>
      </c>
      <c r="D29" s="9" t="s">
        <v>226</v>
      </c>
      <c r="E29" s="9" t="s">
        <v>227</v>
      </c>
      <c r="F29" s="10">
        <v>1.359</v>
      </c>
      <c r="G29" s="10">
        <v>1.495</v>
      </c>
      <c r="H29" s="10"/>
      <c r="I29" s="9" t="s">
        <v>168</v>
      </c>
      <c r="J29" s="9" t="s">
        <v>228</v>
      </c>
      <c r="K29" s="9" t="s">
        <v>229</v>
      </c>
      <c r="L29" s="8" t="s">
        <v>230</v>
      </c>
      <c r="M29" s="9" t="s">
        <v>36</v>
      </c>
      <c r="N29" s="9" t="s">
        <v>211</v>
      </c>
      <c r="O29" s="9">
        <f>HYPERLINK("https://www.google.com/maps/search/?api=1&amp;query=39.87293533,-2.60956295", "https://www.google.com/maps/search/?api=1&amp;query=39.87293533,-2.60956295")</f>
      </c>
      <c r="P29" s="9" t="s">
        <v>231</v>
      </c>
      <c r="Q29" s="9" t="s">
        <v>232</v>
      </c>
    </row>
    <row r="30" spans="1:17" x14ac:dyDescent="0.25">
      <c r="A30" s="8" t="s">
        <v>233</v>
      </c>
      <c r="B30" s="8" t="s">
        <v>234</v>
      </c>
      <c r="C30" s="9" t="s">
        <v>235</v>
      </c>
      <c r="D30" s="9" t="s">
        <v>94</v>
      </c>
      <c r="E30" s="9" t="s">
        <v>236</v>
      </c>
      <c r="F30" s="10">
        <v>1.359</v>
      </c>
      <c r="G30" s="10">
        <v>1.495</v>
      </c>
      <c r="H30" s="10"/>
      <c r="I30" s="9" t="s">
        <v>96</v>
      </c>
      <c r="J30" s="9" t="s">
        <v>237</v>
      </c>
      <c r="K30" s="9" t="s">
        <v>238</v>
      </c>
      <c r="L30" s="8" t="s">
        <v>239</v>
      </c>
      <c r="M30" s="9" t="s">
        <v>100</v>
      </c>
      <c r="N30" s="9" t="s">
        <v>88</v>
      </c>
      <c r="O30" s="9">
        <f>HYPERLINK("https://www.google.com/maps/search/?api=1&amp;query=41.20722286,1.67247154", "https://www.google.com/maps/search/?api=1&amp;query=41.20722286,1.67247154")</f>
      </c>
      <c r="P30" s="9" t="s">
        <v>240</v>
      </c>
      <c r="Q30" s="9" t="s">
        <v>102</v>
      </c>
    </row>
    <row r="31" spans="1:17" x14ac:dyDescent="0.25">
      <c r="A31" s="8" t="s">
        <v>241</v>
      </c>
      <c r="B31" s="8" t="s">
        <v>242</v>
      </c>
      <c r="C31" s="9" t="s">
        <v>243</v>
      </c>
      <c r="D31" s="9" t="s">
        <v>116</v>
      </c>
      <c r="E31" s="9" t="s">
        <v>244</v>
      </c>
      <c r="F31" s="10">
        <v>1.359</v>
      </c>
      <c r="G31" s="10">
        <v>1.495</v>
      </c>
      <c r="H31" s="10"/>
      <c r="I31" s="9" t="s">
        <v>118</v>
      </c>
      <c r="J31" s="9" t="s">
        <v>245</v>
      </c>
      <c r="K31" s="9" t="s">
        <v>246</v>
      </c>
      <c r="L31" s="8" t="s">
        <v>247</v>
      </c>
      <c r="M31" s="9" t="s">
        <v>49</v>
      </c>
      <c r="N31" s="9" t="s">
        <v>37</v>
      </c>
      <c r="O31" s="9">
        <f>HYPERLINK("https://www.google.com/maps/search/?api=1&amp;query=43.23151972,-2.75687809", "https://www.google.com/maps/search/?api=1&amp;query=43.23151972,-2.75687809")</f>
      </c>
      <c r="P31" s="9" t="s">
        <v>248</v>
      </c>
      <c r="Q31" s="9" t="s">
        <v>249</v>
      </c>
    </row>
    <row r="32" spans="1:17" x14ac:dyDescent="0.25">
      <c r="A32" s="8" t="s">
        <v>250</v>
      </c>
      <c r="B32" s="8" t="s">
        <v>251</v>
      </c>
      <c r="C32" s="9" t="s">
        <v>252</v>
      </c>
      <c r="D32" s="9" t="s">
        <v>253</v>
      </c>
      <c r="E32" s="9" t="s">
        <v>254</v>
      </c>
      <c r="F32" s="10">
        <v>1.359</v>
      </c>
      <c r="G32" s="10">
        <v>1.495</v>
      </c>
      <c r="H32" s="10"/>
      <c r="I32" s="9" t="s">
        <v>96</v>
      </c>
      <c r="J32" s="9" t="s">
        <v>255</v>
      </c>
      <c r="K32" s="9" t="s">
        <v>256</v>
      </c>
      <c r="L32" s="8" t="s">
        <v>257</v>
      </c>
      <c r="M32" s="9" t="s">
        <v>49</v>
      </c>
      <c r="N32" s="9" t="s">
        <v>88</v>
      </c>
      <c r="O32" s="9">
        <f>HYPERLINK("https://www.google.com/maps/search/?api=1&amp;query=40.79999808,0.52005023", "https://www.google.com/maps/search/?api=1&amp;query=40.79999808,0.52005023")</f>
      </c>
      <c r="P32" s="9" t="s">
        <v>258</v>
      </c>
      <c r="Q32" s="9" t="s">
        <v>112</v>
      </c>
    </row>
    <row r="33" spans="1:17" x14ac:dyDescent="0.25">
      <c r="A33" s="8" t="s">
        <v>259</v>
      </c>
      <c r="B33" s="8" t="s">
        <v>260</v>
      </c>
      <c r="C33" s="9" t="s">
        <v>261</v>
      </c>
      <c r="D33" s="9" t="s">
        <v>138</v>
      </c>
      <c r="E33" s="9" t="s">
        <v>262</v>
      </c>
      <c r="F33" s="10">
        <v>1.359</v>
      </c>
      <c r="G33" s="10">
        <v>1.495</v>
      </c>
      <c r="H33" s="10"/>
      <c r="I33" s="9" t="s">
        <v>140</v>
      </c>
      <c r="J33" s="9" t="s">
        <v>263</v>
      </c>
      <c r="K33" s="9" t="s">
        <v>264</v>
      </c>
      <c r="L33" s="8" t="s">
        <v>265</v>
      </c>
      <c r="M33" s="9" t="s">
        <v>100</v>
      </c>
      <c r="N33" s="9" t="s">
        <v>211</v>
      </c>
      <c r="O33" s="9">
        <f>HYPERLINK("https://www.google.com/maps/search/?api=1&amp;query=42.47222071,-8.86241318", "https://www.google.com/maps/search/?api=1&amp;query=42.47222071,-8.86241318")</f>
      </c>
      <c r="P33" s="9" t="s">
        <v>266</v>
      </c>
      <c r="Q33" s="9" t="s">
        <v>267</v>
      </c>
    </row>
    <row r="34" spans="1:17" x14ac:dyDescent="0.25">
      <c r="A34" s="8" t="s">
        <v>268</v>
      </c>
      <c r="B34" s="8" t="s">
        <v>269</v>
      </c>
      <c r="C34" s="9" t="s">
        <v>270</v>
      </c>
      <c r="D34" s="9" t="s">
        <v>217</v>
      </c>
      <c r="E34" s="9" t="s">
        <v>271</v>
      </c>
      <c r="F34" s="10">
        <v>1.359</v>
      </c>
      <c r="G34" s="10">
        <v>1.495</v>
      </c>
      <c r="H34" s="10"/>
      <c r="I34" s="9" t="s">
        <v>45</v>
      </c>
      <c r="J34" s="9" t="s">
        <v>272</v>
      </c>
      <c r="K34" s="9" t="s">
        <v>273</v>
      </c>
      <c r="L34" s="8" t="s">
        <v>274</v>
      </c>
      <c r="M34" s="9" t="s">
        <v>49</v>
      </c>
      <c r="N34" s="9" t="s">
        <v>88</v>
      </c>
      <c r="O34" s="9">
        <f>HYPERLINK("https://www.google.com/maps/search/?api=1&amp;query=36.69030758,-4.48298157", "https://www.google.com/maps/search/?api=1&amp;query=36.69030758,-4.48298157")</f>
      </c>
      <c r="P34" s="9" t="s">
        <v>275</v>
      </c>
      <c r="Q34" s="9" t="s">
        <v>276</v>
      </c>
    </row>
    <row r="35" spans="1:17" x14ac:dyDescent="0.25">
      <c r="A35" s="8" t="s">
        <v>277</v>
      </c>
      <c r="B35" s="8" t="s">
        <v>278</v>
      </c>
      <c r="C35" s="9" t="s">
        <v>279</v>
      </c>
      <c r="D35" s="9" t="s">
        <v>280</v>
      </c>
      <c r="E35" s="9" t="s">
        <v>281</v>
      </c>
      <c r="F35" s="10">
        <v>1.359</v>
      </c>
      <c r="G35" s="10">
        <v>1.495</v>
      </c>
      <c r="H35" s="10"/>
      <c r="I35" s="9" t="s">
        <v>118</v>
      </c>
      <c r="J35" s="9" t="s">
        <v>282</v>
      </c>
      <c r="K35" s="9" t="s">
        <v>283</v>
      </c>
      <c r="L35" s="8" t="s">
        <v>284</v>
      </c>
      <c r="M35" s="9" t="s">
        <v>49</v>
      </c>
      <c r="N35" s="9" t="s">
        <v>88</v>
      </c>
      <c r="O35" s="9">
        <f>HYPERLINK("https://www.google.com/maps/search/?api=1&amp;query=43.12585847,-2.42399129", "https://www.google.com/maps/search/?api=1&amp;query=43.12585847,-2.42399129")</f>
      </c>
      <c r="P35" s="9" t="s">
        <v>285</v>
      </c>
      <c r="Q35" s="9" t="s">
        <v>286</v>
      </c>
    </row>
    <row r="36" spans="1:17" x14ac:dyDescent="0.25">
      <c r="A36" s="8" t="s">
        <v>287</v>
      </c>
      <c r="B36" s="8" t="s">
        <v>288</v>
      </c>
      <c r="C36" s="9" t="s">
        <v>289</v>
      </c>
      <c r="D36" s="9" t="s">
        <v>290</v>
      </c>
      <c r="E36" s="9" t="s">
        <v>291</v>
      </c>
      <c r="F36" s="10">
        <v>1.359</v>
      </c>
      <c r="G36" s="10">
        <v>1.495</v>
      </c>
      <c r="H36" s="10"/>
      <c r="I36" s="9" t="s">
        <v>292</v>
      </c>
      <c r="J36" s="9" t="s">
        <v>293</v>
      </c>
      <c r="K36" s="9" t="s">
        <v>294</v>
      </c>
      <c r="L36" s="8" t="s">
        <v>295</v>
      </c>
      <c r="M36" s="9" t="s">
        <v>36</v>
      </c>
      <c r="N36" s="9" t="s">
        <v>88</v>
      </c>
      <c r="O36" s="9">
        <f>HYPERLINK("https://www.google.com/maps/search/?api=1&amp;query=40.89729331,-0.37190768", "https://www.google.com/maps/search/?api=1&amp;query=40.89729331,-0.37190768")</f>
      </c>
      <c r="P36" s="9" t="s">
        <v>296</v>
      </c>
      <c r="Q36" s="9" t="s">
        <v>297</v>
      </c>
    </row>
    <row r="37" spans="1:17" x14ac:dyDescent="0.25">
      <c r="A37" s="8" t="s">
        <v>298</v>
      </c>
      <c r="B37" s="8" t="s">
        <v>299</v>
      </c>
      <c r="C37" s="9" t="s">
        <v>300</v>
      </c>
      <c r="D37" s="9" t="s">
        <v>83</v>
      </c>
      <c r="E37" s="9" t="s">
        <v>83</v>
      </c>
      <c r="F37" s="10">
        <v>1.359</v>
      </c>
      <c r="G37" s="10">
        <v>1.495</v>
      </c>
      <c r="H37" s="10"/>
      <c r="I37" s="9" t="s">
        <v>83</v>
      </c>
      <c r="J37" s="9" t="s">
        <v>301</v>
      </c>
      <c r="K37" s="9" t="s">
        <v>302</v>
      </c>
      <c r="L37" s="8" t="s">
        <v>303</v>
      </c>
      <c r="M37" s="9" t="s">
        <v>49</v>
      </c>
      <c r="N37" s="9" t="s">
        <v>37</v>
      </c>
      <c r="O37" s="9">
        <f>HYPERLINK("https://www.google.com/maps/search/?api=1&amp;query=40.40741353,-3.65203472", "https://www.google.com/maps/search/?api=1&amp;query=40.40741353,-3.65203472")</f>
      </c>
      <c r="P37" s="9" t="s">
        <v>172</v>
      </c>
      <c r="Q37" s="9" t="s">
        <v>102</v>
      </c>
    </row>
    <row r="38" spans="1:17" x14ac:dyDescent="0.25">
      <c r="A38" s="8" t="s">
        <v>304</v>
      </c>
      <c r="B38" s="8" t="s">
        <v>305</v>
      </c>
      <c r="C38" s="9" t="s">
        <v>306</v>
      </c>
      <c r="D38" s="9" t="s">
        <v>307</v>
      </c>
      <c r="E38" s="9" t="s">
        <v>308</v>
      </c>
      <c r="F38" s="10">
        <v>1.359</v>
      </c>
      <c r="G38" s="10">
        <v>1.495</v>
      </c>
      <c r="H38" s="10"/>
      <c r="I38" s="9" t="s">
        <v>74</v>
      </c>
      <c r="J38" s="9" t="s">
        <v>309</v>
      </c>
      <c r="K38" s="9" t="s">
        <v>310</v>
      </c>
      <c r="L38" s="8" t="s">
        <v>311</v>
      </c>
      <c r="M38" s="9" t="s">
        <v>36</v>
      </c>
      <c r="N38" s="9" t="s">
        <v>37</v>
      </c>
      <c r="O38" s="9">
        <f>HYPERLINK("https://www.google.com/maps/search/?api=1&amp;query=41.99220106,-5.64720061", "https://www.google.com/maps/search/?api=1&amp;query=41.99220106,-5.64720061")</f>
      </c>
      <c r="P38" s="9" t="s">
        <v>312</v>
      </c>
      <c r="Q38" s="9" t="s">
        <v>313</v>
      </c>
    </row>
    <row r="39" spans="1:17" x14ac:dyDescent="0.25">
      <c r="A39" s="8" t="s">
        <v>314</v>
      </c>
      <c r="B39" s="8" t="s">
        <v>315</v>
      </c>
      <c r="C39" s="9" t="s">
        <v>316</v>
      </c>
      <c r="D39" s="9" t="s">
        <v>94</v>
      </c>
      <c r="E39" s="9" t="s">
        <v>317</v>
      </c>
      <c r="F39" s="10">
        <v>1.359</v>
      </c>
      <c r="G39" s="10">
        <v>1.495</v>
      </c>
      <c r="H39" s="10"/>
      <c r="I39" s="9" t="s">
        <v>96</v>
      </c>
      <c r="J39" s="9" t="s">
        <v>318</v>
      </c>
      <c r="K39" s="9" t="s">
        <v>319</v>
      </c>
      <c r="L39" s="8" t="s">
        <v>320</v>
      </c>
      <c r="M39" s="9" t="s">
        <v>49</v>
      </c>
      <c r="N39" s="9" t="s">
        <v>37</v>
      </c>
      <c r="O39" s="9">
        <f>HYPERLINK("https://www.google.com/maps/search/?api=1&amp;query=41.54787701,2.22218494", "https://www.google.com/maps/search/?api=1&amp;query=41.54787701,2.22218494")</f>
      </c>
      <c r="P39" s="9" t="s">
        <v>321</v>
      </c>
      <c r="Q39" s="9" t="s">
        <v>322</v>
      </c>
    </row>
    <row r="40" spans="1:17" x14ac:dyDescent="0.25">
      <c r="A40" s="8" t="s">
        <v>323</v>
      </c>
      <c r="B40" s="8" t="s">
        <v>324</v>
      </c>
      <c r="C40" s="9" t="s">
        <v>325</v>
      </c>
      <c r="D40" s="9" t="s">
        <v>106</v>
      </c>
      <c r="E40" s="9" t="s">
        <v>326</v>
      </c>
      <c r="F40" s="10">
        <v>1.359</v>
      </c>
      <c r="G40" s="10">
        <v>1.495</v>
      </c>
      <c r="H40" s="10"/>
      <c r="I40" s="9" t="s">
        <v>106</v>
      </c>
      <c r="J40" s="9" t="s">
        <v>327</v>
      </c>
      <c r="K40" s="9" t="s">
        <v>328</v>
      </c>
      <c r="L40" s="8" t="s">
        <v>329</v>
      </c>
      <c r="M40" s="9" t="s">
        <v>36</v>
      </c>
      <c r="N40" s="9" t="s">
        <v>122</v>
      </c>
      <c r="O40" s="9">
        <f>HYPERLINK("https://www.google.com/maps/search/?api=1&amp;query=37.67352906,-0.73091929", "https://www.google.com/maps/search/?api=1&amp;query=37.67352906,-0.73091929")</f>
      </c>
      <c r="P40" s="9" t="s">
        <v>330</v>
      </c>
      <c r="Q40" s="9" t="s">
        <v>331</v>
      </c>
    </row>
    <row r="41" spans="1:17" x14ac:dyDescent="0.25">
      <c r="A41" s="8" t="s">
        <v>332</v>
      </c>
      <c r="B41" s="8" t="s">
        <v>333</v>
      </c>
      <c r="C41" s="9" t="s">
        <v>334</v>
      </c>
      <c r="D41" s="9" t="s">
        <v>138</v>
      </c>
      <c r="E41" s="9" t="s">
        <v>335</v>
      </c>
      <c r="F41" s="10">
        <v>1.359</v>
      </c>
      <c r="G41" s="10">
        <v>1.495</v>
      </c>
      <c r="H41" s="10"/>
      <c r="I41" s="9" t="s">
        <v>140</v>
      </c>
      <c r="J41" s="9" t="s">
        <v>336</v>
      </c>
      <c r="K41" s="9" t="s">
        <v>337</v>
      </c>
      <c r="L41" s="8" t="s">
        <v>338</v>
      </c>
      <c r="M41" s="9" t="s">
        <v>100</v>
      </c>
      <c r="N41" s="9" t="s">
        <v>339</v>
      </c>
      <c r="O41" s="9">
        <f>HYPERLINK("https://www.google.com/maps/search/?api=1&amp;query=42.29055841,-8.60814469", "https://www.google.com/maps/search/?api=1&amp;query=42.29055841,-8.60814469")</f>
      </c>
      <c r="P41" s="9" t="s">
        <v>38</v>
      </c>
      <c r="Q41" s="9" t="s">
        <v>340</v>
      </c>
    </row>
    <row r="42" spans="1:17" x14ac:dyDescent="0.25">
      <c r="A42" s="8" t="s">
        <v>341</v>
      </c>
      <c r="B42" s="8" t="s">
        <v>342</v>
      </c>
      <c r="C42" s="9" t="s">
        <v>343</v>
      </c>
      <c r="D42" s="9" t="s">
        <v>344</v>
      </c>
      <c r="E42" s="9" t="s">
        <v>345</v>
      </c>
      <c r="F42" s="10">
        <v>1.359</v>
      </c>
      <c r="G42" s="10">
        <v>1.495</v>
      </c>
      <c r="H42" s="10"/>
      <c r="I42" s="9" t="s">
        <v>140</v>
      </c>
      <c r="J42" s="9" t="s">
        <v>346</v>
      </c>
      <c r="K42" s="9" t="s">
        <v>347</v>
      </c>
      <c r="L42" s="8" t="s">
        <v>348</v>
      </c>
      <c r="M42" s="9" t="s">
        <v>100</v>
      </c>
      <c r="N42" s="9" t="s">
        <v>211</v>
      </c>
      <c r="O42" s="9">
        <f>HYPERLINK("https://www.google.com/maps/search/?api=1&amp;query=42.84332877,-8.52265594", "https://www.google.com/maps/search/?api=1&amp;query=42.84332877,-8.52265594")</f>
      </c>
      <c r="P42" s="9" t="s">
        <v>349</v>
      </c>
      <c r="Q42" s="9" t="s">
        <v>350</v>
      </c>
    </row>
    <row r="43" spans="1:17" x14ac:dyDescent="0.25">
      <c r="A43" s="8" t="s">
        <v>351</v>
      </c>
      <c r="B43" s="8" t="s">
        <v>352</v>
      </c>
      <c r="C43" s="9" t="s">
        <v>353</v>
      </c>
      <c r="D43" s="9" t="s">
        <v>217</v>
      </c>
      <c r="E43" s="9" t="s">
        <v>271</v>
      </c>
      <c r="F43" s="10">
        <v>1.359</v>
      </c>
      <c r="G43" s="10">
        <v>1.495</v>
      </c>
      <c r="H43" s="10"/>
      <c r="I43" s="9" t="s">
        <v>45</v>
      </c>
      <c r="J43" s="9" t="s">
        <v>354</v>
      </c>
      <c r="K43" s="9" t="s">
        <v>355</v>
      </c>
      <c r="L43" s="8" t="s">
        <v>356</v>
      </c>
      <c r="M43" s="9" t="s">
        <v>49</v>
      </c>
      <c r="N43" s="9" t="s">
        <v>357</v>
      </c>
      <c r="O43" s="9">
        <f>HYPERLINK("https://www.google.com/maps/search/?api=1&amp;query=36.70212269,-4.44243565", "https://www.google.com/maps/search/?api=1&amp;query=36.70212269,-4.44243565")</f>
      </c>
      <c r="P43" s="9" t="s">
        <v>133</v>
      </c>
      <c r="Q43" s="9" t="s">
        <v>358</v>
      </c>
    </row>
    <row r="44" spans="1:17" x14ac:dyDescent="0.25">
      <c r="A44" s="8" t="s">
        <v>359</v>
      </c>
      <c r="B44" s="8" t="s">
        <v>360</v>
      </c>
      <c r="C44" s="9" t="s">
        <v>361</v>
      </c>
      <c r="D44" s="9" t="s">
        <v>83</v>
      </c>
      <c r="E44" s="9" t="s">
        <v>362</v>
      </c>
      <c r="F44" s="10">
        <v>1.359</v>
      </c>
      <c r="G44" s="10">
        <v>1.495</v>
      </c>
      <c r="H44" s="10"/>
      <c r="I44" s="9" t="s">
        <v>83</v>
      </c>
      <c r="J44" s="9" t="s">
        <v>363</v>
      </c>
      <c r="K44" s="9" t="s">
        <v>364</v>
      </c>
      <c r="L44" s="8" t="s">
        <v>365</v>
      </c>
      <c r="M44" s="9" t="s">
        <v>36</v>
      </c>
      <c r="N44" s="9" t="s">
        <v>37</v>
      </c>
      <c r="O44" s="9">
        <f>HYPERLINK("https://www.google.com/maps/search/?api=1&amp;query=40.64868098,-4.00808481", "https://www.google.com/maps/search/?api=1&amp;query=40.64868098,-4.00808481")</f>
      </c>
      <c r="P44" s="9" t="s">
        <v>366</v>
      </c>
      <c r="Q44" s="9" t="s">
        <v>367</v>
      </c>
    </row>
    <row r="45" spans="1:17" x14ac:dyDescent="0.25">
      <c r="A45" s="8" t="s">
        <v>368</v>
      </c>
      <c r="B45" s="8" t="s">
        <v>369</v>
      </c>
      <c r="C45" s="9" t="s">
        <v>370</v>
      </c>
      <c r="D45" s="9" t="s">
        <v>253</v>
      </c>
      <c r="E45" s="9" t="s">
        <v>253</v>
      </c>
      <c r="F45" s="10">
        <v>1.359</v>
      </c>
      <c r="G45" s="10">
        <v>1.495</v>
      </c>
      <c r="H45" s="10"/>
      <c r="I45" s="9" t="s">
        <v>96</v>
      </c>
      <c r="J45" s="9" t="s">
        <v>371</v>
      </c>
      <c r="K45" s="9" t="s">
        <v>372</v>
      </c>
      <c r="L45" s="8" t="s">
        <v>373</v>
      </c>
      <c r="M45" s="9" t="s">
        <v>49</v>
      </c>
      <c r="N45" s="9" t="s">
        <v>357</v>
      </c>
      <c r="O45" s="9">
        <f>HYPERLINK("https://www.google.com/maps/search/?api=1&amp;query=41.1398617,1.36560793", "https://www.google.com/maps/search/?api=1&amp;query=41.1398617,1.36560793")</f>
      </c>
      <c r="P45" s="9" t="s">
        <v>374</v>
      </c>
      <c r="Q45" s="9" t="s">
        <v>375</v>
      </c>
    </row>
    <row r="46" spans="1:17" x14ac:dyDescent="0.25">
      <c r="A46" s="8" t="s">
        <v>376</v>
      </c>
      <c r="B46" s="8" t="s">
        <v>377</v>
      </c>
      <c r="C46" s="9" t="s">
        <v>378</v>
      </c>
      <c r="D46" s="9" t="s">
        <v>379</v>
      </c>
      <c r="E46" s="9" t="s">
        <v>380</v>
      </c>
      <c r="F46" s="10">
        <v>1.359</v>
      </c>
      <c r="G46" s="10">
        <v>1.495</v>
      </c>
      <c r="H46" s="10"/>
      <c r="I46" s="9" t="s">
        <v>379</v>
      </c>
      <c r="J46" s="9" t="s">
        <v>381</v>
      </c>
      <c r="K46" s="9" t="s">
        <v>382</v>
      </c>
      <c r="L46" s="8" t="s">
        <v>383</v>
      </c>
      <c r="M46" s="9" t="s">
        <v>36</v>
      </c>
      <c r="N46" s="9" t="s">
        <v>88</v>
      </c>
      <c r="O46" s="9">
        <f>HYPERLINK("https://www.google.com/maps/search/?api=1&amp;query=43.27827993,-1.71003636", "https://www.google.com/maps/search/?api=1&amp;query=43.27827993,-1.71003636")</f>
      </c>
      <c r="P46" s="9" t="s">
        <v>384</v>
      </c>
      <c r="Q46" s="9" t="s">
        <v>385</v>
      </c>
    </row>
    <row r="47" spans="1:17" x14ac:dyDescent="0.25">
      <c r="A47" s="8" t="s">
        <v>386</v>
      </c>
      <c r="B47" s="8" t="s">
        <v>387</v>
      </c>
      <c r="C47" s="9" t="s">
        <v>388</v>
      </c>
      <c r="D47" s="9" t="s">
        <v>280</v>
      </c>
      <c r="E47" s="9" t="s">
        <v>389</v>
      </c>
      <c r="F47" s="10">
        <v>1.359</v>
      </c>
      <c r="G47" s="10">
        <v>1.495</v>
      </c>
      <c r="H47" s="10"/>
      <c r="I47" s="9" t="s">
        <v>118</v>
      </c>
      <c r="J47" s="9" t="s">
        <v>390</v>
      </c>
      <c r="K47" s="9" t="s">
        <v>391</v>
      </c>
      <c r="L47" s="8" t="s">
        <v>392</v>
      </c>
      <c r="M47" s="9" t="s">
        <v>36</v>
      </c>
      <c r="N47" s="9" t="s">
        <v>37</v>
      </c>
      <c r="O47" s="9">
        <f>HYPERLINK("https://www.google.com/maps/search/?api=1&amp;query=43.11668001,-2.09280902", "https://www.google.com/maps/search/?api=1&amp;query=43.11668001,-2.09280902")</f>
      </c>
      <c r="P47" s="9" t="s">
        <v>393</v>
      </c>
      <c r="Q47" s="9" t="s">
        <v>394</v>
      </c>
    </row>
    <row r="48" spans="1:17" x14ac:dyDescent="0.25">
      <c r="A48" s="8" t="s">
        <v>395</v>
      </c>
      <c r="B48" s="8" t="s">
        <v>396</v>
      </c>
      <c r="C48" s="9" t="s">
        <v>397</v>
      </c>
      <c r="D48" s="9" t="s">
        <v>398</v>
      </c>
      <c r="E48" s="9" t="s">
        <v>399</v>
      </c>
      <c r="F48" s="10">
        <v>1.359</v>
      </c>
      <c r="G48" s="10">
        <v>1.495</v>
      </c>
      <c r="H48" s="10"/>
      <c r="I48" s="9" t="s">
        <v>400</v>
      </c>
      <c r="J48" s="9" t="s">
        <v>401</v>
      </c>
      <c r="K48" s="9" t="s">
        <v>402</v>
      </c>
      <c r="L48" s="8" t="s">
        <v>403</v>
      </c>
      <c r="M48" s="9" t="s">
        <v>49</v>
      </c>
      <c r="N48" s="9" t="s">
        <v>88</v>
      </c>
      <c r="O48" s="9">
        <f>HYPERLINK("https://www.google.com/maps/search/?api=1&amp;query=38.78192486,0.17945455", "https://www.google.com/maps/search/?api=1&amp;query=38.78192486,0.17945455")</f>
      </c>
      <c r="P48" s="9" t="s">
        <v>404</v>
      </c>
      <c r="Q48" s="9" t="s">
        <v>405</v>
      </c>
    </row>
    <row r="49" spans="1:17" x14ac:dyDescent="0.25">
      <c r="A49" s="8" t="s">
        <v>406</v>
      </c>
      <c r="B49" s="8" t="s">
        <v>407</v>
      </c>
      <c r="C49" s="9" t="s">
        <v>408</v>
      </c>
      <c r="D49" s="9" t="s">
        <v>409</v>
      </c>
      <c r="E49" s="9" t="s">
        <v>409</v>
      </c>
      <c r="F49" s="10">
        <v>1.359</v>
      </c>
      <c r="G49" s="10">
        <v>1.495</v>
      </c>
      <c r="H49" s="10"/>
      <c r="I49" s="9" t="s">
        <v>292</v>
      </c>
      <c r="J49" s="9" t="s">
        <v>410</v>
      </c>
      <c r="K49" s="9" t="s">
        <v>411</v>
      </c>
      <c r="L49" s="8" t="s">
        <v>412</v>
      </c>
      <c r="M49" s="9" t="s">
        <v>49</v>
      </c>
      <c r="N49" s="9" t="s">
        <v>88</v>
      </c>
      <c r="O49" s="9">
        <f>HYPERLINK("https://www.google.com/maps/search/?api=1&amp;query=41.64502998,-0.85770277", "https://www.google.com/maps/search/?api=1&amp;query=41.64502998,-0.85770277")</f>
      </c>
      <c r="P49" s="9" t="s">
        <v>413</v>
      </c>
      <c r="Q49" s="9" t="s">
        <v>112</v>
      </c>
    </row>
    <row r="50" spans="1:17" x14ac:dyDescent="0.25">
      <c r="A50" s="8" t="s">
        <v>414</v>
      </c>
      <c r="B50" s="8" t="s">
        <v>415</v>
      </c>
      <c r="C50" s="9" t="s">
        <v>416</v>
      </c>
      <c r="D50" s="9" t="s">
        <v>83</v>
      </c>
      <c r="E50" s="9" t="s">
        <v>362</v>
      </c>
      <c r="F50" s="10">
        <v>1.359</v>
      </c>
      <c r="G50" s="10">
        <v>1.495</v>
      </c>
      <c r="H50" s="10"/>
      <c r="I50" s="9" t="s">
        <v>83</v>
      </c>
      <c r="J50" s="9" t="s">
        <v>417</v>
      </c>
      <c r="K50" s="9" t="s">
        <v>418</v>
      </c>
      <c r="L50" s="8" t="s">
        <v>365</v>
      </c>
      <c r="M50" s="9" t="s">
        <v>49</v>
      </c>
      <c r="N50" s="9" t="s">
        <v>37</v>
      </c>
      <c r="O50" s="9">
        <f>HYPERLINK("https://www.google.com/maps/search/?api=1&amp;query=40.62606781,-4.00462438", "https://www.google.com/maps/search/?api=1&amp;query=40.62606781,-4.00462438")</f>
      </c>
      <c r="P50" s="9" t="s">
        <v>419</v>
      </c>
      <c r="Q50" s="9" t="s">
        <v>420</v>
      </c>
    </row>
    <row r="51" spans="1:17" x14ac:dyDescent="0.25">
      <c r="A51" s="8" t="s">
        <v>421</v>
      </c>
      <c r="B51" s="8" t="s">
        <v>422</v>
      </c>
      <c r="C51" s="9" t="s">
        <v>423</v>
      </c>
      <c r="D51" s="9" t="s">
        <v>424</v>
      </c>
      <c r="E51" s="9" t="s">
        <v>425</v>
      </c>
      <c r="F51" s="10">
        <v>1.359</v>
      </c>
      <c r="G51" s="10">
        <v>1.495</v>
      </c>
      <c r="H51" s="10"/>
      <c r="I51" s="9" t="s">
        <v>96</v>
      </c>
      <c r="J51" s="9" t="s">
        <v>426</v>
      </c>
      <c r="K51" s="9" t="s">
        <v>427</v>
      </c>
      <c r="L51" s="8" t="s">
        <v>428</v>
      </c>
      <c r="M51" s="9" t="s">
        <v>49</v>
      </c>
      <c r="N51" s="9" t="s">
        <v>429</v>
      </c>
      <c r="O51" s="9">
        <f>HYPERLINK("https://www.google.com/maps/search/?api=1&amp;query=42.71112461,0.79733907", "https://www.google.com/maps/search/?api=1&amp;query=42.71112461,0.79733907")</f>
      </c>
      <c r="P51" s="9" t="s">
        <v>430</v>
      </c>
      <c r="Q51" s="9" t="s">
        <v>112</v>
      </c>
    </row>
    <row r="52" spans="1:17" x14ac:dyDescent="0.25">
      <c r="A52" s="8" t="s">
        <v>431</v>
      </c>
      <c r="B52" s="8" t="s">
        <v>432</v>
      </c>
      <c r="C52" s="9" t="s">
        <v>433</v>
      </c>
      <c r="D52" s="9" t="s">
        <v>434</v>
      </c>
      <c r="E52" s="9" t="s">
        <v>435</v>
      </c>
      <c r="F52" s="10">
        <v>1.359</v>
      </c>
      <c r="G52" s="10">
        <v>1.495</v>
      </c>
      <c r="H52" s="10"/>
      <c r="I52" s="9" t="s">
        <v>96</v>
      </c>
      <c r="J52" s="9" t="s">
        <v>436</v>
      </c>
      <c r="K52" s="9" t="s">
        <v>437</v>
      </c>
      <c r="L52" s="8" t="s">
        <v>438</v>
      </c>
      <c r="M52" s="9" t="s">
        <v>36</v>
      </c>
      <c r="N52" s="9" t="s">
        <v>88</v>
      </c>
      <c r="O52" s="9">
        <f>HYPERLINK("https://www.google.com/maps/search/?api=1&amp;query=42.04528214,3.11718472", "https://www.google.com/maps/search/?api=1&amp;query=42.04528214,3.11718472")</f>
      </c>
      <c r="P52" s="9" t="s">
        <v>439</v>
      </c>
      <c r="Q52" s="9" t="s">
        <v>440</v>
      </c>
    </row>
    <row r="53" spans="1:17" x14ac:dyDescent="0.25">
      <c r="A53" s="8" t="s">
        <v>441</v>
      </c>
      <c r="B53" s="8" t="s">
        <v>442</v>
      </c>
      <c r="C53" s="9" t="s">
        <v>443</v>
      </c>
      <c r="D53" s="9" t="s">
        <v>444</v>
      </c>
      <c r="E53" s="9" t="s">
        <v>445</v>
      </c>
      <c r="F53" s="10">
        <v>1.359</v>
      </c>
      <c r="G53" s="10">
        <v>1.495</v>
      </c>
      <c r="H53" s="10"/>
      <c r="I53" s="9" t="s">
        <v>444</v>
      </c>
      <c r="J53" s="9" t="s">
        <v>446</v>
      </c>
      <c r="K53" s="9" t="s">
        <v>447</v>
      </c>
      <c r="L53" s="8" t="s">
        <v>448</v>
      </c>
      <c r="M53" s="9" t="s">
        <v>36</v>
      </c>
      <c r="N53" s="9" t="s">
        <v>211</v>
      </c>
      <c r="O53" s="9">
        <f>HYPERLINK("https://www.google.com/maps/search/?api=1&amp;query=43.53641139,-6.72458242", "https://www.google.com/maps/search/?api=1&amp;query=43.53641139,-6.72458242")</f>
      </c>
      <c r="P53" s="9" t="s">
        <v>449</v>
      </c>
      <c r="Q53" s="9" t="s">
        <v>450</v>
      </c>
    </row>
    <row r="54" spans="1:17" x14ac:dyDescent="0.25">
      <c r="A54" s="8" t="s">
        <v>451</v>
      </c>
      <c r="B54" s="8" t="s">
        <v>452</v>
      </c>
      <c r="C54" s="9" t="s">
        <v>453</v>
      </c>
      <c r="D54" s="9" t="s">
        <v>83</v>
      </c>
      <c r="E54" s="9" t="s">
        <v>454</v>
      </c>
      <c r="F54" s="10">
        <v>1.359</v>
      </c>
      <c r="G54" s="10">
        <v>1.495</v>
      </c>
      <c r="H54" s="10"/>
      <c r="I54" s="9" t="s">
        <v>83</v>
      </c>
      <c r="J54" s="9" t="s">
        <v>455</v>
      </c>
      <c r="K54" s="9" t="s">
        <v>456</v>
      </c>
      <c r="L54" s="8" t="s">
        <v>457</v>
      </c>
      <c r="M54" s="9" t="s">
        <v>49</v>
      </c>
      <c r="N54" s="9" t="s">
        <v>37</v>
      </c>
      <c r="O54" s="9">
        <f>HYPERLINK("https://www.google.com/maps/search/?api=1&amp;query=40.42701988,-3.55154144", "https://www.google.com/maps/search/?api=1&amp;query=40.42701988,-3.55154144")</f>
      </c>
      <c r="P54" s="9" t="s">
        <v>78</v>
      </c>
      <c r="Q54" s="9" t="s">
        <v>458</v>
      </c>
    </row>
    <row r="55" spans="1:17" x14ac:dyDescent="0.25">
      <c r="A55" s="8" t="s">
        <v>459</v>
      </c>
      <c r="B55" s="8" t="s">
        <v>460</v>
      </c>
      <c r="C55" s="9" t="s">
        <v>461</v>
      </c>
      <c r="D55" s="9" t="s">
        <v>83</v>
      </c>
      <c r="E55" s="9" t="s">
        <v>83</v>
      </c>
      <c r="F55" s="10">
        <v>1.359</v>
      </c>
      <c r="G55" s="10">
        <v>1.495</v>
      </c>
      <c r="H55" s="10"/>
      <c r="I55" s="9" t="s">
        <v>83</v>
      </c>
      <c r="J55" s="9" t="s">
        <v>462</v>
      </c>
      <c r="K55" s="9" t="s">
        <v>463</v>
      </c>
      <c r="L55" s="8" t="s">
        <v>464</v>
      </c>
      <c r="M55" s="9" t="s">
        <v>49</v>
      </c>
      <c r="N55" s="9" t="s">
        <v>37</v>
      </c>
      <c r="O55" s="9">
        <f>HYPERLINK("https://www.google.com/maps/search/?api=1&amp;query=40.44108404,-3.62530326", "https://www.google.com/maps/search/?api=1&amp;query=40.44108404,-3.62530326")</f>
      </c>
      <c r="P55" s="9" t="s">
        <v>465</v>
      </c>
      <c r="Q55" s="9" t="s">
        <v>213</v>
      </c>
    </row>
    <row r="56" spans="1:17" x14ac:dyDescent="0.25">
      <c r="A56" s="8" t="s">
        <v>466</v>
      </c>
      <c r="B56" s="8" t="s">
        <v>467</v>
      </c>
      <c r="C56" s="9" t="s">
        <v>468</v>
      </c>
      <c r="D56" s="9" t="s">
        <v>469</v>
      </c>
      <c r="E56" s="9" t="s">
        <v>470</v>
      </c>
      <c r="F56" s="10">
        <v>1.359</v>
      </c>
      <c r="G56" s="10">
        <v>1.495</v>
      </c>
      <c r="H56" s="10"/>
      <c r="I56" s="9" t="s">
        <v>74</v>
      </c>
      <c r="J56" s="9" t="s">
        <v>471</v>
      </c>
      <c r="K56" s="9" t="s">
        <v>472</v>
      </c>
      <c r="L56" s="8" t="s">
        <v>473</v>
      </c>
      <c r="M56" s="9" t="s">
        <v>49</v>
      </c>
      <c r="N56" s="9" t="s">
        <v>37</v>
      </c>
      <c r="O56" s="9">
        <f>HYPERLINK("https://www.google.com/maps/search/?api=1&amp;query=40.6636747,-6.43800308", "https://www.google.com/maps/search/?api=1&amp;query=40.6636747,-6.43800308")</f>
      </c>
      <c r="P56" s="9" t="s">
        <v>474</v>
      </c>
      <c r="Q56" s="9" t="s">
        <v>475</v>
      </c>
    </row>
    <row r="57" spans="1:17" x14ac:dyDescent="0.25">
      <c r="A57" s="8" t="s">
        <v>476</v>
      </c>
      <c r="B57" s="8" t="s">
        <v>477</v>
      </c>
      <c r="C57" s="9" t="s">
        <v>478</v>
      </c>
      <c r="D57" s="9" t="s">
        <v>94</v>
      </c>
      <c r="E57" s="9" t="s">
        <v>479</v>
      </c>
      <c r="F57" s="10">
        <v>1.359</v>
      </c>
      <c r="G57" s="10">
        <v>1.495</v>
      </c>
      <c r="H57" s="10"/>
      <c r="I57" s="9" t="s">
        <v>96</v>
      </c>
      <c r="J57" s="9" t="s">
        <v>480</v>
      </c>
      <c r="K57" s="9" t="s">
        <v>481</v>
      </c>
      <c r="L57" s="8" t="s">
        <v>482</v>
      </c>
      <c r="M57" s="9" t="s">
        <v>49</v>
      </c>
      <c r="N57" s="9" t="s">
        <v>483</v>
      </c>
      <c r="O57" s="9">
        <f>HYPERLINK("https://www.google.com/maps/search/?api=1&amp;query=41.48475278,1.85468239", "https://www.google.com/maps/search/?api=1&amp;query=41.48475278,1.85468239")</f>
      </c>
      <c r="P57" s="9" t="s">
        <v>240</v>
      </c>
      <c r="Q57" s="9" t="s">
        <v>484</v>
      </c>
    </row>
    <row r="58" spans="1:17" x14ac:dyDescent="0.25">
      <c r="A58" s="8" t="s">
        <v>485</v>
      </c>
      <c r="B58" s="8" t="s">
        <v>486</v>
      </c>
      <c r="C58" s="9" t="s">
        <v>487</v>
      </c>
      <c r="D58" s="9" t="s">
        <v>488</v>
      </c>
      <c r="E58" s="9" t="s">
        <v>489</v>
      </c>
      <c r="F58" s="10">
        <v>1.359</v>
      </c>
      <c r="G58" s="10">
        <v>1.495</v>
      </c>
      <c r="H58" s="10"/>
      <c r="I58" s="9" t="s">
        <v>45</v>
      </c>
      <c r="J58" s="9" t="s">
        <v>490</v>
      </c>
      <c r="K58" s="9" t="s">
        <v>491</v>
      </c>
      <c r="L58" s="8" t="s">
        <v>492</v>
      </c>
      <c r="M58" s="9" t="s">
        <v>49</v>
      </c>
      <c r="N58" s="9" t="s">
        <v>88</v>
      </c>
      <c r="O58" s="9">
        <f>HYPERLINK("https://www.google.com/maps/search/?api=1&amp;query=38.03544763,-3.29522874", "https://www.google.com/maps/search/?api=1&amp;query=38.03544763,-3.29522874")</f>
      </c>
      <c r="P58" s="9" t="s">
        <v>493</v>
      </c>
      <c r="Q58" s="9" t="s">
        <v>494</v>
      </c>
    </row>
    <row r="59" spans="1:17" x14ac:dyDescent="0.25">
      <c r="A59" s="8" t="s">
        <v>495</v>
      </c>
      <c r="B59" s="8" t="s">
        <v>496</v>
      </c>
      <c r="C59" s="9" t="s">
        <v>497</v>
      </c>
      <c r="D59" s="9" t="s">
        <v>83</v>
      </c>
      <c r="E59" s="9" t="s">
        <v>498</v>
      </c>
      <c r="F59" s="10">
        <v>1.359</v>
      </c>
      <c r="G59" s="10">
        <v>1.495</v>
      </c>
      <c r="H59" s="10"/>
      <c r="I59" s="9" t="s">
        <v>83</v>
      </c>
      <c r="J59" s="9" t="s">
        <v>499</v>
      </c>
      <c r="K59" s="9" t="s">
        <v>500</v>
      </c>
      <c r="L59" s="8" t="s">
        <v>501</v>
      </c>
      <c r="M59" s="9" t="s">
        <v>100</v>
      </c>
      <c r="N59" s="9" t="s">
        <v>37</v>
      </c>
      <c r="O59" s="9">
        <f>HYPERLINK("https://www.google.com/maps/search/?api=1&amp;query=40.25912291,-3.76105449", "https://www.google.com/maps/search/?api=1&amp;query=40.25912291,-3.76105449")</f>
      </c>
      <c r="P59" s="9" t="s">
        <v>502</v>
      </c>
      <c r="Q59" s="9" t="s">
        <v>503</v>
      </c>
    </row>
    <row r="60" spans="1:17" x14ac:dyDescent="0.25">
      <c r="A60" s="8" t="s">
        <v>504</v>
      </c>
      <c r="B60" s="8" t="s">
        <v>505</v>
      </c>
      <c r="C60" s="9" t="s">
        <v>506</v>
      </c>
      <c r="D60" s="9" t="s">
        <v>469</v>
      </c>
      <c r="E60" s="9" t="s">
        <v>507</v>
      </c>
      <c r="F60" s="10">
        <v>1.359</v>
      </c>
      <c r="G60" s="10">
        <v>1.495</v>
      </c>
      <c r="H60" s="10"/>
      <c r="I60" s="9" t="s">
        <v>74</v>
      </c>
      <c r="J60" s="9" t="s">
        <v>508</v>
      </c>
      <c r="K60" s="9" t="s">
        <v>509</v>
      </c>
      <c r="L60" s="8" t="s">
        <v>510</v>
      </c>
      <c r="M60" s="9" t="s">
        <v>36</v>
      </c>
      <c r="N60" s="9" t="s">
        <v>37</v>
      </c>
      <c r="O60" s="9">
        <f>HYPERLINK("https://www.google.com/maps/search/?api=1&amp;query=40.9391998,-5.655419", "https://www.google.com/maps/search/?api=1&amp;query=40.9391998,-5.655419")</f>
      </c>
      <c r="P60" s="9" t="s">
        <v>511</v>
      </c>
      <c r="Q60" s="9" t="s">
        <v>512</v>
      </c>
    </row>
    <row r="61" spans="1:17" x14ac:dyDescent="0.25">
      <c r="A61" s="8" t="s">
        <v>513</v>
      </c>
      <c r="B61" s="8" t="s">
        <v>514</v>
      </c>
      <c r="C61" s="9" t="s">
        <v>515</v>
      </c>
      <c r="D61" s="9" t="s">
        <v>516</v>
      </c>
      <c r="E61" s="9" t="s">
        <v>517</v>
      </c>
      <c r="F61" s="10">
        <v>1.359</v>
      </c>
      <c r="G61" s="10">
        <v>1.495</v>
      </c>
      <c r="H61" s="10"/>
      <c r="I61" s="9" t="s">
        <v>140</v>
      </c>
      <c r="J61" s="9" t="s">
        <v>518</v>
      </c>
      <c r="K61" s="9" t="s">
        <v>519</v>
      </c>
      <c r="L61" s="8" t="s">
        <v>520</v>
      </c>
      <c r="M61" s="9" t="s">
        <v>100</v>
      </c>
      <c r="N61" s="9" t="s">
        <v>211</v>
      </c>
      <c r="O61" s="9">
        <f>HYPERLINK("https://www.google.com/maps/search/?api=1&amp;query=42.99739068,-7.58754368", "https://www.google.com/maps/search/?api=1&amp;query=42.99739068,-7.58754368")</f>
      </c>
      <c r="P61" s="9" t="s">
        <v>521</v>
      </c>
      <c r="Q61" s="9" t="s">
        <v>522</v>
      </c>
    </row>
    <row r="62" spans="1:17" x14ac:dyDescent="0.25">
      <c r="A62" s="8" t="s">
        <v>523</v>
      </c>
      <c r="B62" s="8" t="s">
        <v>524</v>
      </c>
      <c r="C62" s="9" t="s">
        <v>525</v>
      </c>
      <c r="D62" s="9" t="s">
        <v>307</v>
      </c>
      <c r="E62" s="9" t="s">
        <v>526</v>
      </c>
      <c r="F62" s="10">
        <v>1.359</v>
      </c>
      <c r="G62" s="10">
        <v>1.495</v>
      </c>
      <c r="H62" s="10"/>
      <c r="I62" s="9" t="s">
        <v>74</v>
      </c>
      <c r="J62" s="9" t="s">
        <v>527</v>
      </c>
      <c r="K62" s="9" t="s">
        <v>528</v>
      </c>
      <c r="L62" s="8" t="s">
        <v>529</v>
      </c>
      <c r="M62" s="9" t="s">
        <v>49</v>
      </c>
      <c r="N62" s="9" t="s">
        <v>37</v>
      </c>
      <c r="O62" s="9">
        <f>HYPERLINK("https://www.google.com/maps/search/?api=1&amp;query=41.79881795,-5.756974", "https://www.google.com/maps/search/?api=1&amp;query=41.79881795,-5.756974")</f>
      </c>
      <c r="P62" s="9" t="s">
        <v>530</v>
      </c>
      <c r="Q62" s="9" t="s">
        <v>112</v>
      </c>
    </row>
    <row r="63" spans="1:17" x14ac:dyDescent="0.25">
      <c r="A63" s="8" t="s">
        <v>531</v>
      </c>
      <c r="B63" s="8" t="s">
        <v>532</v>
      </c>
      <c r="C63" s="9" t="s">
        <v>533</v>
      </c>
      <c r="D63" s="9" t="s">
        <v>83</v>
      </c>
      <c r="E63" s="9" t="s">
        <v>534</v>
      </c>
      <c r="F63" s="10">
        <v>1.359</v>
      </c>
      <c r="G63" s="10">
        <v>1.495</v>
      </c>
      <c r="H63" s="10"/>
      <c r="I63" s="9" t="s">
        <v>83</v>
      </c>
      <c r="J63" s="9" t="s">
        <v>535</v>
      </c>
      <c r="K63" s="9" t="s">
        <v>536</v>
      </c>
      <c r="L63" s="8" t="s">
        <v>537</v>
      </c>
      <c r="M63" s="9" t="s">
        <v>100</v>
      </c>
      <c r="N63" s="9" t="s">
        <v>88</v>
      </c>
      <c r="O63" s="9">
        <f>HYPERLINK("https://www.google.com/maps/search/?api=1&amp;query=40.23090422,-3.77609652", "https://www.google.com/maps/search/?api=1&amp;query=40.23090422,-3.77609652")</f>
      </c>
      <c r="P63" s="9" t="s">
        <v>538</v>
      </c>
      <c r="Q63" s="9" t="s">
        <v>539</v>
      </c>
    </row>
    <row r="64" spans="1:17" x14ac:dyDescent="0.25">
      <c r="A64" s="8" t="s">
        <v>540</v>
      </c>
      <c r="B64" s="8" t="s">
        <v>541</v>
      </c>
      <c r="C64" s="9" t="s">
        <v>542</v>
      </c>
      <c r="D64" s="9" t="s">
        <v>444</v>
      </c>
      <c r="E64" s="9" t="s">
        <v>543</v>
      </c>
      <c r="F64" s="10">
        <v>1.359</v>
      </c>
      <c r="G64" s="10">
        <v>1.495</v>
      </c>
      <c r="H64" s="10"/>
      <c r="I64" s="9" t="s">
        <v>444</v>
      </c>
      <c r="J64" s="9" t="s">
        <v>544</v>
      </c>
      <c r="K64" s="9" t="s">
        <v>545</v>
      </c>
      <c r="L64" s="8" t="s">
        <v>546</v>
      </c>
      <c r="M64" s="9" t="s">
        <v>36</v>
      </c>
      <c r="N64" s="9" t="s">
        <v>211</v>
      </c>
      <c r="O64" s="9">
        <f>HYPERLINK("https://www.google.com/maps/search/?api=1&amp;query=43.60824102,-5.81430309", "https://www.google.com/maps/search/?api=1&amp;query=43.60824102,-5.81430309")</f>
      </c>
      <c r="P64" s="9" t="s">
        <v>547</v>
      </c>
      <c r="Q64" s="9" t="s">
        <v>548</v>
      </c>
    </row>
    <row r="65" spans="1:17" x14ac:dyDescent="0.25">
      <c r="A65" s="8" t="s">
        <v>549</v>
      </c>
      <c r="B65" s="8" t="s">
        <v>550</v>
      </c>
      <c r="C65" s="9" t="s">
        <v>551</v>
      </c>
      <c r="D65" s="9" t="s">
        <v>400</v>
      </c>
      <c r="E65" s="9" t="s">
        <v>552</v>
      </c>
      <c r="F65" s="10">
        <v>1.359</v>
      </c>
      <c r="G65" s="10">
        <v>1.495</v>
      </c>
      <c r="H65" s="10"/>
      <c r="I65" s="9" t="s">
        <v>400</v>
      </c>
      <c r="J65" s="9" t="s">
        <v>553</v>
      </c>
      <c r="K65" s="9" t="s">
        <v>554</v>
      </c>
      <c r="L65" s="8" t="s">
        <v>555</v>
      </c>
      <c r="M65" s="9" t="s">
        <v>49</v>
      </c>
      <c r="N65" s="9" t="s">
        <v>556</v>
      </c>
      <c r="O65" s="9">
        <f>HYPERLINK("https://www.google.com/maps/search/?api=1&amp;query=39.63591553,-0.59010212", "https://www.google.com/maps/search/?api=1&amp;query=39.63591553,-0.59010212")</f>
      </c>
      <c r="P65" s="9" t="s">
        <v>557</v>
      </c>
      <c r="Q65" s="9" t="s">
        <v>286</v>
      </c>
    </row>
    <row r="66" spans="1:17" x14ac:dyDescent="0.25">
      <c r="A66" s="8" t="s">
        <v>558</v>
      </c>
      <c r="B66" s="8" t="s">
        <v>559</v>
      </c>
      <c r="C66" s="9" t="s">
        <v>560</v>
      </c>
      <c r="D66" s="9" t="s">
        <v>94</v>
      </c>
      <c r="E66" s="9" t="s">
        <v>94</v>
      </c>
      <c r="F66" s="10">
        <v>1.359</v>
      </c>
      <c r="G66" s="10">
        <v>1.495</v>
      </c>
      <c r="H66" s="10"/>
      <c r="I66" s="9" t="s">
        <v>96</v>
      </c>
      <c r="J66" s="9" t="s">
        <v>561</v>
      </c>
      <c r="K66" s="9" t="s">
        <v>562</v>
      </c>
      <c r="L66" s="8" t="s">
        <v>563</v>
      </c>
      <c r="M66" s="9" t="s">
        <v>49</v>
      </c>
      <c r="N66" s="9" t="s">
        <v>88</v>
      </c>
      <c r="O66" s="9">
        <f>HYPERLINK("https://www.google.com/maps/search/?api=1&amp;query=41.40873997,2.16166517", "https://www.google.com/maps/search/?api=1&amp;query=41.40873997,2.16166517")</f>
      </c>
      <c r="P66" s="9" t="s">
        <v>564</v>
      </c>
      <c r="Q66" s="9" t="s">
        <v>565</v>
      </c>
    </row>
    <row r="67" spans="1:17" x14ac:dyDescent="0.25">
      <c r="A67" s="8" t="s">
        <v>566</v>
      </c>
      <c r="B67" s="8" t="s">
        <v>567</v>
      </c>
      <c r="C67" s="9" t="s">
        <v>568</v>
      </c>
      <c r="D67" s="9" t="s">
        <v>398</v>
      </c>
      <c r="E67" s="9" t="s">
        <v>398</v>
      </c>
      <c r="F67" s="10">
        <v>1.359</v>
      </c>
      <c r="G67" s="10">
        <v>1.495</v>
      </c>
      <c r="H67" s="10"/>
      <c r="I67" s="9" t="s">
        <v>400</v>
      </c>
      <c r="J67" s="9" t="s">
        <v>569</v>
      </c>
      <c r="K67" s="9" t="s">
        <v>570</v>
      </c>
      <c r="L67" s="8" t="s">
        <v>571</v>
      </c>
      <c r="M67" s="9" t="s">
        <v>49</v>
      </c>
      <c r="N67" s="9" t="s">
        <v>37</v>
      </c>
      <c r="O67" s="9">
        <f>HYPERLINK("https://www.google.com/maps/search/?api=1&amp;query=38.37621268,-0.50885096", "https://www.google.com/maps/search/?api=1&amp;query=38.37621268,-0.50885096")</f>
      </c>
      <c r="P67" s="9" t="s">
        <v>572</v>
      </c>
      <c r="Q67" s="9" t="s">
        <v>573</v>
      </c>
    </row>
    <row r="68" spans="1:17" x14ac:dyDescent="0.25">
      <c r="A68" s="8" t="s">
        <v>574</v>
      </c>
      <c r="B68" s="8" t="s">
        <v>575</v>
      </c>
      <c r="C68" s="9" t="s">
        <v>576</v>
      </c>
      <c r="D68" s="9" t="s">
        <v>577</v>
      </c>
      <c r="E68" s="9" t="s">
        <v>578</v>
      </c>
      <c r="F68" s="10">
        <v>1.359</v>
      </c>
      <c r="G68" s="10">
        <v>1.495</v>
      </c>
      <c r="H68" s="10"/>
      <c r="I68" s="9" t="s">
        <v>74</v>
      </c>
      <c r="J68" s="9" t="s">
        <v>579</v>
      </c>
      <c r="K68" s="9" t="s">
        <v>580</v>
      </c>
      <c r="L68" s="8" t="s">
        <v>581</v>
      </c>
      <c r="M68" s="9" t="s">
        <v>36</v>
      </c>
      <c r="N68" s="9" t="s">
        <v>582</v>
      </c>
      <c r="O68" s="9">
        <f>HYPERLINK("https://www.google.com/maps/search/?api=1&amp;query=40.41200299,-4.77471344", "https://www.google.com/maps/search/?api=1&amp;query=40.41200299,-4.77471344")</f>
      </c>
      <c r="P68" s="9" t="s">
        <v>583</v>
      </c>
      <c r="Q68" s="9" t="s">
        <v>584</v>
      </c>
    </row>
    <row r="69" spans="1:17" x14ac:dyDescent="0.25">
      <c r="A69" s="8" t="s">
        <v>585</v>
      </c>
      <c r="B69" s="8" t="s">
        <v>586</v>
      </c>
      <c r="C69" s="9" t="s">
        <v>587</v>
      </c>
      <c r="D69" s="9" t="s">
        <v>253</v>
      </c>
      <c r="E69" s="9" t="s">
        <v>588</v>
      </c>
      <c r="F69" s="10">
        <v>1.359</v>
      </c>
      <c r="G69" s="10">
        <v>1.495</v>
      </c>
      <c r="H69" s="10"/>
      <c r="I69" s="9" t="s">
        <v>96</v>
      </c>
      <c r="J69" s="9" t="s">
        <v>589</v>
      </c>
      <c r="K69" s="9" t="s">
        <v>590</v>
      </c>
      <c r="L69" s="8" t="s">
        <v>591</v>
      </c>
      <c r="M69" s="9" t="s">
        <v>36</v>
      </c>
      <c r="N69" s="9" t="s">
        <v>592</v>
      </c>
      <c r="O69" s="9">
        <f>HYPERLINK("https://www.google.com/maps/search/?api=1&amp;query=41.4521191,1.17814511", "https://www.google.com/maps/search/?api=1&amp;query=41.4521191,1.17814511")</f>
      </c>
      <c r="P69" s="9" t="s">
        <v>296</v>
      </c>
      <c r="Q69" s="9" t="s">
        <v>593</v>
      </c>
    </row>
    <row r="70" spans="1:17" x14ac:dyDescent="0.25">
      <c r="A70" s="8" t="s">
        <v>594</v>
      </c>
      <c r="B70" s="8" t="s">
        <v>595</v>
      </c>
      <c r="C70" s="9" t="s">
        <v>596</v>
      </c>
      <c r="D70" s="9" t="s">
        <v>83</v>
      </c>
      <c r="E70" s="9" t="s">
        <v>83</v>
      </c>
      <c r="F70" s="10">
        <v>1.359</v>
      </c>
      <c r="G70" s="10">
        <v>1.495</v>
      </c>
      <c r="H70" s="10"/>
      <c r="I70" s="9" t="s">
        <v>83</v>
      </c>
      <c r="J70" s="9" t="s">
        <v>597</v>
      </c>
      <c r="K70" s="9" t="s">
        <v>598</v>
      </c>
      <c r="L70" s="8" t="s">
        <v>599</v>
      </c>
      <c r="M70" s="9" t="s">
        <v>49</v>
      </c>
      <c r="N70" s="9" t="s">
        <v>37</v>
      </c>
      <c r="O70" s="9">
        <f>HYPERLINK("https://www.google.com/maps/search/?api=1&amp;query=40.45736489,-3.65829875", "https://www.google.com/maps/search/?api=1&amp;query=40.45736489,-3.65829875")</f>
      </c>
      <c r="P70" s="9" t="s">
        <v>600</v>
      </c>
      <c r="Q70" s="9" t="s">
        <v>539</v>
      </c>
    </row>
    <row r="71" spans="1:17" x14ac:dyDescent="0.25">
      <c r="A71" s="8" t="s">
        <v>601</v>
      </c>
      <c r="B71" s="8" t="s">
        <v>602</v>
      </c>
      <c r="C71" s="9" t="s">
        <v>603</v>
      </c>
      <c r="D71" s="9" t="s">
        <v>83</v>
      </c>
      <c r="E71" s="9" t="s">
        <v>604</v>
      </c>
      <c r="F71" s="10">
        <v>1.359</v>
      </c>
      <c r="G71" s="10">
        <v>1.495</v>
      </c>
      <c r="H71" s="10"/>
      <c r="I71" s="9" t="s">
        <v>83</v>
      </c>
      <c r="J71" s="9" t="s">
        <v>605</v>
      </c>
      <c r="K71" s="9" t="s">
        <v>606</v>
      </c>
      <c r="L71" s="8" t="s">
        <v>607</v>
      </c>
      <c r="M71" s="9" t="s">
        <v>49</v>
      </c>
      <c r="N71" s="9" t="s">
        <v>88</v>
      </c>
      <c r="O71" s="9">
        <f>HYPERLINK("https://www.google.com/maps/search/?api=1&amp;query=40.3335979,-3.77441933", "https://www.google.com/maps/search/?api=1&amp;query=40.3335979,-3.77441933")</f>
      </c>
      <c r="P71" s="9" t="s">
        <v>608</v>
      </c>
      <c r="Q71" s="9" t="s">
        <v>609</v>
      </c>
    </row>
    <row r="72" spans="1:17" x14ac:dyDescent="0.25">
      <c r="A72" s="8" t="s">
        <v>610</v>
      </c>
      <c r="B72" s="8" t="s">
        <v>611</v>
      </c>
      <c r="C72" s="9" t="s">
        <v>612</v>
      </c>
      <c r="D72" s="9" t="s">
        <v>30</v>
      </c>
      <c r="E72" s="9" t="s">
        <v>613</v>
      </c>
      <c r="F72" s="10">
        <v>1.359</v>
      </c>
      <c r="G72" s="10">
        <v>1.495</v>
      </c>
      <c r="H72" s="10"/>
      <c r="I72" s="9" t="s">
        <v>32</v>
      </c>
      <c r="J72" s="9" t="s">
        <v>614</v>
      </c>
      <c r="K72" s="9" t="s">
        <v>615</v>
      </c>
      <c r="L72" s="8" t="s">
        <v>616</v>
      </c>
      <c r="M72" s="9" t="s">
        <v>49</v>
      </c>
      <c r="N72" s="9" t="s">
        <v>88</v>
      </c>
      <c r="O72" s="9">
        <f>HYPERLINK("https://www.google.com/maps/search/?api=1&amp;query=38.99353575,-5.252805", "https://www.google.com/maps/search/?api=1&amp;query=38.99353575,-5.252805")</f>
      </c>
      <c r="P72" s="9" t="s">
        <v>617</v>
      </c>
      <c r="Q72" s="9" t="s">
        <v>618</v>
      </c>
    </row>
    <row r="73" spans="1:17" x14ac:dyDescent="0.25">
      <c r="A73" s="8" t="s">
        <v>619</v>
      </c>
      <c r="B73" s="8" t="s">
        <v>620</v>
      </c>
      <c r="C73" s="9" t="s">
        <v>621</v>
      </c>
      <c r="D73" s="9" t="s">
        <v>166</v>
      </c>
      <c r="E73" s="9" t="s">
        <v>622</v>
      </c>
      <c r="F73" s="10">
        <v>1.359</v>
      </c>
      <c r="G73" s="10">
        <v>1.495</v>
      </c>
      <c r="H73" s="10"/>
      <c r="I73" s="9" t="s">
        <v>168</v>
      </c>
      <c r="J73" s="9" t="s">
        <v>623</v>
      </c>
      <c r="K73" s="9" t="s">
        <v>624</v>
      </c>
      <c r="L73" s="8" t="s">
        <v>625</v>
      </c>
      <c r="M73" s="9" t="s">
        <v>49</v>
      </c>
      <c r="N73" s="9" t="s">
        <v>88</v>
      </c>
      <c r="O73" s="9">
        <f>HYPERLINK("https://www.google.com/maps/search/?api=1&amp;query=40.57965551,-3.23580584", "https://www.google.com/maps/search/?api=1&amp;query=40.57965551,-3.23580584")</f>
      </c>
      <c r="P73" s="9" t="s">
        <v>626</v>
      </c>
      <c r="Q73" s="9" t="s">
        <v>627</v>
      </c>
    </row>
    <row r="74" spans="1:17" x14ac:dyDescent="0.25">
      <c r="A74" s="8" t="s">
        <v>628</v>
      </c>
      <c r="B74" s="8" t="s">
        <v>629</v>
      </c>
      <c r="C74" s="9" t="s">
        <v>630</v>
      </c>
      <c r="D74" s="9" t="s">
        <v>631</v>
      </c>
      <c r="E74" s="9" t="s">
        <v>632</v>
      </c>
      <c r="F74" s="10">
        <v>1.359</v>
      </c>
      <c r="G74" s="10">
        <v>1.495</v>
      </c>
      <c r="H74" s="10"/>
      <c r="I74" s="9" t="s">
        <v>45</v>
      </c>
      <c r="J74" s="9" t="s">
        <v>633</v>
      </c>
      <c r="K74" s="9" t="s">
        <v>634</v>
      </c>
      <c r="L74" s="8" t="s">
        <v>635</v>
      </c>
      <c r="M74" s="9" t="s">
        <v>36</v>
      </c>
      <c r="N74" s="9" t="s">
        <v>37</v>
      </c>
      <c r="O74" s="9">
        <f>HYPERLINK("https://www.google.com/maps/search/?api=1&amp;query=37.44043956,-4.55065442", "https://www.google.com/maps/search/?api=1&amp;query=37.44043956,-4.55065442")</f>
      </c>
      <c r="P74" s="9" t="s">
        <v>636</v>
      </c>
      <c r="Q74" s="9" t="s">
        <v>637</v>
      </c>
    </row>
    <row r="75" spans="1:17" x14ac:dyDescent="0.25">
      <c r="A75" s="8" t="s">
        <v>638</v>
      </c>
      <c r="B75" s="8" t="s">
        <v>639</v>
      </c>
      <c r="C75" s="9" t="s">
        <v>640</v>
      </c>
      <c r="D75" s="9" t="s">
        <v>61</v>
      </c>
      <c r="E75" s="9" t="s">
        <v>641</v>
      </c>
      <c r="F75" s="10">
        <v>1.359</v>
      </c>
      <c r="G75" s="10">
        <v>1.495</v>
      </c>
      <c r="H75" s="10"/>
      <c r="I75" s="9" t="s">
        <v>45</v>
      </c>
      <c r="J75" s="9" t="s">
        <v>642</v>
      </c>
      <c r="K75" s="9" t="s">
        <v>643</v>
      </c>
      <c r="L75" s="8" t="s">
        <v>644</v>
      </c>
      <c r="M75" s="9" t="s">
        <v>36</v>
      </c>
      <c r="N75" s="9" t="s">
        <v>645</v>
      </c>
      <c r="O75" s="9">
        <f>HYPERLINK("https://www.google.com/maps/search/?api=1&amp;query=37.37739862,-6.06019186", "https://www.google.com/maps/search/?api=1&amp;query=37.37739862,-6.06019186")</f>
      </c>
      <c r="P75" s="9" t="s">
        <v>646</v>
      </c>
      <c r="Q75" s="9" t="s">
        <v>647</v>
      </c>
    </row>
    <row r="76" spans="1:17" x14ac:dyDescent="0.25">
      <c r="A76" s="8" t="s">
        <v>648</v>
      </c>
      <c r="B76" s="8" t="s">
        <v>649</v>
      </c>
      <c r="C76" s="9" t="s">
        <v>650</v>
      </c>
      <c r="D76" s="9" t="s">
        <v>61</v>
      </c>
      <c r="E76" s="9" t="s">
        <v>651</v>
      </c>
      <c r="F76" s="10">
        <v>1.359</v>
      </c>
      <c r="G76" s="10">
        <v>1.495</v>
      </c>
      <c r="H76" s="10"/>
      <c r="I76" s="9" t="s">
        <v>45</v>
      </c>
      <c r="J76" s="9" t="s">
        <v>652</v>
      </c>
      <c r="K76" s="9" t="s">
        <v>653</v>
      </c>
      <c r="L76" s="8" t="s">
        <v>654</v>
      </c>
      <c r="M76" s="9" t="s">
        <v>100</v>
      </c>
      <c r="N76" s="9" t="s">
        <v>37</v>
      </c>
      <c r="O76" s="9">
        <f>HYPERLINK("https://www.google.com/maps/search/?api=1&amp;query=37.50511932,-5.44114692", "https://www.google.com/maps/search/?api=1&amp;query=37.50511932,-5.44114692")</f>
      </c>
      <c r="P76" s="9" t="s">
        <v>144</v>
      </c>
      <c r="Q76" s="9" t="s">
        <v>112</v>
      </c>
    </row>
    <row r="77" spans="1:17" x14ac:dyDescent="0.25">
      <c r="A77" s="8" t="s">
        <v>655</v>
      </c>
      <c r="B77" s="8" t="s">
        <v>656</v>
      </c>
      <c r="C77" s="9" t="s">
        <v>657</v>
      </c>
      <c r="D77" s="9" t="s">
        <v>658</v>
      </c>
      <c r="E77" s="9" t="s">
        <v>659</v>
      </c>
      <c r="F77" s="10">
        <v>1.359</v>
      </c>
      <c r="G77" s="10">
        <v>1.495</v>
      </c>
      <c r="H77" s="10"/>
      <c r="I77" s="9" t="s">
        <v>45</v>
      </c>
      <c r="J77" s="9" t="s">
        <v>660</v>
      </c>
      <c r="K77" s="9" t="s">
        <v>661</v>
      </c>
      <c r="L77" s="8" t="s">
        <v>662</v>
      </c>
      <c r="M77" s="9" t="s">
        <v>49</v>
      </c>
      <c r="N77" s="9" t="s">
        <v>88</v>
      </c>
      <c r="O77" s="9">
        <f>HYPERLINK("https://www.google.com/maps/search/?api=1&amp;query=37.16915668,-1.82417178", "https://www.google.com/maps/search/?api=1&amp;query=37.16915668,-1.82417178")</f>
      </c>
      <c r="P77" s="9" t="s">
        <v>663</v>
      </c>
      <c r="Q77" s="9" t="s">
        <v>664</v>
      </c>
    </row>
    <row r="78" spans="1:17" x14ac:dyDescent="0.25">
      <c r="A78" s="8" t="s">
        <v>665</v>
      </c>
      <c r="B78" s="8" t="s">
        <v>666</v>
      </c>
      <c r="C78" s="9" t="s">
        <v>667</v>
      </c>
      <c r="D78" s="9" t="s">
        <v>409</v>
      </c>
      <c r="E78" s="9" t="s">
        <v>668</v>
      </c>
      <c r="F78" s="10">
        <v>1.359</v>
      </c>
      <c r="G78" s="10">
        <v>1.495</v>
      </c>
      <c r="H78" s="10"/>
      <c r="I78" s="9" t="s">
        <v>292</v>
      </c>
      <c r="J78" s="9" t="s">
        <v>669</v>
      </c>
      <c r="K78" s="9" t="s">
        <v>670</v>
      </c>
      <c r="L78" s="8" t="s">
        <v>671</v>
      </c>
      <c r="M78" s="9" t="s">
        <v>36</v>
      </c>
      <c r="N78" s="9" t="s">
        <v>37</v>
      </c>
      <c r="O78" s="9">
        <f>HYPERLINK("https://www.google.com/maps/search/?api=1&amp;query=41.64069066,-0.75466301", "https://www.google.com/maps/search/?api=1&amp;query=41.64069066,-0.75466301")</f>
      </c>
      <c r="P78" s="9" t="s">
        <v>672</v>
      </c>
      <c r="Q78" s="9" t="s">
        <v>673</v>
      </c>
    </row>
    <row r="79" spans="1:17" x14ac:dyDescent="0.25">
      <c r="A79" s="8" t="s">
        <v>674</v>
      </c>
      <c r="B79" s="8" t="s">
        <v>675</v>
      </c>
      <c r="C79" s="9" t="s">
        <v>676</v>
      </c>
      <c r="D79" s="9" t="s">
        <v>83</v>
      </c>
      <c r="E79" s="9" t="s">
        <v>83</v>
      </c>
      <c r="F79" s="10">
        <v>1.359</v>
      </c>
      <c r="G79" s="10">
        <v>1.495</v>
      </c>
      <c r="H79" s="10"/>
      <c r="I79" s="9" t="s">
        <v>83</v>
      </c>
      <c r="J79" s="9" t="s">
        <v>677</v>
      </c>
      <c r="K79" s="9" t="s">
        <v>678</v>
      </c>
      <c r="L79" s="8" t="s">
        <v>679</v>
      </c>
      <c r="M79" s="9" t="s">
        <v>49</v>
      </c>
      <c r="N79" s="9" t="s">
        <v>37</v>
      </c>
      <c r="O79" s="9">
        <f>HYPERLINK("https://www.google.com/maps/search/?api=1&amp;query=40.38440449,-3.63292768", "https://www.google.com/maps/search/?api=1&amp;query=40.38440449,-3.63292768")</f>
      </c>
      <c r="P79" s="9" t="s">
        <v>680</v>
      </c>
      <c r="Q79" s="9" t="s">
        <v>681</v>
      </c>
    </row>
    <row r="80" spans="1:17" x14ac:dyDescent="0.25">
      <c r="A80" s="8" t="s">
        <v>682</v>
      </c>
      <c r="B80" s="8" t="s">
        <v>683</v>
      </c>
      <c r="C80" s="9" t="s">
        <v>684</v>
      </c>
      <c r="D80" s="9" t="s">
        <v>280</v>
      </c>
      <c r="E80" s="9" t="s">
        <v>685</v>
      </c>
      <c r="F80" s="10">
        <v>1.359</v>
      </c>
      <c r="G80" s="10">
        <v>1.495</v>
      </c>
      <c r="H80" s="10"/>
      <c r="I80" s="9" t="s">
        <v>118</v>
      </c>
      <c r="J80" s="9" t="s">
        <v>686</v>
      </c>
      <c r="K80" s="9" t="s">
        <v>687</v>
      </c>
      <c r="L80" s="8" t="s">
        <v>688</v>
      </c>
      <c r="M80" s="9" t="s">
        <v>100</v>
      </c>
      <c r="N80" s="9" t="s">
        <v>37</v>
      </c>
      <c r="O80" s="9">
        <f>HYPERLINK("https://www.google.com/maps/search/?api=1&amp;query=43.34691599,-1.78707179", "https://www.google.com/maps/search/?api=1&amp;query=43.34691599,-1.78707179")</f>
      </c>
      <c r="P80" s="9" t="s">
        <v>689</v>
      </c>
      <c r="Q80" s="9" t="s">
        <v>102</v>
      </c>
    </row>
    <row r="81" spans="1:17" x14ac:dyDescent="0.25">
      <c r="A81" s="8" t="s">
        <v>690</v>
      </c>
      <c r="B81" s="8" t="s">
        <v>691</v>
      </c>
      <c r="C81" s="9" t="s">
        <v>692</v>
      </c>
      <c r="D81" s="9" t="s">
        <v>83</v>
      </c>
      <c r="E81" s="9" t="s">
        <v>83</v>
      </c>
      <c r="F81" s="10">
        <v>1.359</v>
      </c>
      <c r="G81" s="10">
        <v>1.495</v>
      </c>
      <c r="H81" s="10"/>
      <c r="I81" s="9" t="s">
        <v>83</v>
      </c>
      <c r="J81" s="9" t="s">
        <v>693</v>
      </c>
      <c r="K81" s="9" t="s">
        <v>694</v>
      </c>
      <c r="L81" s="8" t="s">
        <v>695</v>
      </c>
      <c r="M81" s="9" t="s">
        <v>49</v>
      </c>
      <c r="N81" s="9" t="s">
        <v>37</v>
      </c>
      <c r="O81" s="9">
        <f>HYPERLINK("https://www.google.com/maps/search/?api=1&amp;query=40.45888315,-3.66738046", "https://www.google.com/maps/search/?api=1&amp;query=40.45888315,-3.66738046")</f>
      </c>
      <c r="P81" s="9" t="s">
        <v>696</v>
      </c>
      <c r="Q81" s="9" t="s">
        <v>697</v>
      </c>
    </row>
    <row r="82" spans="1:17" x14ac:dyDescent="0.25">
      <c r="A82" s="8" t="s">
        <v>698</v>
      </c>
      <c r="B82" s="8" t="s">
        <v>699</v>
      </c>
      <c r="C82" s="9" t="s">
        <v>700</v>
      </c>
      <c r="D82" s="9" t="s">
        <v>94</v>
      </c>
      <c r="E82" s="9" t="s">
        <v>701</v>
      </c>
      <c r="F82" s="10">
        <v>1.359</v>
      </c>
      <c r="G82" s="10">
        <v>1.495</v>
      </c>
      <c r="H82" s="10"/>
      <c r="I82" s="9" t="s">
        <v>96</v>
      </c>
      <c r="J82" s="9" t="s">
        <v>702</v>
      </c>
      <c r="K82" s="9" t="s">
        <v>703</v>
      </c>
      <c r="L82" s="8" t="s">
        <v>704</v>
      </c>
      <c r="M82" s="9" t="s">
        <v>36</v>
      </c>
      <c r="N82" s="9" t="s">
        <v>37</v>
      </c>
      <c r="O82" s="9">
        <f>HYPERLINK("https://www.google.com/maps/search/?api=1&amp;query=41.59465952,2.28567147", "https://www.google.com/maps/search/?api=1&amp;query=41.59465952,2.28567147")</f>
      </c>
      <c r="P82" s="9" t="s">
        <v>705</v>
      </c>
      <c r="Q82" s="9" t="s">
        <v>151</v>
      </c>
    </row>
    <row r="83" spans="1:17" x14ac:dyDescent="0.25">
      <c r="A83" s="8" t="s">
        <v>706</v>
      </c>
      <c r="B83" s="8" t="s">
        <v>707</v>
      </c>
      <c r="C83" s="9" t="s">
        <v>708</v>
      </c>
      <c r="D83" s="9" t="s">
        <v>94</v>
      </c>
      <c r="E83" s="9" t="s">
        <v>709</v>
      </c>
      <c r="F83" s="10">
        <v>1.359</v>
      </c>
      <c r="G83" s="10">
        <v>1.495</v>
      </c>
      <c r="H83" s="10"/>
      <c r="I83" s="9" t="s">
        <v>96</v>
      </c>
      <c r="J83" s="9" t="s">
        <v>710</v>
      </c>
      <c r="K83" s="9" t="s">
        <v>711</v>
      </c>
      <c r="L83" s="8" t="s">
        <v>712</v>
      </c>
      <c r="M83" s="9" t="s">
        <v>100</v>
      </c>
      <c r="N83" s="9" t="s">
        <v>88</v>
      </c>
      <c r="O83" s="9">
        <f>HYPERLINK("https://www.google.com/maps/search/?api=1&amp;query=41.63537233,2.33983017", "https://www.google.com/maps/search/?api=1&amp;query=41.63537233,2.33983017")</f>
      </c>
      <c r="P83" s="9" t="s">
        <v>713</v>
      </c>
      <c r="Q83" s="9" t="s">
        <v>714</v>
      </c>
    </row>
    <row r="84" spans="1:17" x14ac:dyDescent="0.25">
      <c r="A84" s="8" t="s">
        <v>715</v>
      </c>
      <c r="B84" s="8" t="s">
        <v>716</v>
      </c>
      <c r="C84" s="9" t="s">
        <v>717</v>
      </c>
      <c r="D84" s="9" t="s">
        <v>400</v>
      </c>
      <c r="E84" s="9" t="s">
        <v>718</v>
      </c>
      <c r="F84" s="10">
        <v>1.359</v>
      </c>
      <c r="G84" s="10">
        <v>1.495</v>
      </c>
      <c r="H84" s="10"/>
      <c r="I84" s="9" t="s">
        <v>400</v>
      </c>
      <c r="J84" s="9" t="s">
        <v>719</v>
      </c>
      <c r="K84" s="9" t="s">
        <v>720</v>
      </c>
      <c r="L84" s="8" t="s">
        <v>721</v>
      </c>
      <c r="M84" s="9" t="s">
        <v>49</v>
      </c>
      <c r="N84" s="9" t="s">
        <v>88</v>
      </c>
      <c r="O84" s="9">
        <f>HYPERLINK("https://www.google.com/maps/search/?api=1&amp;query=39.42439621,-0.3741191", "https://www.google.com/maps/search/?api=1&amp;query=39.42439621,-0.3741191")</f>
      </c>
      <c r="P84" s="9" t="s">
        <v>646</v>
      </c>
      <c r="Q84" s="9" t="s">
        <v>722</v>
      </c>
    </row>
    <row r="85" spans="1:17" x14ac:dyDescent="0.25">
      <c r="A85" s="8" t="s">
        <v>723</v>
      </c>
      <c r="B85" s="8" t="s">
        <v>724</v>
      </c>
      <c r="C85" s="9" t="s">
        <v>725</v>
      </c>
      <c r="D85" s="9" t="s">
        <v>94</v>
      </c>
      <c r="E85" s="9" t="s">
        <v>726</v>
      </c>
      <c r="F85" s="10">
        <v>1.359</v>
      </c>
      <c r="G85" s="10">
        <v>1.495</v>
      </c>
      <c r="H85" s="10"/>
      <c r="I85" s="9" t="s">
        <v>96</v>
      </c>
      <c r="J85" s="9" t="s">
        <v>727</v>
      </c>
      <c r="K85" s="9" t="s">
        <v>728</v>
      </c>
      <c r="L85" s="8" t="s">
        <v>729</v>
      </c>
      <c r="M85" s="9" t="s">
        <v>49</v>
      </c>
      <c r="N85" s="9" t="s">
        <v>730</v>
      </c>
      <c r="O85" s="9">
        <f>HYPERLINK("https://www.google.com/maps/search/?api=1&amp;query=41.34695589,2.09020723", "https://www.google.com/maps/search/?api=1&amp;query=41.34695589,2.09020723")</f>
      </c>
      <c r="P85" s="9" t="s">
        <v>78</v>
      </c>
      <c r="Q85" s="9" t="s">
        <v>731</v>
      </c>
    </row>
    <row r="86" spans="1:17" x14ac:dyDescent="0.25">
      <c r="A86" s="8" t="s">
        <v>732</v>
      </c>
      <c r="B86" s="8" t="s">
        <v>733</v>
      </c>
      <c r="C86" s="9" t="s">
        <v>734</v>
      </c>
      <c r="D86" s="9" t="s">
        <v>94</v>
      </c>
      <c r="E86" s="9" t="s">
        <v>735</v>
      </c>
      <c r="F86" s="10">
        <v>1.359</v>
      </c>
      <c r="G86" s="10">
        <v>1.495</v>
      </c>
      <c r="H86" s="10"/>
      <c r="I86" s="9" t="s">
        <v>96</v>
      </c>
      <c r="J86" s="9" t="s">
        <v>736</v>
      </c>
      <c r="K86" s="9" t="s">
        <v>737</v>
      </c>
      <c r="L86" s="8" t="s">
        <v>738</v>
      </c>
      <c r="M86" s="9" t="s">
        <v>49</v>
      </c>
      <c r="N86" s="9" t="s">
        <v>88</v>
      </c>
      <c r="O86" s="9">
        <f>HYPERLINK("https://www.google.com/maps/search/?api=1&amp;query=41.52114395,2.12973499", "https://www.google.com/maps/search/?api=1&amp;query=41.52114395,2.12973499")</f>
      </c>
      <c r="P86" s="9" t="s">
        <v>739</v>
      </c>
      <c r="Q86" s="9" t="s">
        <v>740</v>
      </c>
    </row>
    <row r="87" spans="1:17" x14ac:dyDescent="0.25">
      <c r="A87" s="8" t="s">
        <v>741</v>
      </c>
      <c r="B87" s="8" t="s">
        <v>742</v>
      </c>
      <c r="C87" s="9" t="s">
        <v>743</v>
      </c>
      <c r="D87" s="9" t="s">
        <v>83</v>
      </c>
      <c r="E87" s="9" t="s">
        <v>604</v>
      </c>
      <c r="F87" s="10">
        <v>1.359</v>
      </c>
      <c r="G87" s="10">
        <v>1.495</v>
      </c>
      <c r="H87" s="10"/>
      <c r="I87" s="9" t="s">
        <v>83</v>
      </c>
      <c r="J87" s="9" t="s">
        <v>744</v>
      </c>
      <c r="K87" s="9" t="s">
        <v>745</v>
      </c>
      <c r="L87" s="8" t="s">
        <v>746</v>
      </c>
      <c r="M87" s="9" t="s">
        <v>49</v>
      </c>
      <c r="N87" s="9" t="s">
        <v>88</v>
      </c>
      <c r="O87" s="9">
        <f>HYPERLINK("https://www.google.com/maps/search/?api=1&amp;query=40.36153783,-3.78061004", "https://www.google.com/maps/search/?api=1&amp;query=40.36153783,-3.78061004")</f>
      </c>
      <c r="P87" s="9" t="s">
        <v>689</v>
      </c>
      <c r="Q87" s="9" t="s">
        <v>286</v>
      </c>
    </row>
    <row r="88" spans="1:17" x14ac:dyDescent="0.25">
      <c r="A88" s="8" t="s">
        <v>747</v>
      </c>
      <c r="B88" s="8" t="s">
        <v>748</v>
      </c>
      <c r="C88" s="9" t="s">
        <v>749</v>
      </c>
      <c r="D88" s="9" t="s">
        <v>106</v>
      </c>
      <c r="E88" s="9" t="s">
        <v>750</v>
      </c>
      <c r="F88" s="10">
        <v>1.359</v>
      </c>
      <c r="G88" s="10">
        <v>1.495</v>
      </c>
      <c r="H88" s="10"/>
      <c r="I88" s="9" t="s">
        <v>106</v>
      </c>
      <c r="J88" s="9" t="s">
        <v>751</v>
      </c>
      <c r="K88" s="9" t="s">
        <v>752</v>
      </c>
      <c r="L88" s="8" t="s">
        <v>753</v>
      </c>
      <c r="M88" s="9" t="s">
        <v>36</v>
      </c>
      <c r="N88" s="9" t="s">
        <v>37</v>
      </c>
      <c r="O88" s="9">
        <f>HYPERLINK("https://www.google.com/maps/search/?api=1&amp;query=37.592722,-1.366028", "https://www.google.com/maps/search/?api=1&amp;query=37.592722,-1.366028")</f>
      </c>
      <c r="P88" s="9" t="s">
        <v>172</v>
      </c>
      <c r="Q88" s="9" t="s">
        <v>754</v>
      </c>
    </row>
    <row r="89" spans="1:17" x14ac:dyDescent="0.25">
      <c r="A89" s="8" t="s">
        <v>755</v>
      </c>
      <c r="B89" s="8" t="s">
        <v>756</v>
      </c>
      <c r="C89" s="9" t="s">
        <v>757</v>
      </c>
      <c r="D89" s="9" t="s">
        <v>400</v>
      </c>
      <c r="E89" s="9" t="s">
        <v>758</v>
      </c>
      <c r="F89" s="10">
        <v>1.359</v>
      </c>
      <c r="G89" s="10">
        <v>1.495</v>
      </c>
      <c r="H89" s="10"/>
      <c r="I89" s="9" t="s">
        <v>400</v>
      </c>
      <c r="J89" s="9" t="s">
        <v>759</v>
      </c>
      <c r="K89" s="9" t="s">
        <v>760</v>
      </c>
      <c r="L89" s="8" t="s">
        <v>761</v>
      </c>
      <c r="M89" s="9" t="s">
        <v>49</v>
      </c>
      <c r="N89" s="9" t="s">
        <v>556</v>
      </c>
      <c r="O89" s="9">
        <f>HYPERLINK("https://www.google.com/maps/search/?api=1&amp;query=39.45056642,-0.92966714", "https://www.google.com/maps/search/?api=1&amp;query=39.45056642,-0.92966714")</f>
      </c>
      <c r="P89" s="9" t="s">
        <v>38</v>
      </c>
      <c r="Q89" s="9" t="s">
        <v>762</v>
      </c>
    </row>
    <row r="90" spans="1:17" x14ac:dyDescent="0.25">
      <c r="A90" s="8" t="s">
        <v>763</v>
      </c>
      <c r="B90" s="8" t="s">
        <v>764</v>
      </c>
      <c r="C90" s="9" t="s">
        <v>765</v>
      </c>
      <c r="D90" s="9" t="s">
        <v>83</v>
      </c>
      <c r="E90" s="9" t="s">
        <v>766</v>
      </c>
      <c r="F90" s="10">
        <v>1.359</v>
      </c>
      <c r="G90" s="10">
        <v>1.495</v>
      </c>
      <c r="H90" s="10"/>
      <c r="I90" s="9" t="s">
        <v>83</v>
      </c>
      <c r="J90" s="9" t="s">
        <v>767</v>
      </c>
      <c r="K90" s="9" t="s">
        <v>768</v>
      </c>
      <c r="L90" s="8" t="s">
        <v>769</v>
      </c>
      <c r="M90" s="9" t="s">
        <v>49</v>
      </c>
      <c r="N90" s="9" t="s">
        <v>770</v>
      </c>
      <c r="O90" s="9">
        <f>HYPERLINK("https://www.google.com/maps/search/?api=1&amp;query=40.17101448,-3.82216504", "https://www.google.com/maps/search/?api=1&amp;query=40.17101448,-3.82216504")</f>
      </c>
      <c r="P90" s="9" t="s">
        <v>771</v>
      </c>
      <c r="Q90" s="9" t="s">
        <v>772</v>
      </c>
    </row>
    <row r="91" spans="1:17" x14ac:dyDescent="0.25">
      <c r="A91" s="8" t="s">
        <v>773</v>
      </c>
      <c r="B91" s="8" t="s">
        <v>774</v>
      </c>
      <c r="C91" s="9" t="s">
        <v>775</v>
      </c>
      <c r="D91" s="9" t="s">
        <v>488</v>
      </c>
      <c r="E91" s="9" t="s">
        <v>776</v>
      </c>
      <c r="F91" s="10">
        <v>1.359</v>
      </c>
      <c r="G91" s="10">
        <v>1.495</v>
      </c>
      <c r="H91" s="10"/>
      <c r="I91" s="9" t="s">
        <v>45</v>
      </c>
      <c r="J91" s="9" t="s">
        <v>777</v>
      </c>
      <c r="K91" s="9" t="s">
        <v>778</v>
      </c>
      <c r="L91" s="8" t="s">
        <v>779</v>
      </c>
      <c r="M91" s="9" t="s">
        <v>36</v>
      </c>
      <c r="N91" s="9" t="s">
        <v>37</v>
      </c>
      <c r="O91" s="9">
        <f>HYPERLINK("https://www.google.com/maps/search/?api=1&amp;query=38.02343336,-3.77986", "https://www.google.com/maps/search/?api=1&amp;query=38.02343336,-3.77986")</f>
      </c>
      <c r="P91" s="9" t="s">
        <v>780</v>
      </c>
      <c r="Q91" s="9" t="s">
        <v>781</v>
      </c>
    </row>
    <row r="92" spans="1:17" x14ac:dyDescent="0.25">
      <c r="A92" s="8" t="s">
        <v>782</v>
      </c>
      <c r="B92" s="8" t="s">
        <v>783</v>
      </c>
      <c r="C92" s="9" t="s">
        <v>784</v>
      </c>
      <c r="D92" s="9" t="s">
        <v>379</v>
      </c>
      <c r="E92" s="9" t="s">
        <v>785</v>
      </c>
      <c r="F92" s="10">
        <v>1.359</v>
      </c>
      <c r="G92" s="10">
        <v>1.495</v>
      </c>
      <c r="H92" s="10"/>
      <c r="I92" s="9" t="s">
        <v>379</v>
      </c>
      <c r="J92" s="9" t="s">
        <v>786</v>
      </c>
      <c r="K92" s="9" t="s">
        <v>787</v>
      </c>
      <c r="L92" s="8" t="s">
        <v>788</v>
      </c>
      <c r="M92" s="9" t="s">
        <v>36</v>
      </c>
      <c r="N92" s="9" t="s">
        <v>88</v>
      </c>
      <c r="O92" s="9">
        <f>HYPERLINK("https://www.google.com/maps/search/?api=1&amp;query=42.81723524,-1.59272217", "https://www.google.com/maps/search/?api=1&amp;query=42.81723524,-1.59272217")</f>
      </c>
      <c r="P92" s="9" t="s">
        <v>789</v>
      </c>
      <c r="Q92" s="9" t="s">
        <v>112</v>
      </c>
    </row>
    <row r="93" spans="1:17" x14ac:dyDescent="0.25">
      <c r="A93" s="8" t="s">
        <v>790</v>
      </c>
      <c r="B93" s="8" t="s">
        <v>791</v>
      </c>
      <c r="C93" s="9" t="s">
        <v>792</v>
      </c>
      <c r="D93" s="9" t="s">
        <v>61</v>
      </c>
      <c r="E93" s="9" t="s">
        <v>61</v>
      </c>
      <c r="F93" s="10">
        <v>1.359</v>
      </c>
      <c r="G93" s="10">
        <v>1.495</v>
      </c>
      <c r="H93" s="10"/>
      <c r="I93" s="9" t="s">
        <v>45</v>
      </c>
      <c r="J93" s="9" t="s">
        <v>793</v>
      </c>
      <c r="K93" s="9" t="s">
        <v>794</v>
      </c>
      <c r="L93" s="8" t="s">
        <v>795</v>
      </c>
      <c r="M93" s="9" t="s">
        <v>49</v>
      </c>
      <c r="N93" s="9" t="s">
        <v>66</v>
      </c>
      <c r="O93" s="9">
        <f>HYPERLINK("https://www.google.com/maps/search/?api=1&amp;query=37.39312983,-5.95279902", "https://www.google.com/maps/search/?api=1&amp;query=37.39312983,-5.95279902")</f>
      </c>
      <c r="P93" s="9" t="s">
        <v>404</v>
      </c>
      <c r="Q93" s="9" t="s">
        <v>297</v>
      </c>
    </row>
    <row r="94" spans="1:17" x14ac:dyDescent="0.25">
      <c r="A94" s="8" t="s">
        <v>796</v>
      </c>
      <c r="B94" s="8" t="s">
        <v>797</v>
      </c>
      <c r="C94" s="9" t="s">
        <v>798</v>
      </c>
      <c r="D94" s="9" t="s">
        <v>94</v>
      </c>
      <c r="E94" s="9" t="s">
        <v>799</v>
      </c>
      <c r="F94" s="10">
        <v>1.359</v>
      </c>
      <c r="G94" s="10">
        <v>1.495</v>
      </c>
      <c r="H94" s="10"/>
      <c r="I94" s="9" t="s">
        <v>96</v>
      </c>
      <c r="J94" s="9" t="s">
        <v>800</v>
      </c>
      <c r="K94" s="9" t="s">
        <v>801</v>
      </c>
      <c r="L94" s="8" t="s">
        <v>802</v>
      </c>
      <c r="M94" s="9" t="s">
        <v>49</v>
      </c>
      <c r="N94" s="9" t="s">
        <v>88</v>
      </c>
      <c r="O94" s="9">
        <f>HYPERLINK("https://www.google.com/maps/search/?api=1&amp;query=41.55916259,2.23171927", "https://www.google.com/maps/search/?api=1&amp;query=41.55916259,2.23171927")</f>
      </c>
      <c r="P94" s="9" t="s">
        <v>803</v>
      </c>
      <c r="Q94" s="9" t="s">
        <v>804</v>
      </c>
    </row>
    <row r="95" spans="1:17" x14ac:dyDescent="0.25">
      <c r="A95" s="8" t="s">
        <v>805</v>
      </c>
      <c r="B95" s="8" t="s">
        <v>806</v>
      </c>
      <c r="C95" s="9" t="s">
        <v>807</v>
      </c>
      <c r="D95" s="9" t="s">
        <v>808</v>
      </c>
      <c r="E95" s="9" t="s">
        <v>809</v>
      </c>
      <c r="F95" s="10">
        <v>1.359</v>
      </c>
      <c r="G95" s="10">
        <v>1.495</v>
      </c>
      <c r="H95" s="10"/>
      <c r="I95" s="9" t="s">
        <v>808</v>
      </c>
      <c r="J95" s="9" t="s">
        <v>810</v>
      </c>
      <c r="K95" s="9" t="s">
        <v>811</v>
      </c>
      <c r="L95" s="8" t="s">
        <v>812</v>
      </c>
      <c r="M95" s="9" t="s">
        <v>36</v>
      </c>
      <c r="N95" s="9" t="s">
        <v>88</v>
      </c>
      <c r="O95" s="9">
        <f>HYPERLINK("https://www.google.com/maps/search/?api=1&amp;query=43.41136649,-3.54218876", "https://www.google.com/maps/search/?api=1&amp;query=43.41136649,-3.54218876")</f>
      </c>
      <c r="P95" s="9" t="s">
        <v>813</v>
      </c>
      <c r="Q95" s="9" t="s">
        <v>814</v>
      </c>
    </row>
    <row r="96" spans="1:17" x14ac:dyDescent="0.25">
      <c r="A96" s="8" t="s">
        <v>815</v>
      </c>
      <c r="B96" s="8" t="s">
        <v>816</v>
      </c>
      <c r="C96" s="9" t="s">
        <v>817</v>
      </c>
      <c r="D96" s="9" t="s">
        <v>116</v>
      </c>
      <c r="E96" s="9" t="s">
        <v>818</v>
      </c>
      <c r="F96" s="10">
        <v>1.359</v>
      </c>
      <c r="G96" s="10">
        <v>1.495</v>
      </c>
      <c r="H96" s="10"/>
      <c r="I96" s="9" t="s">
        <v>118</v>
      </c>
      <c r="J96" s="9" t="s">
        <v>819</v>
      </c>
      <c r="K96" s="9" t="s">
        <v>820</v>
      </c>
      <c r="L96" s="8" t="s">
        <v>821</v>
      </c>
      <c r="M96" s="9" t="s">
        <v>49</v>
      </c>
      <c r="N96" s="9" t="s">
        <v>37</v>
      </c>
      <c r="O96" s="9">
        <f>HYPERLINK("https://www.google.com/maps/search/?api=1&amp;query=43.1903472,-2.89738108", "https://www.google.com/maps/search/?api=1&amp;query=43.1903472,-2.89738108")</f>
      </c>
      <c r="P96" s="9" t="s">
        <v>822</v>
      </c>
      <c r="Q96" s="9" t="s">
        <v>823</v>
      </c>
    </row>
    <row r="97" spans="1:17" x14ac:dyDescent="0.25">
      <c r="A97" s="8" t="s">
        <v>824</v>
      </c>
      <c r="B97" s="8" t="s">
        <v>825</v>
      </c>
      <c r="C97" s="9" t="s">
        <v>826</v>
      </c>
      <c r="D97" s="9" t="s">
        <v>398</v>
      </c>
      <c r="E97" s="9" t="s">
        <v>827</v>
      </c>
      <c r="F97" s="10">
        <v>1.359</v>
      </c>
      <c r="G97" s="10">
        <v>1.495</v>
      </c>
      <c r="H97" s="10"/>
      <c r="I97" s="9" t="s">
        <v>400</v>
      </c>
      <c r="J97" s="9" t="s">
        <v>828</v>
      </c>
      <c r="K97" s="9" t="s">
        <v>829</v>
      </c>
      <c r="L97" s="8" t="s">
        <v>830</v>
      </c>
      <c r="M97" s="9" t="s">
        <v>36</v>
      </c>
      <c r="N97" s="9" t="s">
        <v>88</v>
      </c>
      <c r="O97" s="9">
        <f>HYPERLINK("https://www.google.com/maps/search/?api=1&amp;query=38.27776526,-0.71622082", "https://www.google.com/maps/search/?api=1&amp;query=38.27776526,-0.71622082")</f>
      </c>
      <c r="P97" s="9" t="s">
        <v>831</v>
      </c>
      <c r="Q97" s="9" t="s">
        <v>832</v>
      </c>
    </row>
    <row r="98" spans="1:17" x14ac:dyDescent="0.25">
      <c r="A98" s="8" t="s">
        <v>833</v>
      </c>
      <c r="B98" s="8" t="s">
        <v>834</v>
      </c>
      <c r="C98" s="9" t="s">
        <v>835</v>
      </c>
      <c r="D98" s="9" t="s">
        <v>106</v>
      </c>
      <c r="E98" s="9" t="s">
        <v>836</v>
      </c>
      <c r="F98" s="10">
        <v>1.359</v>
      </c>
      <c r="G98" s="10">
        <v>1.495</v>
      </c>
      <c r="H98" s="10"/>
      <c r="I98" s="9" t="s">
        <v>106</v>
      </c>
      <c r="J98" s="9" t="s">
        <v>837</v>
      </c>
      <c r="K98" s="9" t="s">
        <v>838</v>
      </c>
      <c r="L98" s="8" t="s">
        <v>839</v>
      </c>
      <c r="M98" s="9" t="s">
        <v>49</v>
      </c>
      <c r="N98" s="9" t="s">
        <v>37</v>
      </c>
      <c r="O98" s="9">
        <f>HYPERLINK("https://www.google.com/maps/search/?api=1&amp;query=38.10259404,-1.03530145", "https://www.google.com/maps/search/?api=1&amp;query=38.10259404,-1.03530145")</f>
      </c>
      <c r="P98" s="9" t="s">
        <v>626</v>
      </c>
      <c r="Q98" s="9" t="s">
        <v>840</v>
      </c>
    </row>
    <row r="99" spans="1:17" x14ac:dyDescent="0.25">
      <c r="A99" s="8" t="s">
        <v>841</v>
      </c>
      <c r="B99" s="8" t="s">
        <v>842</v>
      </c>
      <c r="C99" s="9" t="s">
        <v>843</v>
      </c>
      <c r="D99" s="9" t="s">
        <v>444</v>
      </c>
      <c r="E99" s="9" t="s">
        <v>844</v>
      </c>
      <c r="F99" s="10">
        <v>1.359</v>
      </c>
      <c r="G99" s="10">
        <v>1.495</v>
      </c>
      <c r="H99" s="10"/>
      <c r="I99" s="9" t="s">
        <v>444</v>
      </c>
      <c r="J99" s="9" t="s">
        <v>845</v>
      </c>
      <c r="K99" s="9" t="s">
        <v>846</v>
      </c>
      <c r="L99" s="8" t="s">
        <v>847</v>
      </c>
      <c r="M99" s="9" t="s">
        <v>49</v>
      </c>
      <c r="N99" s="9" t="s">
        <v>37</v>
      </c>
      <c r="O99" s="9">
        <f>HYPERLINK("https://www.google.com/maps/search/?api=1&amp;query=43.52226828,-5.68371408", "https://www.google.com/maps/search/?api=1&amp;query=43.52226828,-5.68371408")</f>
      </c>
      <c r="P99" s="9" t="s">
        <v>848</v>
      </c>
      <c r="Q99" s="9" t="s">
        <v>772</v>
      </c>
    </row>
    <row r="100" spans="1:17" x14ac:dyDescent="0.25">
      <c r="A100" s="8" t="s">
        <v>849</v>
      </c>
      <c r="B100" s="8" t="s">
        <v>850</v>
      </c>
      <c r="C100" s="9" t="s">
        <v>851</v>
      </c>
      <c r="D100" s="9" t="s">
        <v>83</v>
      </c>
      <c r="E100" s="9" t="s">
        <v>852</v>
      </c>
      <c r="F100" s="10">
        <v>1.359</v>
      </c>
      <c r="G100" s="10">
        <v>1.495</v>
      </c>
      <c r="H100" s="10"/>
      <c r="I100" s="9" t="s">
        <v>83</v>
      </c>
      <c r="J100" s="9" t="s">
        <v>853</v>
      </c>
      <c r="K100" s="9" t="s">
        <v>854</v>
      </c>
      <c r="L100" s="8" t="s">
        <v>855</v>
      </c>
      <c r="M100" s="9" t="s">
        <v>49</v>
      </c>
      <c r="N100" s="9" t="s">
        <v>88</v>
      </c>
      <c r="O100" s="9">
        <f>HYPERLINK("https://www.google.com/maps/search/?api=1&amp;query=40.78445376,-3.68661597", "https://www.google.com/maps/search/?api=1&amp;query=40.78445376,-3.68661597")</f>
      </c>
      <c r="P100" s="9" t="s">
        <v>856</v>
      </c>
      <c r="Q100" s="9" t="s">
        <v>857</v>
      </c>
    </row>
    <row r="101" spans="1:17" x14ac:dyDescent="0.25">
      <c r="A101" s="8" t="s">
        <v>858</v>
      </c>
      <c r="B101" s="8" t="s">
        <v>859</v>
      </c>
      <c r="C101" s="9" t="s">
        <v>860</v>
      </c>
      <c r="D101" s="9" t="s">
        <v>434</v>
      </c>
      <c r="E101" s="9" t="s">
        <v>861</v>
      </c>
      <c r="F101" s="10">
        <v>1.359</v>
      </c>
      <c r="G101" s="10">
        <v>1.495</v>
      </c>
      <c r="H101" s="10"/>
      <c r="I101" s="9" t="s">
        <v>96</v>
      </c>
      <c r="J101" s="9" t="s">
        <v>862</v>
      </c>
      <c r="K101" s="9" t="s">
        <v>863</v>
      </c>
      <c r="L101" s="8" t="s">
        <v>864</v>
      </c>
      <c r="M101" s="9" t="s">
        <v>49</v>
      </c>
      <c r="N101" s="9" t="s">
        <v>88</v>
      </c>
      <c r="O101" s="9">
        <f>HYPERLINK("https://www.google.com/maps/search/?api=1&amp;query=41.85835834,3.07271832", "https://www.google.com/maps/search/?api=1&amp;query=41.85835834,3.07271832")</f>
      </c>
      <c r="P101" s="9" t="s">
        <v>865</v>
      </c>
      <c r="Q101" s="9" t="s">
        <v>124</v>
      </c>
    </row>
    <row r="102" spans="1:17" x14ac:dyDescent="0.25">
      <c r="A102" s="8" t="s">
        <v>866</v>
      </c>
      <c r="B102" s="8" t="s">
        <v>867</v>
      </c>
      <c r="C102" s="9" t="s">
        <v>868</v>
      </c>
      <c r="D102" s="9" t="s">
        <v>94</v>
      </c>
      <c r="E102" s="9" t="s">
        <v>869</v>
      </c>
      <c r="F102" s="10">
        <v>1.359</v>
      </c>
      <c r="G102" s="10">
        <v>1.495</v>
      </c>
      <c r="H102" s="10"/>
      <c r="I102" s="9" t="s">
        <v>96</v>
      </c>
      <c r="J102" s="9" t="s">
        <v>870</v>
      </c>
      <c r="K102" s="9" t="s">
        <v>871</v>
      </c>
      <c r="L102" s="8" t="s">
        <v>872</v>
      </c>
      <c r="M102" s="9" t="s">
        <v>36</v>
      </c>
      <c r="N102" s="9" t="s">
        <v>873</v>
      </c>
      <c r="O102" s="9">
        <f>HYPERLINK("https://www.google.com/maps/search/?api=1&amp;query=41.75815241,1.83999913", "https://www.google.com/maps/search/?api=1&amp;query=41.75815241,1.83999913")</f>
      </c>
      <c r="P102" s="9" t="s">
        <v>419</v>
      </c>
      <c r="Q102" s="9" t="s">
        <v>874</v>
      </c>
    </row>
    <row r="103" spans="1:17" x14ac:dyDescent="0.25">
      <c r="A103" s="8" t="s">
        <v>875</v>
      </c>
      <c r="B103" s="8" t="s">
        <v>876</v>
      </c>
      <c r="C103" s="9" t="s">
        <v>877</v>
      </c>
      <c r="D103" s="9" t="s">
        <v>72</v>
      </c>
      <c r="E103" s="9" t="s">
        <v>73</v>
      </c>
      <c r="F103" s="10">
        <v>1.359</v>
      </c>
      <c r="G103" s="10">
        <v>1.495</v>
      </c>
      <c r="H103" s="10"/>
      <c r="I103" s="9" t="s">
        <v>74</v>
      </c>
      <c r="J103" s="9" t="s">
        <v>878</v>
      </c>
      <c r="K103" s="9" t="s">
        <v>879</v>
      </c>
      <c r="L103" s="8" t="s">
        <v>77</v>
      </c>
      <c r="M103" s="9" t="s">
        <v>100</v>
      </c>
      <c r="N103" s="9" t="s">
        <v>211</v>
      </c>
      <c r="O103" s="9">
        <f>HYPERLINK("https://www.google.com/maps/search/?api=1&amp;query=41.91359934,-4.51162494", "https://www.google.com/maps/search/?api=1&amp;query=41.91359934,-4.51162494")</f>
      </c>
      <c r="P103" s="9" t="s">
        <v>880</v>
      </c>
      <c r="Q103" s="9" t="s">
        <v>881</v>
      </c>
    </row>
    <row r="104" spans="1:17" x14ac:dyDescent="0.25">
      <c r="A104" s="8" t="s">
        <v>882</v>
      </c>
      <c r="B104" s="8" t="s">
        <v>883</v>
      </c>
      <c r="C104" s="9" t="s">
        <v>884</v>
      </c>
      <c r="D104" s="9" t="s">
        <v>83</v>
      </c>
      <c r="E104" s="9" t="s">
        <v>83</v>
      </c>
      <c r="F104" s="10">
        <v>1.359</v>
      </c>
      <c r="G104" s="10">
        <v>1.495</v>
      </c>
      <c r="H104" s="10"/>
      <c r="I104" s="9" t="s">
        <v>83</v>
      </c>
      <c r="J104" s="9" t="s">
        <v>885</v>
      </c>
      <c r="K104" s="9" t="s">
        <v>886</v>
      </c>
      <c r="L104" s="8" t="s">
        <v>887</v>
      </c>
      <c r="M104" s="9" t="s">
        <v>49</v>
      </c>
      <c r="N104" s="9" t="s">
        <v>37</v>
      </c>
      <c r="O104" s="9">
        <f>HYPERLINK("https://www.google.com/maps/search/?api=1&amp;query=40.39173223,-3.6954649", "https://www.google.com/maps/search/?api=1&amp;query=40.39173223,-3.6954649")</f>
      </c>
      <c r="P104" s="9" t="s">
        <v>888</v>
      </c>
      <c r="Q104" s="9" t="s">
        <v>213</v>
      </c>
    </row>
    <row r="105" spans="1:17" x14ac:dyDescent="0.25">
      <c r="A105" s="8" t="s">
        <v>889</v>
      </c>
      <c r="B105" s="8" t="s">
        <v>890</v>
      </c>
      <c r="C105" s="9" t="s">
        <v>891</v>
      </c>
      <c r="D105" s="9" t="s">
        <v>892</v>
      </c>
      <c r="E105" s="9" t="s">
        <v>893</v>
      </c>
      <c r="F105" s="10">
        <v>1.359</v>
      </c>
      <c r="G105" s="10">
        <v>1.495</v>
      </c>
      <c r="H105" s="10"/>
      <c r="I105" s="9" t="s">
        <v>32</v>
      </c>
      <c r="J105" s="9" t="s">
        <v>894</v>
      </c>
      <c r="K105" s="9" t="s">
        <v>895</v>
      </c>
      <c r="L105" s="8" t="s">
        <v>896</v>
      </c>
      <c r="M105" s="9" t="s">
        <v>100</v>
      </c>
      <c r="N105" s="9" t="s">
        <v>88</v>
      </c>
      <c r="O105" s="9">
        <f>HYPERLINK("https://www.google.com/maps/search/?api=1&amp;query=39.89174764,-5.52458483", "https://www.google.com/maps/search/?api=1&amp;query=39.89174764,-5.52458483")</f>
      </c>
      <c r="P105" s="9" t="s">
        <v>897</v>
      </c>
      <c r="Q105" s="9" t="s">
        <v>898</v>
      </c>
    </row>
    <row r="106" spans="1:17" x14ac:dyDescent="0.25">
      <c r="A106" s="8" t="s">
        <v>899</v>
      </c>
      <c r="B106" s="8" t="s">
        <v>900</v>
      </c>
      <c r="C106" s="9" t="s">
        <v>901</v>
      </c>
      <c r="D106" s="9" t="s">
        <v>138</v>
      </c>
      <c r="E106" s="9" t="s">
        <v>902</v>
      </c>
      <c r="F106" s="10">
        <v>1.359</v>
      </c>
      <c r="G106" s="10">
        <v>1.495</v>
      </c>
      <c r="H106" s="10"/>
      <c r="I106" s="9" t="s">
        <v>140</v>
      </c>
      <c r="J106" s="9" t="s">
        <v>903</v>
      </c>
      <c r="K106" s="9" t="s">
        <v>904</v>
      </c>
      <c r="L106" s="8" t="s">
        <v>905</v>
      </c>
      <c r="M106" s="9" t="s">
        <v>49</v>
      </c>
      <c r="N106" s="9" t="s">
        <v>211</v>
      </c>
      <c r="O106" s="9">
        <f>HYPERLINK("https://www.google.com/maps/search/?api=1&amp;query=42.69384541,-8.49146694", "https://www.google.com/maps/search/?api=1&amp;query=42.69384541,-8.49146694")</f>
      </c>
      <c r="P106" s="9" t="s">
        <v>906</v>
      </c>
      <c r="Q106" s="9" t="s">
        <v>907</v>
      </c>
    </row>
    <row r="107" spans="1:17" x14ac:dyDescent="0.25">
      <c r="A107" s="8" t="s">
        <v>908</v>
      </c>
      <c r="B107" s="8" t="s">
        <v>909</v>
      </c>
      <c r="C107" s="9" t="s">
        <v>910</v>
      </c>
      <c r="D107" s="9" t="s">
        <v>516</v>
      </c>
      <c r="E107" s="9" t="s">
        <v>911</v>
      </c>
      <c r="F107" s="10">
        <v>1.359</v>
      </c>
      <c r="G107" s="10">
        <v>1.495</v>
      </c>
      <c r="H107" s="10"/>
      <c r="I107" s="9" t="s">
        <v>140</v>
      </c>
      <c r="J107" s="9" t="s">
        <v>912</v>
      </c>
      <c r="K107" s="9" t="s">
        <v>913</v>
      </c>
      <c r="L107" s="8" t="s">
        <v>914</v>
      </c>
      <c r="M107" s="9" t="s">
        <v>49</v>
      </c>
      <c r="N107" s="9" t="s">
        <v>211</v>
      </c>
      <c r="O107" s="9">
        <f>HYPERLINK("https://www.google.com/maps/search/?api=1&amp;query=43.30259353,-7.67234384", "https://www.google.com/maps/search/?api=1&amp;query=43.30259353,-7.67234384")</f>
      </c>
      <c r="P107" s="9" t="s">
        <v>915</v>
      </c>
      <c r="Q107" s="9" t="s">
        <v>297</v>
      </c>
    </row>
    <row r="108" spans="1:17" x14ac:dyDescent="0.25">
      <c r="A108" s="8" t="s">
        <v>916</v>
      </c>
      <c r="B108" s="8" t="s">
        <v>917</v>
      </c>
      <c r="C108" s="9" t="s">
        <v>918</v>
      </c>
      <c r="D108" s="9" t="s">
        <v>919</v>
      </c>
      <c r="E108" s="9" t="s">
        <v>920</v>
      </c>
      <c r="F108" s="10">
        <v>1.359</v>
      </c>
      <c r="G108" s="10">
        <v>1.495</v>
      </c>
      <c r="H108" s="10"/>
      <c r="I108" s="9" t="s">
        <v>118</v>
      </c>
      <c r="J108" s="9" t="s">
        <v>921</v>
      </c>
      <c r="K108" s="9" t="s">
        <v>922</v>
      </c>
      <c r="L108" s="8" t="s">
        <v>923</v>
      </c>
      <c r="M108" s="9" t="s">
        <v>36</v>
      </c>
      <c r="N108" s="9" t="s">
        <v>66</v>
      </c>
      <c r="O108" s="9">
        <f>HYPERLINK("https://www.google.com/maps/search/?api=1&amp;query=42.96615437,-2.87018345", "https://www.google.com/maps/search/?api=1&amp;query=42.96615437,-2.87018345")</f>
      </c>
      <c r="P108" s="9" t="s">
        <v>924</v>
      </c>
      <c r="Q108" s="9" t="s">
        <v>925</v>
      </c>
    </row>
    <row r="109" spans="1:17" x14ac:dyDescent="0.25">
      <c r="A109" s="8" t="s">
        <v>926</v>
      </c>
      <c r="B109" s="8" t="s">
        <v>927</v>
      </c>
      <c r="C109" s="9" t="s">
        <v>928</v>
      </c>
      <c r="D109" s="9" t="s">
        <v>83</v>
      </c>
      <c r="E109" s="9" t="s">
        <v>83</v>
      </c>
      <c r="F109" s="10">
        <v>1.359</v>
      </c>
      <c r="G109" s="10">
        <v>1.495</v>
      </c>
      <c r="H109" s="10"/>
      <c r="I109" s="9" t="s">
        <v>83</v>
      </c>
      <c r="J109" s="9" t="s">
        <v>929</v>
      </c>
      <c r="K109" s="9" t="s">
        <v>930</v>
      </c>
      <c r="L109" s="8" t="s">
        <v>931</v>
      </c>
      <c r="M109" s="9" t="s">
        <v>49</v>
      </c>
      <c r="N109" s="9" t="s">
        <v>66</v>
      </c>
      <c r="O109" s="9">
        <f>HYPERLINK("https://www.google.com/maps/search/?api=1&amp;query=40.37234325,-3.63863178", "https://www.google.com/maps/search/?api=1&amp;query=40.37234325,-3.63863178")</f>
      </c>
      <c r="P109" s="9" t="s">
        <v>932</v>
      </c>
      <c r="Q109" s="9" t="s">
        <v>297</v>
      </c>
    </row>
    <row r="110" spans="1:17" x14ac:dyDescent="0.25">
      <c r="A110" s="8" t="s">
        <v>933</v>
      </c>
      <c r="B110" s="8" t="s">
        <v>934</v>
      </c>
      <c r="C110" s="9" t="s">
        <v>935</v>
      </c>
      <c r="D110" s="9" t="s">
        <v>400</v>
      </c>
      <c r="E110" s="9" t="s">
        <v>936</v>
      </c>
      <c r="F110" s="10">
        <v>1.359</v>
      </c>
      <c r="G110" s="10">
        <v>1.495</v>
      </c>
      <c r="H110" s="10"/>
      <c r="I110" s="9" t="s">
        <v>400</v>
      </c>
      <c r="J110" s="9" t="s">
        <v>937</v>
      </c>
      <c r="K110" s="9" t="s">
        <v>938</v>
      </c>
      <c r="L110" s="8" t="s">
        <v>939</v>
      </c>
      <c r="M110" s="9" t="s">
        <v>36</v>
      </c>
      <c r="N110" s="9" t="s">
        <v>37</v>
      </c>
      <c r="O110" s="9">
        <f>HYPERLINK("https://www.google.com/maps/search/?api=1&amp;query=39.47558586,-0.58932182", "https://www.google.com/maps/search/?api=1&amp;query=39.47558586,-0.58932182")</f>
      </c>
      <c r="P110" s="9" t="s">
        <v>275</v>
      </c>
      <c r="Q110" s="9" t="s">
        <v>394</v>
      </c>
    </row>
    <row r="111" spans="1:17" x14ac:dyDescent="0.25">
      <c r="A111" s="8" t="s">
        <v>940</v>
      </c>
      <c r="B111" s="8" t="s">
        <v>941</v>
      </c>
      <c r="C111" s="9" t="s">
        <v>942</v>
      </c>
      <c r="D111" s="9" t="s">
        <v>253</v>
      </c>
      <c r="E111" s="9" t="s">
        <v>943</v>
      </c>
      <c r="F111" s="10">
        <v>1.359</v>
      </c>
      <c r="G111" s="10">
        <v>1.495</v>
      </c>
      <c r="H111" s="10"/>
      <c r="I111" s="9" t="s">
        <v>96</v>
      </c>
      <c r="J111" s="9" t="s">
        <v>944</v>
      </c>
      <c r="K111" s="9" t="s">
        <v>945</v>
      </c>
      <c r="L111" s="8" t="s">
        <v>946</v>
      </c>
      <c r="M111" s="9" t="s">
        <v>49</v>
      </c>
      <c r="N111" s="9" t="s">
        <v>88</v>
      </c>
      <c r="O111" s="9">
        <f>HYPERLINK("https://www.google.com/maps/search/?api=1&amp;query=41.15669085,1.09698193", "https://www.google.com/maps/search/?api=1&amp;query=41.15669085,1.09698193")</f>
      </c>
      <c r="P111" s="9" t="s">
        <v>258</v>
      </c>
      <c r="Q111" s="9" t="s">
        <v>213</v>
      </c>
    </row>
    <row r="112" spans="1:17" x14ac:dyDescent="0.25">
      <c r="A112" s="8" t="s">
        <v>947</v>
      </c>
      <c r="B112" s="8" t="s">
        <v>948</v>
      </c>
      <c r="C112" s="9" t="s">
        <v>949</v>
      </c>
      <c r="D112" s="9" t="s">
        <v>94</v>
      </c>
      <c r="E112" s="9" t="s">
        <v>950</v>
      </c>
      <c r="F112" s="10">
        <v>1.359</v>
      </c>
      <c r="G112" s="10">
        <v>1.495</v>
      </c>
      <c r="H112" s="10"/>
      <c r="I112" s="9" t="s">
        <v>96</v>
      </c>
      <c r="J112" s="9" t="s">
        <v>951</v>
      </c>
      <c r="K112" s="9" t="s">
        <v>952</v>
      </c>
      <c r="L112" s="8" t="s">
        <v>953</v>
      </c>
      <c r="M112" s="9" t="s">
        <v>49</v>
      </c>
      <c r="N112" s="9" t="s">
        <v>954</v>
      </c>
      <c r="O112" s="9">
        <f>HYPERLINK("https://www.google.com/maps/search/?api=1&amp;query=41.43122451,2.2326317", "https://www.google.com/maps/search/?api=1&amp;query=41.43122451,2.2326317")</f>
      </c>
      <c r="P112" s="9" t="s">
        <v>955</v>
      </c>
      <c r="Q112" s="9" t="s">
        <v>956</v>
      </c>
    </row>
    <row r="113" spans="1:17" x14ac:dyDescent="0.25">
      <c r="A113" s="8" t="s">
        <v>957</v>
      </c>
      <c r="B113" s="8" t="s">
        <v>958</v>
      </c>
      <c r="C113" s="9" t="s">
        <v>959</v>
      </c>
      <c r="D113" s="9" t="s">
        <v>444</v>
      </c>
      <c r="E113" s="9" t="s">
        <v>960</v>
      </c>
      <c r="F113" s="10">
        <v>1.359</v>
      </c>
      <c r="G113" s="10">
        <v>1.495</v>
      </c>
      <c r="H113" s="10"/>
      <c r="I113" s="9" t="s">
        <v>444</v>
      </c>
      <c r="J113" s="9" t="s">
        <v>961</v>
      </c>
      <c r="K113" s="9" t="s">
        <v>962</v>
      </c>
      <c r="L113" s="8" t="s">
        <v>963</v>
      </c>
      <c r="M113" s="9" t="s">
        <v>49</v>
      </c>
      <c r="N113" s="9" t="s">
        <v>964</v>
      </c>
      <c r="O113" s="9">
        <f>HYPERLINK("https://www.google.com/maps/search/?api=1&amp;query=43.38359999,-5.75473036", "https://www.google.com/maps/search/?api=1&amp;query=43.38359999,-5.75473036")</f>
      </c>
      <c r="P113" s="9" t="s">
        <v>965</v>
      </c>
      <c r="Q113" s="9" t="s">
        <v>966</v>
      </c>
    </row>
    <row r="114" spans="1:17" x14ac:dyDescent="0.25">
      <c r="A114" s="8" t="s">
        <v>967</v>
      </c>
      <c r="B114" s="8" t="s">
        <v>968</v>
      </c>
      <c r="C114" s="9" t="s">
        <v>969</v>
      </c>
      <c r="D114" s="9" t="s">
        <v>398</v>
      </c>
      <c r="E114" s="9" t="s">
        <v>970</v>
      </c>
      <c r="F114" s="10">
        <v>1.359</v>
      </c>
      <c r="G114" s="10">
        <v>1.495</v>
      </c>
      <c r="H114" s="10"/>
      <c r="I114" s="9" t="s">
        <v>400</v>
      </c>
      <c r="J114" s="9" t="s">
        <v>971</v>
      </c>
      <c r="K114" s="9" t="s">
        <v>972</v>
      </c>
      <c r="L114" s="8" t="s">
        <v>973</v>
      </c>
      <c r="M114" s="9" t="s">
        <v>49</v>
      </c>
      <c r="N114" s="9" t="s">
        <v>645</v>
      </c>
      <c r="O114" s="9">
        <f>HYPERLINK("https://www.google.com/maps/search/?api=1&amp;query=38.38624486,-0.44737394", "https://www.google.com/maps/search/?api=1&amp;query=38.38624486,-0.44737394")</f>
      </c>
      <c r="P114" s="9" t="s">
        <v>974</v>
      </c>
      <c r="Q114" s="9" t="s">
        <v>548</v>
      </c>
    </row>
    <row r="115" spans="1:17" x14ac:dyDescent="0.25">
      <c r="A115" s="8" t="s">
        <v>975</v>
      </c>
      <c r="B115" s="8" t="s">
        <v>976</v>
      </c>
      <c r="C115" s="9" t="s">
        <v>977</v>
      </c>
      <c r="D115" s="9" t="s">
        <v>83</v>
      </c>
      <c r="E115" s="9" t="s">
        <v>978</v>
      </c>
      <c r="F115" s="10">
        <v>1.359</v>
      </c>
      <c r="G115" s="10">
        <v>1.495</v>
      </c>
      <c r="H115" s="10"/>
      <c r="I115" s="9" t="s">
        <v>83</v>
      </c>
      <c r="J115" s="9" t="s">
        <v>979</v>
      </c>
      <c r="K115" s="9" t="s">
        <v>980</v>
      </c>
      <c r="L115" s="8" t="s">
        <v>981</v>
      </c>
      <c r="M115" s="9" t="s">
        <v>49</v>
      </c>
      <c r="N115" s="9" t="s">
        <v>982</v>
      </c>
      <c r="O115" s="9">
        <f>HYPERLINK("https://www.google.com/maps/search/?api=1&amp;query=40.63341199,-4.10865585", "https://www.google.com/maps/search/?api=1&amp;query=40.63341199,-4.10865585")</f>
      </c>
      <c r="P115" s="9" t="s">
        <v>983</v>
      </c>
      <c r="Q115" s="9" t="s">
        <v>984</v>
      </c>
    </row>
    <row r="116" spans="1:17" x14ac:dyDescent="0.25">
      <c r="A116" s="8" t="s">
        <v>985</v>
      </c>
      <c r="B116" s="8" t="s">
        <v>986</v>
      </c>
      <c r="C116" s="9" t="s">
        <v>987</v>
      </c>
      <c r="D116" s="9" t="s">
        <v>398</v>
      </c>
      <c r="E116" s="9" t="s">
        <v>988</v>
      </c>
      <c r="F116" s="10">
        <v>1.359</v>
      </c>
      <c r="G116" s="10">
        <v>1.495</v>
      </c>
      <c r="H116" s="10"/>
      <c r="I116" s="9" t="s">
        <v>400</v>
      </c>
      <c r="J116" s="9" t="s">
        <v>989</v>
      </c>
      <c r="K116" s="9" t="s">
        <v>990</v>
      </c>
      <c r="L116" s="8" t="s">
        <v>991</v>
      </c>
      <c r="M116" s="9" t="s">
        <v>49</v>
      </c>
      <c r="N116" s="9" t="s">
        <v>88</v>
      </c>
      <c r="O116" s="9">
        <f>HYPERLINK("https://www.google.com/maps/search/?api=1&amp;query=38.40241831,-1.04679866", "https://www.google.com/maps/search/?api=1&amp;query=38.40241831,-1.04679866")</f>
      </c>
      <c r="P116" s="9" t="s">
        <v>992</v>
      </c>
      <c r="Q116" s="9" t="s">
        <v>993</v>
      </c>
    </row>
    <row r="117" spans="1:17" x14ac:dyDescent="0.25">
      <c r="A117" s="8" t="s">
        <v>994</v>
      </c>
      <c r="B117" s="8" t="s">
        <v>995</v>
      </c>
      <c r="C117" s="9" t="s">
        <v>996</v>
      </c>
      <c r="D117" s="9" t="s">
        <v>83</v>
      </c>
      <c r="E117" s="9" t="s">
        <v>997</v>
      </c>
      <c r="F117" s="10">
        <v>1.359</v>
      </c>
      <c r="G117" s="10">
        <v>1.495</v>
      </c>
      <c r="H117" s="10"/>
      <c r="I117" s="9" t="s">
        <v>83</v>
      </c>
      <c r="J117" s="9" t="s">
        <v>998</v>
      </c>
      <c r="K117" s="9" t="s">
        <v>999</v>
      </c>
      <c r="L117" s="8" t="s">
        <v>1000</v>
      </c>
      <c r="M117" s="9" t="s">
        <v>49</v>
      </c>
      <c r="N117" s="9" t="s">
        <v>37</v>
      </c>
      <c r="O117" s="9">
        <f>HYPERLINK("https://www.google.com/maps/search/?api=1&amp;query=40.3340748,-3.88668162", "https://www.google.com/maps/search/?api=1&amp;query=40.3340748,-3.88668162")</f>
      </c>
      <c r="P117" s="9" t="s">
        <v>1001</v>
      </c>
      <c r="Q117" s="9" t="s">
        <v>1002</v>
      </c>
    </row>
    <row r="118" spans="1:17" x14ac:dyDescent="0.25">
      <c r="A118" s="8" t="s">
        <v>1003</v>
      </c>
      <c r="B118" s="8" t="s">
        <v>1004</v>
      </c>
      <c r="C118" s="9" t="s">
        <v>1005</v>
      </c>
      <c r="D118" s="9" t="s">
        <v>398</v>
      </c>
      <c r="E118" s="9" t="s">
        <v>1006</v>
      </c>
      <c r="F118" s="10">
        <v>1.359</v>
      </c>
      <c r="G118" s="10">
        <v>1.495</v>
      </c>
      <c r="H118" s="10"/>
      <c r="I118" s="9" t="s">
        <v>400</v>
      </c>
      <c r="J118" s="9" t="s">
        <v>1007</v>
      </c>
      <c r="K118" s="9" t="s">
        <v>1008</v>
      </c>
      <c r="L118" s="8" t="s">
        <v>1009</v>
      </c>
      <c r="M118" s="9" t="s">
        <v>49</v>
      </c>
      <c r="N118" s="9" t="s">
        <v>357</v>
      </c>
      <c r="O118" s="9">
        <f>HYPERLINK("https://www.google.com/maps/search/?api=1&amp;query=38.60469309,-0.04874697", "https://www.google.com/maps/search/?api=1&amp;query=38.60469309,-0.04874697")</f>
      </c>
      <c r="P118" s="9" t="s">
        <v>1010</v>
      </c>
      <c r="Q118" s="9" t="s">
        <v>1011</v>
      </c>
    </row>
    <row r="119" spans="1:17" x14ac:dyDescent="0.25">
      <c r="A119" s="8" t="s">
        <v>1012</v>
      </c>
      <c r="B119" s="8" t="s">
        <v>1013</v>
      </c>
      <c r="C119" s="9" t="s">
        <v>1014</v>
      </c>
      <c r="D119" s="9" t="s">
        <v>217</v>
      </c>
      <c r="E119" s="9" t="s">
        <v>271</v>
      </c>
      <c r="F119" s="10">
        <v>1.359</v>
      </c>
      <c r="G119" s="10">
        <v>1.495</v>
      </c>
      <c r="H119" s="10"/>
      <c r="I119" s="9" t="s">
        <v>45</v>
      </c>
      <c r="J119" s="9" t="s">
        <v>1015</v>
      </c>
      <c r="K119" s="9" t="s">
        <v>1016</v>
      </c>
      <c r="L119" s="8" t="s">
        <v>1017</v>
      </c>
      <c r="M119" s="9" t="s">
        <v>49</v>
      </c>
      <c r="N119" s="9" t="s">
        <v>1018</v>
      </c>
      <c r="O119" s="9">
        <f>HYPERLINK("https://www.google.com/maps/search/?api=1&amp;query=36.75354526,-4.42553672", "https://www.google.com/maps/search/?api=1&amp;query=36.75354526,-4.42553672")</f>
      </c>
      <c r="P119" s="9" t="s">
        <v>1019</v>
      </c>
      <c r="Q119" s="9" t="s">
        <v>134</v>
      </c>
    </row>
    <row r="120" spans="1:17" x14ac:dyDescent="0.25">
      <c r="A120" s="8" t="s">
        <v>1020</v>
      </c>
      <c r="B120" s="8" t="s">
        <v>1021</v>
      </c>
      <c r="C120" s="9" t="s">
        <v>1022</v>
      </c>
      <c r="D120" s="9" t="s">
        <v>94</v>
      </c>
      <c r="E120" s="9" t="s">
        <v>1023</v>
      </c>
      <c r="F120" s="10">
        <v>1.359</v>
      </c>
      <c r="G120" s="10">
        <v>1.495</v>
      </c>
      <c r="H120" s="10"/>
      <c r="I120" s="9" t="s">
        <v>96</v>
      </c>
      <c r="J120" s="9" t="s">
        <v>1024</v>
      </c>
      <c r="K120" s="9" t="s">
        <v>1025</v>
      </c>
      <c r="L120" s="8" t="s">
        <v>1026</v>
      </c>
      <c r="M120" s="9" t="s">
        <v>49</v>
      </c>
      <c r="N120" s="9" t="s">
        <v>37</v>
      </c>
      <c r="O120" s="9">
        <f>HYPERLINK("https://www.google.com/maps/search/?api=1&amp;query=41.4335,2.07825", "https://www.google.com/maps/search/?api=1&amp;query=41.4335,2.07825")</f>
      </c>
      <c r="P120" s="9" t="s">
        <v>924</v>
      </c>
      <c r="Q120" s="9" t="s">
        <v>1027</v>
      </c>
    </row>
    <row r="121" spans="1:17" x14ac:dyDescent="0.25">
      <c r="A121" s="8" t="s">
        <v>1028</v>
      </c>
      <c r="B121" s="8" t="s">
        <v>1029</v>
      </c>
      <c r="C121" s="9" t="s">
        <v>1030</v>
      </c>
      <c r="D121" s="9" t="s">
        <v>253</v>
      </c>
      <c r="E121" s="9" t="s">
        <v>1031</v>
      </c>
      <c r="F121" s="10">
        <v>1.359</v>
      </c>
      <c r="G121" s="10">
        <v>1.495</v>
      </c>
      <c r="H121" s="10"/>
      <c r="I121" s="9" t="s">
        <v>96</v>
      </c>
      <c r="J121" s="9" t="s">
        <v>1032</v>
      </c>
      <c r="K121" s="9" t="s">
        <v>1033</v>
      </c>
      <c r="L121" s="8" t="s">
        <v>1034</v>
      </c>
      <c r="M121" s="9" t="s">
        <v>36</v>
      </c>
      <c r="N121" s="9" t="s">
        <v>88</v>
      </c>
      <c r="O121" s="9">
        <f>HYPERLINK("https://www.google.com/maps/search/?api=1&amp;query=41.12740205,1.0156192", "https://www.google.com/maps/search/?api=1&amp;query=41.12740205,1.0156192")</f>
      </c>
      <c r="P121" s="9" t="s">
        <v>1035</v>
      </c>
      <c r="Q121" s="9" t="s">
        <v>1036</v>
      </c>
    </row>
    <row r="122" spans="1:17" x14ac:dyDescent="0.25">
      <c r="A122" s="8" t="s">
        <v>1037</v>
      </c>
      <c r="B122" s="8" t="s">
        <v>1038</v>
      </c>
      <c r="C122" s="9" t="s">
        <v>1039</v>
      </c>
      <c r="D122" s="9" t="s">
        <v>409</v>
      </c>
      <c r="E122" s="9" t="s">
        <v>1040</v>
      </c>
      <c r="F122" s="10">
        <v>1.359</v>
      </c>
      <c r="G122" s="10">
        <v>1.495</v>
      </c>
      <c r="H122" s="10"/>
      <c r="I122" s="9" t="s">
        <v>292</v>
      </c>
      <c r="J122" s="9" t="s">
        <v>1041</v>
      </c>
      <c r="K122" s="9" t="s">
        <v>1042</v>
      </c>
      <c r="L122" s="8" t="s">
        <v>1043</v>
      </c>
      <c r="M122" s="9" t="s">
        <v>36</v>
      </c>
      <c r="N122" s="9" t="s">
        <v>211</v>
      </c>
      <c r="O122" s="9">
        <f>HYPERLINK("https://www.google.com/maps/search/?api=1&amp;query=41.8345796,-1.32018992", "https://www.google.com/maps/search/?api=1&amp;query=41.8345796,-1.32018992")</f>
      </c>
      <c r="P122" s="9" t="s">
        <v>608</v>
      </c>
      <c r="Q122" s="9" t="s">
        <v>925</v>
      </c>
    </row>
    <row r="123" spans="1:17" x14ac:dyDescent="0.25">
      <c r="A123" s="8" t="s">
        <v>1044</v>
      </c>
      <c r="B123" s="8" t="s">
        <v>1045</v>
      </c>
      <c r="C123" s="9" t="s">
        <v>1046</v>
      </c>
      <c r="D123" s="9" t="s">
        <v>631</v>
      </c>
      <c r="E123" s="9" t="s">
        <v>1047</v>
      </c>
      <c r="F123" s="10">
        <v>1.359</v>
      </c>
      <c r="G123" s="10">
        <v>1.495</v>
      </c>
      <c r="H123" s="10"/>
      <c r="I123" s="9" t="s">
        <v>45</v>
      </c>
      <c r="J123" s="9" t="s">
        <v>1048</v>
      </c>
      <c r="K123" s="9" t="s">
        <v>1049</v>
      </c>
      <c r="L123" s="8" t="s">
        <v>1050</v>
      </c>
      <c r="M123" s="9" t="s">
        <v>49</v>
      </c>
      <c r="N123" s="9" t="s">
        <v>88</v>
      </c>
      <c r="O123" s="9">
        <f>HYPERLINK("https://www.google.com/maps/search/?api=1&amp;query=37.89719689,-4.76673896", "https://www.google.com/maps/search/?api=1&amp;query=37.89719689,-4.76673896")</f>
      </c>
      <c r="P123" s="9" t="s">
        <v>1051</v>
      </c>
      <c r="Q123" s="9" t="s">
        <v>102</v>
      </c>
    </row>
    <row r="124" spans="1:17" x14ac:dyDescent="0.25">
      <c r="A124" s="8" t="s">
        <v>1052</v>
      </c>
      <c r="B124" s="8" t="s">
        <v>1053</v>
      </c>
      <c r="C124" s="9" t="s">
        <v>1054</v>
      </c>
      <c r="D124" s="9" t="s">
        <v>488</v>
      </c>
      <c r="E124" s="9" t="s">
        <v>1055</v>
      </c>
      <c r="F124" s="10">
        <v>1.359</v>
      </c>
      <c r="G124" s="10">
        <v>1.495</v>
      </c>
      <c r="H124" s="10"/>
      <c r="I124" s="9" t="s">
        <v>45</v>
      </c>
      <c r="J124" s="9" t="s">
        <v>1056</v>
      </c>
      <c r="K124" s="9" t="s">
        <v>1057</v>
      </c>
      <c r="L124" s="8" t="s">
        <v>1058</v>
      </c>
      <c r="M124" s="9" t="s">
        <v>49</v>
      </c>
      <c r="N124" s="9" t="s">
        <v>88</v>
      </c>
      <c r="O124" s="9">
        <f>HYPERLINK("https://www.google.com/maps/search/?api=1&amp;query=37.99772673,-3.45755633", "https://www.google.com/maps/search/?api=1&amp;query=37.99772673,-3.45755633")</f>
      </c>
      <c r="P124" s="9" t="s">
        <v>771</v>
      </c>
      <c r="Q124" s="9" t="s">
        <v>1059</v>
      </c>
    </row>
    <row r="125" spans="1:17" x14ac:dyDescent="0.25">
      <c r="A125" s="8" t="s">
        <v>1060</v>
      </c>
      <c r="B125" s="8" t="s">
        <v>1061</v>
      </c>
      <c r="C125" s="9" t="s">
        <v>1062</v>
      </c>
      <c r="D125" s="9" t="s">
        <v>94</v>
      </c>
      <c r="E125" s="9" t="s">
        <v>1063</v>
      </c>
      <c r="F125" s="10">
        <v>1.359</v>
      </c>
      <c r="G125" s="10">
        <v>1.495</v>
      </c>
      <c r="H125" s="10"/>
      <c r="I125" s="9" t="s">
        <v>96</v>
      </c>
      <c r="J125" s="9" t="s">
        <v>1064</v>
      </c>
      <c r="K125" s="9" t="s">
        <v>1065</v>
      </c>
      <c r="L125" s="8" t="s">
        <v>1066</v>
      </c>
      <c r="M125" s="9" t="s">
        <v>49</v>
      </c>
      <c r="N125" s="9" t="s">
        <v>37</v>
      </c>
      <c r="O125" s="9">
        <f>HYPERLINK("https://www.google.com/maps/search/?api=1&amp;query=41.39358984,2.02502889", "https://www.google.com/maps/search/?api=1&amp;query=41.39358984,2.02502889")</f>
      </c>
      <c r="P125" s="9" t="s">
        <v>1067</v>
      </c>
      <c r="Q125" s="9" t="s">
        <v>1068</v>
      </c>
    </row>
    <row r="126" spans="1:17" x14ac:dyDescent="0.25">
      <c r="A126" s="8" t="s">
        <v>1069</v>
      </c>
      <c r="B126" s="8" t="s">
        <v>1070</v>
      </c>
      <c r="C126" s="9" t="s">
        <v>1071</v>
      </c>
      <c r="D126" s="9" t="s">
        <v>83</v>
      </c>
      <c r="E126" s="9" t="s">
        <v>1072</v>
      </c>
      <c r="F126" s="10">
        <v>1.359</v>
      </c>
      <c r="G126" s="10">
        <v>1.495</v>
      </c>
      <c r="H126" s="10"/>
      <c r="I126" s="9" t="s">
        <v>83</v>
      </c>
      <c r="J126" s="9" t="s">
        <v>1073</v>
      </c>
      <c r="K126" s="9" t="s">
        <v>1074</v>
      </c>
      <c r="L126" s="8" t="s">
        <v>1075</v>
      </c>
      <c r="M126" s="9" t="s">
        <v>49</v>
      </c>
      <c r="N126" s="9" t="s">
        <v>88</v>
      </c>
      <c r="O126" s="9">
        <f>HYPERLINK("https://www.google.com/maps/search/?api=1&amp;query=40.61308409,-3.70074588", "https://www.google.com/maps/search/?api=1&amp;query=40.61308409,-3.70074588")</f>
      </c>
      <c r="P126" s="9" t="s">
        <v>924</v>
      </c>
      <c r="Q126" s="9" t="s">
        <v>1076</v>
      </c>
    </row>
    <row r="127" spans="1:17" x14ac:dyDescent="0.25">
      <c r="A127" s="8" t="s">
        <v>1077</v>
      </c>
      <c r="B127" s="8" t="s">
        <v>1078</v>
      </c>
      <c r="C127" s="9" t="s">
        <v>1079</v>
      </c>
      <c r="D127" s="9" t="s">
        <v>197</v>
      </c>
      <c r="E127" s="9" t="s">
        <v>1080</v>
      </c>
      <c r="F127" s="10">
        <v>1.359</v>
      </c>
      <c r="G127" s="10">
        <v>1.495</v>
      </c>
      <c r="H127" s="10"/>
      <c r="I127" s="9" t="s">
        <v>168</v>
      </c>
      <c r="J127" s="9" t="s">
        <v>1081</v>
      </c>
      <c r="K127" s="9" t="s">
        <v>1082</v>
      </c>
      <c r="L127" s="8" t="s">
        <v>1083</v>
      </c>
      <c r="M127" s="9" t="s">
        <v>49</v>
      </c>
      <c r="N127" s="9" t="s">
        <v>88</v>
      </c>
      <c r="O127" s="9">
        <f>HYPERLINK("https://www.google.com/maps/search/?api=1&amp;query=39.69320061,-3.83567864", "https://www.google.com/maps/search/?api=1&amp;query=39.69320061,-3.83567864")</f>
      </c>
      <c r="P127" s="9" t="s">
        <v>172</v>
      </c>
      <c r="Q127" s="9" t="s">
        <v>1084</v>
      </c>
    </row>
    <row r="128" spans="1:17" x14ac:dyDescent="0.25">
      <c r="A128" s="8" t="s">
        <v>1085</v>
      </c>
      <c r="B128" s="8" t="s">
        <v>1086</v>
      </c>
      <c r="C128" s="9" t="s">
        <v>1087</v>
      </c>
      <c r="D128" s="9" t="s">
        <v>177</v>
      </c>
      <c r="E128" s="9" t="s">
        <v>1088</v>
      </c>
      <c r="F128" s="10">
        <v>1.359</v>
      </c>
      <c r="G128" s="10">
        <v>1.495</v>
      </c>
      <c r="H128" s="10"/>
      <c r="I128" s="9" t="s">
        <v>74</v>
      </c>
      <c r="J128" s="9" t="s">
        <v>1089</v>
      </c>
      <c r="K128" s="9" t="s">
        <v>1090</v>
      </c>
      <c r="L128" s="8" t="s">
        <v>1091</v>
      </c>
      <c r="M128" s="9" t="s">
        <v>36</v>
      </c>
      <c r="N128" s="9" t="s">
        <v>211</v>
      </c>
      <c r="O128" s="9">
        <f>HYPERLINK("https://www.google.com/maps/search/?api=1&amp;query=41.35913591,-4.53986074", "https://www.google.com/maps/search/?api=1&amp;query=41.35913591,-4.53986074")</f>
      </c>
      <c r="P128" s="9" t="s">
        <v>880</v>
      </c>
      <c r="Q128" s="9" t="s">
        <v>1092</v>
      </c>
    </row>
    <row r="129" spans="1:17" x14ac:dyDescent="0.25">
      <c r="A129" s="8" t="s">
        <v>1093</v>
      </c>
      <c r="B129" s="8" t="s">
        <v>1094</v>
      </c>
      <c r="C129" s="9" t="s">
        <v>1095</v>
      </c>
      <c r="D129" s="9" t="s">
        <v>106</v>
      </c>
      <c r="E129" s="9" t="s">
        <v>1096</v>
      </c>
      <c r="F129" s="10">
        <v>1.359</v>
      </c>
      <c r="G129" s="10">
        <v>1.495</v>
      </c>
      <c r="H129" s="10"/>
      <c r="I129" s="9" t="s">
        <v>106</v>
      </c>
      <c r="J129" s="9" t="s">
        <v>1097</v>
      </c>
      <c r="K129" s="9" t="s">
        <v>1098</v>
      </c>
      <c r="L129" s="8" t="s">
        <v>1099</v>
      </c>
      <c r="M129" s="9" t="s">
        <v>49</v>
      </c>
      <c r="N129" s="9" t="s">
        <v>37</v>
      </c>
      <c r="O129" s="9">
        <f>HYPERLINK("https://www.google.com/maps/search/?api=1&amp;query=38.24848739,-1.42696158", "https://www.google.com/maps/search/?api=1&amp;query=38.24848739,-1.42696158")</f>
      </c>
      <c r="P129" s="9" t="s">
        <v>1100</v>
      </c>
      <c r="Q129" s="9" t="s">
        <v>1101</v>
      </c>
    </row>
    <row r="130" spans="1:17" x14ac:dyDescent="0.25">
      <c r="A130" s="8" t="s">
        <v>1102</v>
      </c>
      <c r="B130" s="8" t="s">
        <v>1103</v>
      </c>
      <c r="C130" s="9" t="s">
        <v>1104</v>
      </c>
      <c r="D130" s="9" t="s">
        <v>919</v>
      </c>
      <c r="E130" s="9" t="s">
        <v>1105</v>
      </c>
      <c r="F130" s="10">
        <v>1.359</v>
      </c>
      <c r="G130" s="10">
        <v>1.495</v>
      </c>
      <c r="H130" s="10"/>
      <c r="I130" s="9" t="s">
        <v>118</v>
      </c>
      <c r="J130" s="9" t="s">
        <v>1106</v>
      </c>
      <c r="K130" s="9" t="s">
        <v>1107</v>
      </c>
      <c r="L130" s="8" t="s">
        <v>1108</v>
      </c>
      <c r="M130" s="9" t="s">
        <v>36</v>
      </c>
      <c r="N130" s="9" t="s">
        <v>37</v>
      </c>
      <c r="O130" s="9">
        <f>HYPERLINK("https://www.google.com/maps/search/?api=1&amp;query=42.74159587,-2.91315592", "https://www.google.com/maps/search/?api=1&amp;query=42.74159587,-2.91315592")</f>
      </c>
      <c r="P130" s="9" t="s">
        <v>564</v>
      </c>
      <c r="Q130" s="9" t="s">
        <v>925</v>
      </c>
    </row>
    <row r="131" spans="1:17" x14ac:dyDescent="0.25">
      <c r="A131" s="8" t="s">
        <v>1109</v>
      </c>
      <c r="B131" s="8" t="s">
        <v>1110</v>
      </c>
      <c r="C131" s="9" t="s">
        <v>1111</v>
      </c>
      <c r="D131" s="9" t="s">
        <v>30</v>
      </c>
      <c r="E131" s="9" t="s">
        <v>31</v>
      </c>
      <c r="F131" s="10">
        <v>1.359</v>
      </c>
      <c r="G131" s="10">
        <v>1.495</v>
      </c>
      <c r="H131" s="10"/>
      <c r="I131" s="9" t="s">
        <v>32</v>
      </c>
      <c r="J131" s="9" t="s">
        <v>1112</v>
      </c>
      <c r="K131" s="9" t="s">
        <v>1113</v>
      </c>
      <c r="L131" s="8" t="s">
        <v>35</v>
      </c>
      <c r="M131" s="9" t="s">
        <v>36</v>
      </c>
      <c r="N131" s="9" t="s">
        <v>211</v>
      </c>
      <c r="O131" s="9">
        <f>HYPERLINK("https://www.google.com/maps/search/?api=1&amp;query=38.08390737,-6.26849969", "https://www.google.com/maps/search/?api=1&amp;query=38.08390737,-6.26849969")</f>
      </c>
      <c r="P131" s="9" t="s">
        <v>266</v>
      </c>
      <c r="Q131" s="9" t="s">
        <v>1114</v>
      </c>
    </row>
    <row r="132" spans="1:17" x14ac:dyDescent="0.25">
      <c r="A132" s="8" t="s">
        <v>1115</v>
      </c>
      <c r="B132" s="8" t="s">
        <v>1116</v>
      </c>
      <c r="C132" s="9" t="s">
        <v>1117</v>
      </c>
      <c r="D132" s="9" t="s">
        <v>177</v>
      </c>
      <c r="E132" s="9" t="s">
        <v>177</v>
      </c>
      <c r="F132" s="10">
        <v>1.359</v>
      </c>
      <c r="G132" s="10">
        <v>1.495</v>
      </c>
      <c r="H132" s="10"/>
      <c r="I132" s="9" t="s">
        <v>74</v>
      </c>
      <c r="J132" s="9" t="s">
        <v>1118</v>
      </c>
      <c r="K132" s="9" t="s">
        <v>1119</v>
      </c>
      <c r="L132" s="8" t="s">
        <v>1120</v>
      </c>
      <c r="M132" s="9" t="s">
        <v>49</v>
      </c>
      <c r="N132" s="9" t="s">
        <v>211</v>
      </c>
      <c r="O132" s="9">
        <f>HYPERLINK("https://www.google.com/maps/search/?api=1&amp;query=41.62751469,-4.76020689", "https://www.google.com/maps/search/?api=1&amp;query=41.62751469,-4.76020689")</f>
      </c>
      <c r="P132" s="9" t="s">
        <v>1121</v>
      </c>
      <c r="Q132" s="9" t="s">
        <v>1122</v>
      </c>
    </row>
    <row r="133" spans="1:17" x14ac:dyDescent="0.25">
      <c r="A133" s="8" t="s">
        <v>1123</v>
      </c>
      <c r="B133" s="8" t="s">
        <v>1124</v>
      </c>
      <c r="C133" s="9" t="s">
        <v>1125</v>
      </c>
      <c r="D133" s="9" t="s">
        <v>379</v>
      </c>
      <c r="E133" s="9" t="s">
        <v>1126</v>
      </c>
      <c r="F133" s="10">
        <v>1.359</v>
      </c>
      <c r="G133" s="10">
        <v>1.495</v>
      </c>
      <c r="H133" s="10"/>
      <c r="I133" s="9" t="s">
        <v>379</v>
      </c>
      <c r="J133" s="9" t="s">
        <v>1127</v>
      </c>
      <c r="K133" s="9" t="s">
        <v>1128</v>
      </c>
      <c r="L133" s="8" t="s">
        <v>1129</v>
      </c>
      <c r="M133" s="9" t="s">
        <v>36</v>
      </c>
      <c r="N133" s="9" t="s">
        <v>1130</v>
      </c>
      <c r="O133" s="9">
        <f>HYPERLINK("https://www.google.com/maps/search/?api=1&amp;query=42.77094756,-2.13058274", "https://www.google.com/maps/search/?api=1&amp;query=42.77094756,-2.13058274")</f>
      </c>
      <c r="P133" s="9" t="s">
        <v>583</v>
      </c>
      <c r="Q133" s="9" t="s">
        <v>1131</v>
      </c>
    </row>
    <row r="134" spans="1:17" x14ac:dyDescent="0.25">
      <c r="A134" s="8" t="s">
        <v>1132</v>
      </c>
      <c r="B134" s="8" t="s">
        <v>1133</v>
      </c>
      <c r="C134" s="9" t="s">
        <v>1134</v>
      </c>
      <c r="D134" s="9" t="s">
        <v>83</v>
      </c>
      <c r="E134" s="9" t="s">
        <v>1135</v>
      </c>
      <c r="F134" s="10">
        <v>1.359</v>
      </c>
      <c r="G134" s="10">
        <v>1.495</v>
      </c>
      <c r="H134" s="10"/>
      <c r="I134" s="9" t="s">
        <v>83</v>
      </c>
      <c r="J134" s="9" t="s">
        <v>1136</v>
      </c>
      <c r="K134" s="9" t="s">
        <v>1137</v>
      </c>
      <c r="L134" s="8" t="s">
        <v>1138</v>
      </c>
      <c r="M134" s="9" t="s">
        <v>36</v>
      </c>
      <c r="N134" s="9" t="s">
        <v>37</v>
      </c>
      <c r="O134" s="9">
        <f>HYPERLINK("https://www.google.com/maps/search/?api=1&amp;query=40.42855172,-3.8109352", "https://www.google.com/maps/search/?api=1&amp;query=40.42855172,-3.8109352")</f>
      </c>
      <c r="P134" s="9" t="s">
        <v>1139</v>
      </c>
      <c r="Q134" s="9" t="s">
        <v>1140</v>
      </c>
    </row>
    <row r="135" spans="1:17" x14ac:dyDescent="0.25">
      <c r="A135" s="8" t="s">
        <v>1141</v>
      </c>
      <c r="B135" s="8" t="s">
        <v>1142</v>
      </c>
      <c r="C135" s="9" t="s">
        <v>1143</v>
      </c>
      <c r="D135" s="9" t="s">
        <v>217</v>
      </c>
      <c r="E135" s="9" t="s">
        <v>1144</v>
      </c>
      <c r="F135" s="10">
        <v>1.359</v>
      </c>
      <c r="G135" s="10">
        <v>1.495</v>
      </c>
      <c r="H135" s="10"/>
      <c r="I135" s="9" t="s">
        <v>45</v>
      </c>
      <c r="J135" s="9" t="s">
        <v>1145</v>
      </c>
      <c r="K135" s="9" t="s">
        <v>1146</v>
      </c>
      <c r="L135" s="8" t="s">
        <v>1147</v>
      </c>
      <c r="M135" s="9" t="s">
        <v>49</v>
      </c>
      <c r="N135" s="9" t="s">
        <v>88</v>
      </c>
      <c r="O135" s="9">
        <f>HYPERLINK("https://www.google.com/maps/search/?api=1&amp;query=36.76069479,-4.10487951", "https://www.google.com/maps/search/?api=1&amp;query=36.76069479,-4.10487951")</f>
      </c>
      <c r="P135" s="9" t="s">
        <v>1148</v>
      </c>
      <c r="Q135" s="9" t="s">
        <v>276</v>
      </c>
    </row>
    <row r="136" spans="1:17" x14ac:dyDescent="0.25">
      <c r="A136" s="8" t="s">
        <v>1149</v>
      </c>
      <c r="B136" s="8" t="s">
        <v>1150</v>
      </c>
      <c r="C136" s="9" t="s">
        <v>1151</v>
      </c>
      <c r="D136" s="9" t="s">
        <v>83</v>
      </c>
      <c r="E136" s="9" t="s">
        <v>83</v>
      </c>
      <c r="F136" s="10">
        <v>1.359</v>
      </c>
      <c r="G136" s="10">
        <v>1.495</v>
      </c>
      <c r="H136" s="10"/>
      <c r="I136" s="9" t="s">
        <v>83</v>
      </c>
      <c r="J136" s="9" t="s">
        <v>1152</v>
      </c>
      <c r="K136" s="9" t="s">
        <v>1153</v>
      </c>
      <c r="L136" s="8" t="s">
        <v>1154</v>
      </c>
      <c r="M136" s="9" t="s">
        <v>49</v>
      </c>
      <c r="N136" s="9" t="s">
        <v>37</v>
      </c>
      <c r="O136" s="9">
        <f>HYPERLINK("https://www.google.com/maps/search/?api=1&amp;query=40.424806,-3.611222", "https://www.google.com/maps/search/?api=1&amp;query=40.424806,-3.611222")</f>
      </c>
      <c r="P136" s="9" t="s">
        <v>924</v>
      </c>
      <c r="Q136" s="9" t="s">
        <v>512</v>
      </c>
    </row>
    <row r="137" spans="1:17" x14ac:dyDescent="0.25">
      <c r="A137" s="8" t="s">
        <v>1155</v>
      </c>
      <c r="B137" s="8" t="s">
        <v>1156</v>
      </c>
      <c r="C137" s="9" t="s">
        <v>1157</v>
      </c>
      <c r="D137" s="9" t="s">
        <v>116</v>
      </c>
      <c r="E137" s="9" t="s">
        <v>1158</v>
      </c>
      <c r="F137" s="10">
        <v>1.359</v>
      </c>
      <c r="G137" s="10">
        <v>1.495</v>
      </c>
      <c r="H137" s="10"/>
      <c r="I137" s="9" t="s">
        <v>118</v>
      </c>
      <c r="J137" s="9" t="s">
        <v>1159</v>
      </c>
      <c r="K137" s="9" t="s">
        <v>1160</v>
      </c>
      <c r="L137" s="8" t="s">
        <v>1161</v>
      </c>
      <c r="M137" s="9" t="s">
        <v>36</v>
      </c>
      <c r="N137" s="9" t="s">
        <v>37</v>
      </c>
      <c r="O137" s="9">
        <f>HYPERLINK("https://www.google.com/maps/search/?api=1&amp;query=43.32624678,-3.06867986", "https://www.google.com/maps/search/?api=1&amp;query=43.32624678,-3.06867986")</f>
      </c>
      <c r="P137" s="9" t="s">
        <v>813</v>
      </c>
      <c r="Q137" s="9" t="s">
        <v>1162</v>
      </c>
    </row>
    <row r="138" spans="1:17" x14ac:dyDescent="0.25">
      <c r="A138" s="8" t="s">
        <v>1163</v>
      </c>
      <c r="B138" s="8" t="s">
        <v>1164</v>
      </c>
      <c r="C138" s="9" t="s">
        <v>1165</v>
      </c>
      <c r="D138" s="9" t="s">
        <v>892</v>
      </c>
      <c r="E138" s="9" t="s">
        <v>1166</v>
      </c>
      <c r="F138" s="10">
        <v>1.359</v>
      </c>
      <c r="G138" s="10">
        <v>1.495</v>
      </c>
      <c r="H138" s="10"/>
      <c r="I138" s="9" t="s">
        <v>32</v>
      </c>
      <c r="J138" s="9" t="s">
        <v>1167</v>
      </c>
      <c r="K138" s="9" t="s">
        <v>1168</v>
      </c>
      <c r="L138" s="8" t="s">
        <v>1169</v>
      </c>
      <c r="M138" s="9" t="s">
        <v>36</v>
      </c>
      <c r="N138" s="9" t="s">
        <v>88</v>
      </c>
      <c r="O138" s="9">
        <f>HYPERLINK("https://www.google.com/maps/search/?api=1&amp;query=39.46026108,-5.87074998", "https://www.google.com/maps/search/?api=1&amp;query=39.46026108,-5.87074998")</f>
      </c>
      <c r="P138" s="9" t="s">
        <v>521</v>
      </c>
      <c r="Q138" s="9" t="s">
        <v>1170</v>
      </c>
    </row>
    <row r="139" spans="1:17" x14ac:dyDescent="0.25">
      <c r="A139" s="8" t="s">
        <v>1171</v>
      </c>
      <c r="B139" s="8" t="s">
        <v>1172</v>
      </c>
      <c r="C139" s="9" t="s">
        <v>1173</v>
      </c>
      <c r="D139" s="9" t="s">
        <v>94</v>
      </c>
      <c r="E139" s="9" t="s">
        <v>1174</v>
      </c>
      <c r="F139" s="10">
        <v>1.359</v>
      </c>
      <c r="G139" s="10">
        <v>1.495</v>
      </c>
      <c r="H139" s="10"/>
      <c r="I139" s="9" t="s">
        <v>96</v>
      </c>
      <c r="J139" s="9" t="s">
        <v>1175</v>
      </c>
      <c r="K139" s="9" t="s">
        <v>1176</v>
      </c>
      <c r="L139" s="8" t="s">
        <v>1177</v>
      </c>
      <c r="M139" s="9" t="s">
        <v>49</v>
      </c>
      <c r="N139" s="9" t="s">
        <v>88</v>
      </c>
      <c r="O139" s="9">
        <f>HYPERLINK("https://www.google.com/maps/search/?api=1&amp;query=41.5950922,2.08848", "https://www.google.com/maps/search/?api=1&amp;query=41.5950922,2.08848")</f>
      </c>
      <c r="P139" s="9" t="s">
        <v>1178</v>
      </c>
      <c r="Q139" s="9" t="s">
        <v>1179</v>
      </c>
    </row>
    <row r="140" spans="1:17" x14ac:dyDescent="0.25">
      <c r="A140" s="8" t="s">
        <v>1180</v>
      </c>
      <c r="B140" s="8" t="s">
        <v>1181</v>
      </c>
      <c r="C140" s="9" t="s">
        <v>1182</v>
      </c>
      <c r="D140" s="9" t="s">
        <v>94</v>
      </c>
      <c r="E140" s="9" t="s">
        <v>1183</v>
      </c>
      <c r="F140" s="10">
        <v>1.359</v>
      </c>
      <c r="G140" s="10">
        <v>1.495</v>
      </c>
      <c r="H140" s="10"/>
      <c r="I140" s="9" t="s">
        <v>96</v>
      </c>
      <c r="J140" s="9" t="s">
        <v>1184</v>
      </c>
      <c r="K140" s="9" t="s">
        <v>1185</v>
      </c>
      <c r="L140" s="8" t="s">
        <v>1186</v>
      </c>
      <c r="M140" s="9" t="s">
        <v>36</v>
      </c>
      <c r="N140" s="9" t="s">
        <v>88</v>
      </c>
      <c r="O140" s="9">
        <f>HYPERLINK("https://www.google.com/maps/search/?api=1&amp;query=41.57868972,1.6400741", "https://www.google.com/maps/search/?api=1&amp;query=41.57868972,1.6400741")</f>
      </c>
      <c r="P140" s="9" t="s">
        <v>1187</v>
      </c>
      <c r="Q140" s="9" t="s">
        <v>1188</v>
      </c>
    </row>
    <row r="141" spans="1:17" x14ac:dyDescent="0.25">
      <c r="A141" s="8" t="s">
        <v>1189</v>
      </c>
      <c r="B141" s="8" t="s">
        <v>1190</v>
      </c>
      <c r="C141" s="9" t="s">
        <v>1191</v>
      </c>
      <c r="D141" s="9" t="s">
        <v>1192</v>
      </c>
      <c r="E141" s="9" t="s">
        <v>1192</v>
      </c>
      <c r="F141" s="10">
        <v>1.359</v>
      </c>
      <c r="G141" s="10">
        <v>1.495</v>
      </c>
      <c r="H141" s="10"/>
      <c r="I141" s="9" t="s">
        <v>168</v>
      </c>
      <c r="J141" s="9" t="s">
        <v>1193</v>
      </c>
      <c r="K141" s="9" t="s">
        <v>1194</v>
      </c>
      <c r="L141" s="8" t="s">
        <v>1195</v>
      </c>
      <c r="M141" s="9" t="s">
        <v>36</v>
      </c>
      <c r="N141" s="9" t="s">
        <v>645</v>
      </c>
      <c r="O141" s="9">
        <f>HYPERLINK("https://www.google.com/maps/search/?api=1&amp;query=38.98474737,-3.93449122", "https://www.google.com/maps/search/?api=1&amp;query=38.98474737,-3.93449122")</f>
      </c>
      <c r="P141" s="9" t="s">
        <v>1139</v>
      </c>
      <c r="Q141" s="9" t="s">
        <v>134</v>
      </c>
    </row>
    <row r="142" spans="1:17" x14ac:dyDescent="0.25">
      <c r="A142" s="8" t="s">
        <v>1196</v>
      </c>
      <c r="B142" s="8" t="s">
        <v>1197</v>
      </c>
      <c r="C142" s="9" t="s">
        <v>1198</v>
      </c>
      <c r="D142" s="9" t="s">
        <v>892</v>
      </c>
      <c r="E142" s="9" t="s">
        <v>1199</v>
      </c>
      <c r="F142" s="10">
        <v>1.359</v>
      </c>
      <c r="G142" s="10">
        <v>1.495</v>
      </c>
      <c r="H142" s="10"/>
      <c r="I142" s="9" t="s">
        <v>32</v>
      </c>
      <c r="J142" s="9" t="s">
        <v>1200</v>
      </c>
      <c r="K142" s="9" t="s">
        <v>1201</v>
      </c>
      <c r="L142" s="8" t="s">
        <v>1202</v>
      </c>
      <c r="M142" s="9" t="s">
        <v>36</v>
      </c>
      <c r="N142" s="9" t="s">
        <v>37</v>
      </c>
      <c r="O142" s="9">
        <f>HYPERLINK("https://www.google.com/maps/search/?api=1&amp;query=39.46935001,-6.38261529", "https://www.google.com/maps/search/?api=1&amp;query=39.46935001,-6.38261529")</f>
      </c>
      <c r="P142" s="9" t="s">
        <v>1203</v>
      </c>
      <c r="Q142" s="9" t="s">
        <v>1204</v>
      </c>
    </row>
    <row r="143" spans="1:17" x14ac:dyDescent="0.25">
      <c r="A143" s="8" t="s">
        <v>1205</v>
      </c>
      <c r="B143" s="8" t="s">
        <v>1206</v>
      </c>
      <c r="C143" s="9" t="s">
        <v>1207</v>
      </c>
      <c r="D143" s="9" t="s">
        <v>892</v>
      </c>
      <c r="E143" s="9" t="s">
        <v>1208</v>
      </c>
      <c r="F143" s="10">
        <v>1.359</v>
      </c>
      <c r="G143" s="10">
        <v>1.495</v>
      </c>
      <c r="H143" s="10"/>
      <c r="I143" s="9" t="s">
        <v>32</v>
      </c>
      <c r="J143" s="9" t="s">
        <v>1209</v>
      </c>
      <c r="K143" s="9" t="s">
        <v>1210</v>
      </c>
      <c r="L143" s="8" t="s">
        <v>1211</v>
      </c>
      <c r="M143" s="9" t="s">
        <v>36</v>
      </c>
      <c r="N143" s="9" t="s">
        <v>357</v>
      </c>
      <c r="O143" s="9">
        <f>HYPERLINK("https://www.google.com/maps/search/?api=1&amp;query=39.65141366,-6.39202209", "https://www.google.com/maps/search/?api=1&amp;query=39.65141366,-6.39202209")</f>
      </c>
      <c r="P143" s="9" t="s">
        <v>1212</v>
      </c>
      <c r="Q143" s="9" t="s">
        <v>1213</v>
      </c>
    </row>
    <row r="144" spans="1:17" x14ac:dyDescent="0.25">
      <c r="A144" s="8" t="s">
        <v>1214</v>
      </c>
      <c r="B144" s="8" t="s">
        <v>1215</v>
      </c>
      <c r="C144" s="9" t="s">
        <v>1216</v>
      </c>
      <c r="D144" s="9" t="s">
        <v>83</v>
      </c>
      <c r="E144" s="9" t="s">
        <v>83</v>
      </c>
      <c r="F144" s="10">
        <v>1.359</v>
      </c>
      <c r="G144" s="10">
        <v>1.495</v>
      </c>
      <c r="H144" s="10"/>
      <c r="I144" s="9" t="s">
        <v>83</v>
      </c>
      <c r="J144" s="9" t="s">
        <v>1217</v>
      </c>
      <c r="K144" s="9" t="s">
        <v>1218</v>
      </c>
      <c r="L144" s="8" t="s">
        <v>1219</v>
      </c>
      <c r="M144" s="9" t="s">
        <v>49</v>
      </c>
      <c r="N144" s="9" t="s">
        <v>954</v>
      </c>
      <c r="O144" s="9">
        <f>HYPERLINK("https://www.google.com/maps/search/?api=1&amp;query=40.49699713,-3.59765808", "https://www.google.com/maps/search/?api=1&amp;query=40.49699713,-3.59765808")</f>
      </c>
      <c r="P144" s="9" t="s">
        <v>1067</v>
      </c>
      <c r="Q144" s="9" t="s">
        <v>1220</v>
      </c>
    </row>
    <row r="145" spans="1:17" x14ac:dyDescent="0.25">
      <c r="A145" s="8" t="s">
        <v>1221</v>
      </c>
      <c r="B145" s="8" t="s">
        <v>1222</v>
      </c>
      <c r="C145" s="9" t="s">
        <v>1223</v>
      </c>
      <c r="D145" s="9" t="s">
        <v>217</v>
      </c>
      <c r="E145" s="9" t="s">
        <v>1224</v>
      </c>
      <c r="F145" s="10">
        <v>1.359</v>
      </c>
      <c r="G145" s="10">
        <v>1.495</v>
      </c>
      <c r="H145" s="10"/>
      <c r="I145" s="9" t="s">
        <v>45</v>
      </c>
      <c r="J145" s="9" t="s">
        <v>1225</v>
      </c>
      <c r="K145" s="9" t="s">
        <v>1226</v>
      </c>
      <c r="L145" s="8" t="s">
        <v>1227</v>
      </c>
      <c r="M145" s="9" t="s">
        <v>36</v>
      </c>
      <c r="N145" s="9" t="s">
        <v>37</v>
      </c>
      <c r="O145" s="9">
        <f>HYPERLINK("https://www.google.com/maps/search/?api=1&amp;query=36.91612691,-4.43950259", "https://www.google.com/maps/search/?api=1&amp;query=36.91612691,-4.43950259")</f>
      </c>
      <c r="P145" s="9" t="s">
        <v>144</v>
      </c>
      <c r="Q145" s="9" t="s">
        <v>394</v>
      </c>
    </row>
    <row r="146" spans="1:17" x14ac:dyDescent="0.25">
      <c r="A146" s="8" t="s">
        <v>1228</v>
      </c>
      <c r="B146" s="8" t="s">
        <v>1229</v>
      </c>
      <c r="C146" s="9" t="s">
        <v>1230</v>
      </c>
      <c r="D146" s="9" t="s">
        <v>253</v>
      </c>
      <c r="E146" s="9" t="s">
        <v>253</v>
      </c>
      <c r="F146" s="10">
        <v>1.359</v>
      </c>
      <c r="G146" s="10">
        <v>1.495</v>
      </c>
      <c r="H146" s="10"/>
      <c r="I146" s="9" t="s">
        <v>96</v>
      </c>
      <c r="J146" s="9" t="s">
        <v>1231</v>
      </c>
      <c r="K146" s="9" t="s">
        <v>1232</v>
      </c>
      <c r="L146" s="8" t="s">
        <v>373</v>
      </c>
      <c r="M146" s="9" t="s">
        <v>49</v>
      </c>
      <c r="N146" s="9" t="s">
        <v>954</v>
      </c>
      <c r="O146" s="9">
        <f>HYPERLINK("https://www.google.com/maps/search/?api=1&amp;query=41.12294334,1.28074238", "https://www.google.com/maps/search/?api=1&amp;query=41.12294334,1.28074238")</f>
      </c>
      <c r="P146" s="9" t="s">
        <v>1233</v>
      </c>
      <c r="Q146" s="9" t="s">
        <v>1234</v>
      </c>
    </row>
    <row r="147" spans="1:17" x14ac:dyDescent="0.25">
      <c r="A147" s="8" t="s">
        <v>1235</v>
      </c>
      <c r="B147" s="8" t="s">
        <v>1236</v>
      </c>
      <c r="C147" s="9" t="s">
        <v>1237</v>
      </c>
      <c r="D147" s="9" t="s">
        <v>94</v>
      </c>
      <c r="E147" s="9" t="s">
        <v>1238</v>
      </c>
      <c r="F147" s="10">
        <v>1.359</v>
      </c>
      <c r="G147" s="10">
        <v>1.495</v>
      </c>
      <c r="H147" s="10"/>
      <c r="I147" s="9" t="s">
        <v>96</v>
      </c>
      <c r="J147" s="9" t="s">
        <v>1239</v>
      </c>
      <c r="K147" s="9" t="s">
        <v>1240</v>
      </c>
      <c r="L147" s="8" t="s">
        <v>1241</v>
      </c>
      <c r="M147" s="9" t="s">
        <v>49</v>
      </c>
      <c r="N147" s="9" t="s">
        <v>88</v>
      </c>
      <c r="O147" s="9">
        <f>HYPERLINK("https://www.google.com/maps/search/?api=1&amp;query=41.63646958,1.85063049", "https://www.google.com/maps/search/?api=1&amp;query=41.63646958,1.85063049")</f>
      </c>
      <c r="P147" s="9" t="s">
        <v>880</v>
      </c>
      <c r="Q147" s="9" t="s">
        <v>1242</v>
      </c>
    </row>
    <row r="148" spans="1:17" x14ac:dyDescent="0.25">
      <c r="A148" s="8" t="s">
        <v>1243</v>
      </c>
      <c r="B148" s="8" t="s">
        <v>1244</v>
      </c>
      <c r="C148" s="9" t="s">
        <v>1245</v>
      </c>
      <c r="D148" s="9" t="s">
        <v>424</v>
      </c>
      <c r="E148" s="9" t="s">
        <v>1246</v>
      </c>
      <c r="F148" s="10">
        <v>1.359</v>
      </c>
      <c r="G148" s="10">
        <v>1.495</v>
      </c>
      <c r="H148" s="10"/>
      <c r="I148" s="9" t="s">
        <v>96</v>
      </c>
      <c r="J148" s="9" t="s">
        <v>1247</v>
      </c>
      <c r="K148" s="9" t="s">
        <v>1248</v>
      </c>
      <c r="L148" s="8" t="s">
        <v>1249</v>
      </c>
      <c r="M148" s="9" t="s">
        <v>36</v>
      </c>
      <c r="N148" s="9" t="s">
        <v>37</v>
      </c>
      <c r="O148" s="9">
        <f>HYPERLINK("https://www.google.com/maps/search/?api=1&amp;query=42.34655913,1.83283482", "https://www.google.com/maps/search/?api=1&amp;query=42.34655913,1.83283482")</f>
      </c>
      <c r="P148" s="9" t="s">
        <v>1250</v>
      </c>
      <c r="Q148" s="9" t="s">
        <v>1251</v>
      </c>
    </row>
    <row r="149" spans="1:17" x14ac:dyDescent="0.25">
      <c r="A149" s="8" t="s">
        <v>1252</v>
      </c>
      <c r="B149" s="8" t="s">
        <v>1253</v>
      </c>
      <c r="C149" s="9" t="s">
        <v>1254</v>
      </c>
      <c r="D149" s="9" t="s">
        <v>30</v>
      </c>
      <c r="E149" s="9" t="s">
        <v>1255</v>
      </c>
      <c r="F149" s="10">
        <v>1.359</v>
      </c>
      <c r="G149" s="10">
        <v>1.495</v>
      </c>
      <c r="H149" s="10"/>
      <c r="I149" s="9" t="s">
        <v>32</v>
      </c>
      <c r="J149" s="9" t="s">
        <v>1256</v>
      </c>
      <c r="K149" s="9" t="s">
        <v>1257</v>
      </c>
      <c r="L149" s="8" t="s">
        <v>1258</v>
      </c>
      <c r="M149" s="9" t="s">
        <v>49</v>
      </c>
      <c r="N149" s="9" t="s">
        <v>88</v>
      </c>
      <c r="O149" s="9">
        <f>HYPERLINK("https://www.google.com/maps/search/?api=1&amp;query=38.61466772,-6.81794972", "https://www.google.com/maps/search/?api=1&amp;query=38.61466772,-6.81794972")</f>
      </c>
      <c r="P149" s="9" t="s">
        <v>1259</v>
      </c>
      <c r="Q149" s="9" t="s">
        <v>1260</v>
      </c>
    </row>
    <row r="150" spans="1:17" x14ac:dyDescent="0.25">
      <c r="A150" s="8" t="s">
        <v>1261</v>
      </c>
      <c r="B150" s="8" t="s">
        <v>1262</v>
      </c>
      <c r="C150" s="9" t="s">
        <v>1263</v>
      </c>
      <c r="D150" s="9" t="s">
        <v>469</v>
      </c>
      <c r="E150" s="9" t="s">
        <v>1264</v>
      </c>
      <c r="F150" s="10">
        <v>1.359</v>
      </c>
      <c r="G150" s="10">
        <v>1.495</v>
      </c>
      <c r="H150" s="10"/>
      <c r="I150" s="9" t="s">
        <v>74</v>
      </c>
      <c r="J150" s="9" t="s">
        <v>1265</v>
      </c>
      <c r="K150" s="9" t="s">
        <v>1266</v>
      </c>
      <c r="L150" s="8" t="s">
        <v>1267</v>
      </c>
      <c r="M150" s="9" t="s">
        <v>49</v>
      </c>
      <c r="N150" s="9" t="s">
        <v>211</v>
      </c>
      <c r="O150" s="9">
        <f>HYPERLINK("https://www.google.com/maps/search/?api=1&amp;query=40.89602647,-5.66261158", "https://www.google.com/maps/search/?api=1&amp;query=40.89602647,-5.66261158")</f>
      </c>
      <c r="P150" s="9" t="s">
        <v>1268</v>
      </c>
      <c r="Q150" s="9" t="s">
        <v>1269</v>
      </c>
    </row>
    <row r="151" spans="1:17" x14ac:dyDescent="0.25">
      <c r="A151" s="8" t="s">
        <v>1270</v>
      </c>
      <c r="B151" s="8" t="s">
        <v>1271</v>
      </c>
      <c r="C151" s="9" t="s">
        <v>1272</v>
      </c>
      <c r="D151" s="9" t="s">
        <v>919</v>
      </c>
      <c r="E151" s="9" t="s">
        <v>1273</v>
      </c>
      <c r="F151" s="10">
        <v>1.359</v>
      </c>
      <c r="G151" s="10">
        <v>1.495</v>
      </c>
      <c r="H151" s="10"/>
      <c r="I151" s="9" t="s">
        <v>118</v>
      </c>
      <c r="J151" s="9" t="s">
        <v>1274</v>
      </c>
      <c r="K151" s="9" t="s">
        <v>1275</v>
      </c>
      <c r="L151" s="8" t="s">
        <v>1276</v>
      </c>
      <c r="M151" s="9" t="s">
        <v>49</v>
      </c>
      <c r="N151" s="9" t="s">
        <v>88</v>
      </c>
      <c r="O151" s="9">
        <f>HYPERLINK("https://www.google.com/maps/search/?api=1&amp;query=42.89566143,-2.70256566", "https://www.google.com/maps/search/?api=1&amp;query=42.89566143,-2.70256566")</f>
      </c>
      <c r="P151" s="9" t="s">
        <v>1277</v>
      </c>
      <c r="Q151" s="9" t="s">
        <v>1278</v>
      </c>
    </row>
    <row r="152" spans="1:17" x14ac:dyDescent="0.25">
      <c r="A152" s="8" t="s">
        <v>1279</v>
      </c>
      <c r="B152" s="8" t="s">
        <v>1280</v>
      </c>
      <c r="C152" s="9" t="s">
        <v>1281</v>
      </c>
      <c r="D152" s="9" t="s">
        <v>1282</v>
      </c>
      <c r="E152" s="9" t="s">
        <v>1283</v>
      </c>
      <c r="F152" s="10">
        <v>1.359</v>
      </c>
      <c r="G152" s="10">
        <v>1.495</v>
      </c>
      <c r="H152" s="10"/>
      <c r="I152" s="9" t="s">
        <v>45</v>
      </c>
      <c r="J152" s="9" t="s">
        <v>1284</v>
      </c>
      <c r="K152" s="9" t="s">
        <v>1285</v>
      </c>
      <c r="L152" s="8" t="s">
        <v>1286</v>
      </c>
      <c r="M152" s="9" t="s">
        <v>49</v>
      </c>
      <c r="N152" s="9" t="s">
        <v>88</v>
      </c>
      <c r="O152" s="9">
        <f>HYPERLINK("https://www.google.com/maps/search/?api=1&amp;query=37.23298623,-3.64945505", "https://www.google.com/maps/search/?api=1&amp;query=37.23298623,-3.64945505")</f>
      </c>
      <c r="P152" s="9" t="s">
        <v>1287</v>
      </c>
      <c r="Q152" s="9" t="s">
        <v>1288</v>
      </c>
    </row>
    <row r="153" spans="1:17" x14ac:dyDescent="0.25">
      <c r="A153" s="8" t="s">
        <v>1289</v>
      </c>
      <c r="B153" s="8" t="s">
        <v>1290</v>
      </c>
      <c r="C153" s="9" t="s">
        <v>1291</v>
      </c>
      <c r="D153" s="9" t="s">
        <v>43</v>
      </c>
      <c r="E153" s="9" t="s">
        <v>1292</v>
      </c>
      <c r="F153" s="10">
        <v>1.359</v>
      </c>
      <c r="G153" s="10">
        <v>1.495</v>
      </c>
      <c r="H153" s="10"/>
      <c r="I153" s="9" t="s">
        <v>45</v>
      </c>
      <c r="J153" s="9" t="s">
        <v>1293</v>
      </c>
      <c r="K153" s="9" t="s">
        <v>1294</v>
      </c>
      <c r="L153" s="8" t="s">
        <v>1295</v>
      </c>
      <c r="M153" s="9" t="s">
        <v>36</v>
      </c>
      <c r="N153" s="9" t="s">
        <v>37</v>
      </c>
      <c r="O153" s="9">
        <f>HYPERLINK("https://www.google.com/maps/search/?api=1&amp;query=37.32280894,-7.116448", "https://www.google.com/maps/search/?api=1&amp;query=37.32280894,-7.116448")</f>
      </c>
      <c r="P153" s="9" t="s">
        <v>38</v>
      </c>
      <c r="Q153" s="9" t="s">
        <v>1296</v>
      </c>
    </row>
    <row r="154" spans="1:17" x14ac:dyDescent="0.25">
      <c r="A154" s="8" t="s">
        <v>1297</v>
      </c>
      <c r="B154" s="8" t="s">
        <v>1298</v>
      </c>
      <c r="C154" s="9" t="s">
        <v>1299</v>
      </c>
      <c r="D154" s="9" t="s">
        <v>424</v>
      </c>
      <c r="E154" s="9" t="s">
        <v>1300</v>
      </c>
      <c r="F154" s="10">
        <v>1.359</v>
      </c>
      <c r="G154" s="10">
        <v>1.495</v>
      </c>
      <c r="H154" s="10"/>
      <c r="I154" s="9" t="s">
        <v>96</v>
      </c>
      <c r="J154" s="9" t="s">
        <v>1301</v>
      </c>
      <c r="K154" s="9" t="s">
        <v>1302</v>
      </c>
      <c r="L154" s="8" t="s">
        <v>1303</v>
      </c>
      <c r="M154" s="9" t="s">
        <v>49</v>
      </c>
      <c r="N154" s="9" t="s">
        <v>88</v>
      </c>
      <c r="O154" s="9">
        <f>HYPERLINK("https://www.google.com/maps/search/?api=1&amp;query=41.63340182,0.82299266", "https://www.google.com/maps/search/?api=1&amp;query=41.63340182,0.82299266")</f>
      </c>
      <c r="P154" s="9" t="s">
        <v>144</v>
      </c>
      <c r="Q154" s="9" t="s">
        <v>1304</v>
      </c>
    </row>
    <row r="155" spans="1:17" x14ac:dyDescent="0.25">
      <c r="A155" s="8" t="s">
        <v>1305</v>
      </c>
      <c r="B155" s="8" t="s">
        <v>1306</v>
      </c>
      <c r="C155" s="9" t="s">
        <v>1307</v>
      </c>
      <c r="D155" s="9" t="s">
        <v>400</v>
      </c>
      <c r="E155" s="9" t="s">
        <v>400</v>
      </c>
      <c r="F155" s="10">
        <v>1.359</v>
      </c>
      <c r="G155" s="10">
        <v>1.495</v>
      </c>
      <c r="H155" s="10"/>
      <c r="I155" s="9" t="s">
        <v>400</v>
      </c>
      <c r="J155" s="9" t="s">
        <v>1308</v>
      </c>
      <c r="K155" s="9" t="s">
        <v>1309</v>
      </c>
      <c r="L155" s="8" t="s">
        <v>1310</v>
      </c>
      <c r="M155" s="9" t="s">
        <v>49</v>
      </c>
      <c r="N155" s="9" t="s">
        <v>88</v>
      </c>
      <c r="O155" s="9">
        <f>HYPERLINK("https://www.google.com/maps/search/?api=1&amp;query=39.47628721,-0.3522877", "https://www.google.com/maps/search/?api=1&amp;query=39.47628721,-0.3522877")</f>
      </c>
      <c r="P155" s="9" t="s">
        <v>1311</v>
      </c>
      <c r="Q155" s="9" t="s">
        <v>151</v>
      </c>
    </row>
    <row r="156" spans="1:17" x14ac:dyDescent="0.25">
      <c r="A156" s="8" t="s">
        <v>1312</v>
      </c>
      <c r="B156" s="8" t="s">
        <v>1313</v>
      </c>
      <c r="C156" s="9" t="s">
        <v>1314</v>
      </c>
      <c r="D156" s="9" t="s">
        <v>187</v>
      </c>
      <c r="E156" s="9" t="s">
        <v>1315</v>
      </c>
      <c r="F156" s="10">
        <v>1.359</v>
      </c>
      <c r="G156" s="10">
        <v>1.495</v>
      </c>
      <c r="H156" s="10"/>
      <c r="I156" s="9" t="s">
        <v>74</v>
      </c>
      <c r="J156" s="9" t="s">
        <v>1316</v>
      </c>
      <c r="K156" s="9" t="s">
        <v>1317</v>
      </c>
      <c r="L156" s="8" t="s">
        <v>1318</v>
      </c>
      <c r="M156" s="9" t="s">
        <v>36</v>
      </c>
      <c r="N156" s="9" t="s">
        <v>211</v>
      </c>
      <c r="O156" s="9">
        <f>HYPERLINK("https://www.google.com/maps/search/?api=1&amp;query=42.45549925,-5.51820824", "https://www.google.com/maps/search/?api=1&amp;query=42.45549925,-5.51820824")</f>
      </c>
      <c r="P156" s="9" t="s">
        <v>880</v>
      </c>
      <c r="Q156" s="9" t="s">
        <v>1319</v>
      </c>
    </row>
    <row r="157" spans="1:17" x14ac:dyDescent="0.25">
      <c r="A157" s="8" t="s">
        <v>1320</v>
      </c>
      <c r="B157" s="8" t="s">
        <v>1321</v>
      </c>
      <c r="C157" s="9" t="s">
        <v>1322</v>
      </c>
      <c r="D157" s="9" t="s">
        <v>61</v>
      </c>
      <c r="E157" s="9" t="s">
        <v>1323</v>
      </c>
      <c r="F157" s="10">
        <v>1.359</v>
      </c>
      <c r="G157" s="10">
        <v>1.495</v>
      </c>
      <c r="H157" s="10"/>
      <c r="I157" s="9" t="s">
        <v>45</v>
      </c>
      <c r="J157" s="9" t="s">
        <v>1324</v>
      </c>
      <c r="K157" s="9" t="s">
        <v>1325</v>
      </c>
      <c r="L157" s="8" t="s">
        <v>1326</v>
      </c>
      <c r="M157" s="9" t="s">
        <v>49</v>
      </c>
      <c r="N157" s="9" t="s">
        <v>88</v>
      </c>
      <c r="O157" s="9">
        <f>HYPERLINK("https://www.google.com/maps/search/?api=1&amp;query=37.41225399,-6.06769439", "https://www.google.com/maps/search/?api=1&amp;query=37.41225399,-6.06769439")</f>
      </c>
      <c r="P157" s="9" t="s">
        <v>419</v>
      </c>
      <c r="Q157" s="9" t="s">
        <v>286</v>
      </c>
    </row>
    <row r="158" spans="1:17" x14ac:dyDescent="0.25">
      <c r="A158" s="8" t="s">
        <v>1327</v>
      </c>
      <c r="B158" s="8" t="s">
        <v>1328</v>
      </c>
      <c r="C158" s="9" t="s">
        <v>1329</v>
      </c>
      <c r="D158" s="9" t="s">
        <v>94</v>
      </c>
      <c r="E158" s="9" t="s">
        <v>1330</v>
      </c>
      <c r="F158" s="10">
        <v>1.359</v>
      </c>
      <c r="G158" s="10">
        <v>1.495</v>
      </c>
      <c r="H158" s="10"/>
      <c r="I158" s="9" t="s">
        <v>96</v>
      </c>
      <c r="J158" s="9" t="s">
        <v>1331</v>
      </c>
      <c r="K158" s="9" t="s">
        <v>1332</v>
      </c>
      <c r="L158" s="8" t="s">
        <v>1333</v>
      </c>
      <c r="M158" s="9" t="s">
        <v>49</v>
      </c>
      <c r="N158" s="9" t="s">
        <v>37</v>
      </c>
      <c r="O158" s="9">
        <f>HYPERLINK("https://www.google.com/maps/search/?api=1&amp;query=41.49148792,2.3338652", "https://www.google.com/maps/search/?api=1&amp;query=41.49148792,2.3338652")</f>
      </c>
      <c r="P158" s="9" t="s">
        <v>465</v>
      </c>
      <c r="Q158" s="9" t="s">
        <v>925</v>
      </c>
    </row>
    <row r="159" spans="1:17" x14ac:dyDescent="0.25">
      <c r="A159" s="8" t="s">
        <v>1334</v>
      </c>
      <c r="B159" s="8" t="s">
        <v>1335</v>
      </c>
      <c r="C159" s="9" t="s">
        <v>1336</v>
      </c>
      <c r="D159" s="9" t="s">
        <v>631</v>
      </c>
      <c r="E159" s="9" t="s">
        <v>1047</v>
      </c>
      <c r="F159" s="10">
        <v>1.359</v>
      </c>
      <c r="G159" s="10">
        <v>1.495</v>
      </c>
      <c r="H159" s="10"/>
      <c r="I159" s="9" t="s">
        <v>45</v>
      </c>
      <c r="J159" s="9" t="s">
        <v>1337</v>
      </c>
      <c r="K159" s="9" t="s">
        <v>1338</v>
      </c>
      <c r="L159" s="8" t="s">
        <v>1339</v>
      </c>
      <c r="M159" s="9" t="s">
        <v>49</v>
      </c>
      <c r="N159" s="9" t="s">
        <v>88</v>
      </c>
      <c r="O159" s="9">
        <f>HYPERLINK("https://www.google.com/maps/search/?api=1&amp;query=37.87705465,-4.76620214", "https://www.google.com/maps/search/?api=1&amp;query=37.87705465,-4.76620214")</f>
      </c>
      <c r="P159" s="9" t="s">
        <v>1340</v>
      </c>
      <c r="Q159" s="9" t="s">
        <v>1341</v>
      </c>
    </row>
    <row r="160" spans="1:17" x14ac:dyDescent="0.25">
      <c r="A160" s="8" t="s">
        <v>1342</v>
      </c>
      <c r="B160" s="8" t="s">
        <v>1343</v>
      </c>
      <c r="C160" s="9" t="s">
        <v>1344</v>
      </c>
      <c r="D160" s="9" t="s">
        <v>379</v>
      </c>
      <c r="E160" s="9" t="s">
        <v>1345</v>
      </c>
      <c r="F160" s="10">
        <v>1.359</v>
      </c>
      <c r="G160" s="10">
        <v>1.495</v>
      </c>
      <c r="H160" s="10"/>
      <c r="I160" s="9" t="s">
        <v>379</v>
      </c>
      <c r="J160" s="9" t="s">
        <v>1346</v>
      </c>
      <c r="K160" s="9" t="s">
        <v>1347</v>
      </c>
      <c r="L160" s="8" t="s">
        <v>1348</v>
      </c>
      <c r="M160" s="9" t="s">
        <v>49</v>
      </c>
      <c r="N160" s="9" t="s">
        <v>88</v>
      </c>
      <c r="O160" s="9">
        <f>HYPERLINK("https://www.google.com/maps/search/?api=1&amp;query=41.99286476,-1.67614939", "https://www.google.com/maps/search/?api=1&amp;query=41.99286476,-1.67614939")</f>
      </c>
      <c r="P160" s="9" t="s">
        <v>1349</v>
      </c>
      <c r="Q160" s="9" t="s">
        <v>898</v>
      </c>
    </row>
    <row r="161" spans="1:17" x14ac:dyDescent="0.25">
      <c r="A161" s="8" t="s">
        <v>1350</v>
      </c>
      <c r="B161" s="8" t="s">
        <v>1351</v>
      </c>
      <c r="C161" s="9" t="s">
        <v>1352</v>
      </c>
      <c r="D161" s="9" t="s">
        <v>919</v>
      </c>
      <c r="E161" s="9" t="s">
        <v>1353</v>
      </c>
      <c r="F161" s="10">
        <v>1.359</v>
      </c>
      <c r="G161" s="10">
        <v>1.495</v>
      </c>
      <c r="H161" s="10"/>
      <c r="I161" s="9" t="s">
        <v>118</v>
      </c>
      <c r="J161" s="9" t="s">
        <v>1354</v>
      </c>
      <c r="K161" s="9" t="s">
        <v>1355</v>
      </c>
      <c r="L161" s="8" t="s">
        <v>1276</v>
      </c>
      <c r="M161" s="9" t="s">
        <v>49</v>
      </c>
      <c r="N161" s="9" t="s">
        <v>37</v>
      </c>
      <c r="O161" s="9">
        <f>HYPERLINK("https://www.google.com/maps/search/?api=1&amp;query=42.87700302,-2.7119589", "https://www.google.com/maps/search/?api=1&amp;query=42.87700302,-2.7119589")</f>
      </c>
      <c r="P161" s="9" t="s">
        <v>1356</v>
      </c>
      <c r="Q161" s="9" t="s">
        <v>1357</v>
      </c>
    </row>
    <row r="162" spans="1:17" x14ac:dyDescent="0.25">
      <c r="A162" s="8" t="s">
        <v>1358</v>
      </c>
      <c r="B162" s="8" t="s">
        <v>1359</v>
      </c>
      <c r="C162" s="9" t="s">
        <v>1360</v>
      </c>
      <c r="D162" s="9" t="s">
        <v>226</v>
      </c>
      <c r="E162" s="9" t="s">
        <v>226</v>
      </c>
      <c r="F162" s="10">
        <v>1.359</v>
      </c>
      <c r="G162" s="10">
        <v>1.495</v>
      </c>
      <c r="H162" s="10"/>
      <c r="I162" s="9" t="s">
        <v>168</v>
      </c>
      <c r="J162" s="9" t="s">
        <v>1361</v>
      </c>
      <c r="K162" s="9" t="s">
        <v>1362</v>
      </c>
      <c r="L162" s="8" t="s">
        <v>1363</v>
      </c>
      <c r="M162" s="9" t="s">
        <v>49</v>
      </c>
      <c r="N162" s="9" t="s">
        <v>37</v>
      </c>
      <c r="O162" s="9">
        <f>HYPERLINK("https://www.google.com/maps/search/?api=1&amp;query=40.0550882,-2.12595062", "https://www.google.com/maps/search/?api=1&amp;query=40.0550882,-2.12595062")</f>
      </c>
      <c r="P162" s="9" t="s">
        <v>1364</v>
      </c>
      <c r="Q162" s="9" t="s">
        <v>1365</v>
      </c>
    </row>
    <row r="163" spans="1:17" x14ac:dyDescent="0.25">
      <c r="A163" s="8" t="s">
        <v>1366</v>
      </c>
      <c r="B163" s="8" t="s">
        <v>1367</v>
      </c>
      <c r="C163" s="9" t="s">
        <v>1368</v>
      </c>
      <c r="D163" s="9" t="s">
        <v>106</v>
      </c>
      <c r="E163" s="9" t="s">
        <v>1369</v>
      </c>
      <c r="F163" s="10">
        <v>1.359</v>
      </c>
      <c r="G163" s="10">
        <v>1.495</v>
      </c>
      <c r="H163" s="10"/>
      <c r="I163" s="9" t="s">
        <v>106</v>
      </c>
      <c r="J163" s="9" t="s">
        <v>1370</v>
      </c>
      <c r="K163" s="9" t="s">
        <v>1371</v>
      </c>
      <c r="L163" s="8" t="s">
        <v>1372</v>
      </c>
      <c r="M163" s="9" t="s">
        <v>49</v>
      </c>
      <c r="N163" s="9" t="s">
        <v>88</v>
      </c>
      <c r="O163" s="9">
        <f>HYPERLINK("https://www.google.com/maps/search/?api=1&amp;query=38.27019465,-1.0756591", "https://www.google.com/maps/search/?api=1&amp;query=38.27019465,-1.0756591")</f>
      </c>
      <c r="P163" s="9" t="s">
        <v>1373</v>
      </c>
      <c r="Q163" s="9" t="s">
        <v>1374</v>
      </c>
    </row>
    <row r="164" spans="1:17" x14ac:dyDescent="0.25">
      <c r="A164" s="8" t="s">
        <v>1375</v>
      </c>
      <c r="B164" s="8" t="s">
        <v>1376</v>
      </c>
      <c r="C164" s="9" t="s">
        <v>1377</v>
      </c>
      <c r="D164" s="9" t="s">
        <v>177</v>
      </c>
      <c r="E164" s="9" t="s">
        <v>177</v>
      </c>
      <c r="F164" s="10">
        <v>1.359</v>
      </c>
      <c r="G164" s="10">
        <v>1.495</v>
      </c>
      <c r="H164" s="10"/>
      <c r="I164" s="9" t="s">
        <v>74</v>
      </c>
      <c r="J164" s="9" t="s">
        <v>1378</v>
      </c>
      <c r="K164" s="9" t="s">
        <v>1379</v>
      </c>
      <c r="L164" s="8" t="s">
        <v>1380</v>
      </c>
      <c r="M164" s="9" t="s">
        <v>49</v>
      </c>
      <c r="N164" s="9" t="s">
        <v>88</v>
      </c>
      <c r="O164" s="9">
        <f>HYPERLINK("https://www.google.com/maps/search/?api=1&amp;query=41.62808752,-4.73270627", "https://www.google.com/maps/search/?api=1&amp;query=41.62808752,-4.73270627")</f>
      </c>
      <c r="P164" s="9" t="s">
        <v>1381</v>
      </c>
      <c r="Q164" s="9" t="s">
        <v>1382</v>
      </c>
    </row>
    <row r="165" spans="1:17" x14ac:dyDescent="0.25">
      <c r="A165" s="8" t="s">
        <v>1383</v>
      </c>
      <c r="B165" s="8" t="s">
        <v>1384</v>
      </c>
      <c r="C165" s="9" t="s">
        <v>1385</v>
      </c>
      <c r="D165" s="9" t="s">
        <v>469</v>
      </c>
      <c r="E165" s="9" t="s">
        <v>1386</v>
      </c>
      <c r="F165" s="10">
        <v>1.359</v>
      </c>
      <c r="G165" s="10">
        <v>1.495</v>
      </c>
      <c r="H165" s="10"/>
      <c r="I165" s="9" t="s">
        <v>74</v>
      </c>
      <c r="J165" s="9" t="s">
        <v>1387</v>
      </c>
      <c r="K165" s="9" t="s">
        <v>1388</v>
      </c>
      <c r="L165" s="8" t="s">
        <v>1389</v>
      </c>
      <c r="M165" s="9" t="s">
        <v>36</v>
      </c>
      <c r="N165" s="9" t="s">
        <v>37</v>
      </c>
      <c r="O165" s="9">
        <f>HYPERLINK("https://www.google.com/maps/search/?api=1&amp;query=40.71156981,-6.38745575", "https://www.google.com/maps/search/?api=1&amp;query=40.71156981,-6.38745575")</f>
      </c>
      <c r="P165" s="9" t="s">
        <v>915</v>
      </c>
      <c r="Q165" s="9" t="s">
        <v>1390</v>
      </c>
    </row>
    <row r="166" spans="1:17" x14ac:dyDescent="0.25">
      <c r="A166" s="8" t="s">
        <v>1391</v>
      </c>
      <c r="B166" s="8" t="s">
        <v>1392</v>
      </c>
      <c r="C166" s="9" t="s">
        <v>1393</v>
      </c>
      <c r="D166" s="9" t="s">
        <v>400</v>
      </c>
      <c r="E166" s="9" t="s">
        <v>1394</v>
      </c>
      <c r="F166" s="10">
        <v>1.359</v>
      </c>
      <c r="G166" s="10">
        <v>1.495</v>
      </c>
      <c r="H166" s="10"/>
      <c r="I166" s="9" t="s">
        <v>400</v>
      </c>
      <c r="J166" s="9" t="s">
        <v>1395</v>
      </c>
      <c r="K166" s="9" t="s">
        <v>1396</v>
      </c>
      <c r="L166" s="8" t="s">
        <v>1397</v>
      </c>
      <c r="M166" s="9" t="s">
        <v>49</v>
      </c>
      <c r="N166" s="9" t="s">
        <v>88</v>
      </c>
      <c r="O166" s="9">
        <f>HYPERLINK("https://www.google.com/maps/search/?api=1&amp;query=39.43906299,-0.45639136", "https://www.google.com/maps/search/?api=1&amp;query=39.43906299,-0.45639136")</f>
      </c>
      <c r="P166" s="9" t="s">
        <v>1398</v>
      </c>
      <c r="Q166" s="9" t="s">
        <v>1399</v>
      </c>
    </row>
    <row r="167" spans="1:17" x14ac:dyDescent="0.25">
      <c r="A167" s="8" t="s">
        <v>1400</v>
      </c>
      <c r="B167" s="8" t="s">
        <v>1401</v>
      </c>
      <c r="C167" s="9" t="s">
        <v>1402</v>
      </c>
      <c r="D167" s="9" t="s">
        <v>253</v>
      </c>
      <c r="E167" s="9" t="s">
        <v>1403</v>
      </c>
      <c r="F167" s="10">
        <v>1.359</v>
      </c>
      <c r="G167" s="10">
        <v>1.495</v>
      </c>
      <c r="H167" s="10"/>
      <c r="I167" s="9" t="s">
        <v>96</v>
      </c>
      <c r="J167" s="9" t="s">
        <v>1404</v>
      </c>
      <c r="K167" s="9" t="s">
        <v>1405</v>
      </c>
      <c r="L167" s="8" t="s">
        <v>1406</v>
      </c>
      <c r="M167" s="9" t="s">
        <v>49</v>
      </c>
      <c r="N167" s="9" t="s">
        <v>88</v>
      </c>
      <c r="O167" s="9">
        <f>HYPERLINK("https://www.google.com/maps/search/?api=1&amp;query=41.16536693,1.03001387", "https://www.google.com/maps/search/?api=1&amp;query=41.16536693,1.03001387")</f>
      </c>
      <c r="P167" s="9" t="s">
        <v>1407</v>
      </c>
      <c r="Q167" s="9" t="s">
        <v>1408</v>
      </c>
    </row>
    <row r="168" spans="1:17" x14ac:dyDescent="0.25">
      <c r="A168" s="8" t="s">
        <v>1409</v>
      </c>
      <c r="B168" s="8" t="s">
        <v>1410</v>
      </c>
      <c r="C168" s="9" t="s">
        <v>1411</v>
      </c>
      <c r="D168" s="9" t="s">
        <v>217</v>
      </c>
      <c r="E168" s="9" t="s">
        <v>218</v>
      </c>
      <c r="F168" s="10">
        <v>1.359</v>
      </c>
      <c r="G168" s="10">
        <v>1.495</v>
      </c>
      <c r="H168" s="10"/>
      <c r="I168" s="9" t="s">
        <v>45</v>
      </c>
      <c r="J168" s="9" t="s">
        <v>1412</v>
      </c>
      <c r="K168" s="9" t="s">
        <v>1413</v>
      </c>
      <c r="L168" s="8" t="s">
        <v>221</v>
      </c>
      <c r="M168" s="9" t="s">
        <v>49</v>
      </c>
      <c r="N168" s="9" t="s">
        <v>211</v>
      </c>
      <c r="O168" s="9">
        <f>HYPERLINK("https://www.google.com/maps/search/?api=1&amp;query=36.45312037,-5.07520722", "https://www.google.com/maps/search/?api=1&amp;query=36.45312037,-5.07520722")</f>
      </c>
      <c r="P168" s="9" t="s">
        <v>1414</v>
      </c>
      <c r="Q168" s="9" t="s">
        <v>1415</v>
      </c>
    </row>
    <row r="169" spans="1:17" x14ac:dyDescent="0.25">
      <c r="A169" s="8" t="s">
        <v>1416</v>
      </c>
      <c r="B169" s="8" t="s">
        <v>1417</v>
      </c>
      <c r="C169" s="9" t="s">
        <v>1418</v>
      </c>
      <c r="D169" s="9" t="s">
        <v>344</v>
      </c>
      <c r="E169" s="9" t="s">
        <v>1419</v>
      </c>
      <c r="F169" s="10">
        <v>1.359</v>
      </c>
      <c r="G169" s="10">
        <v>1.495</v>
      </c>
      <c r="H169" s="10"/>
      <c r="I169" s="9" t="s">
        <v>140</v>
      </c>
      <c r="J169" s="9" t="s">
        <v>1420</v>
      </c>
      <c r="K169" s="9" t="s">
        <v>1421</v>
      </c>
      <c r="L169" s="8" t="s">
        <v>1422</v>
      </c>
      <c r="M169" s="9" t="s">
        <v>36</v>
      </c>
      <c r="N169" s="9" t="s">
        <v>211</v>
      </c>
      <c r="O169" s="9">
        <f>HYPERLINK("https://www.google.com/maps/search/?api=1&amp;query=42.774028,-8.65125", "https://www.google.com/maps/search/?api=1&amp;query=42.774028,-8.65125")</f>
      </c>
      <c r="P169" s="9" t="s">
        <v>1423</v>
      </c>
      <c r="Q169" s="9" t="s">
        <v>1424</v>
      </c>
    </row>
    <row r="170" spans="1:17" x14ac:dyDescent="0.25">
      <c r="A170" s="8" t="s">
        <v>1425</v>
      </c>
      <c r="B170" s="8" t="s">
        <v>1426</v>
      </c>
      <c r="C170" s="9" t="s">
        <v>1427</v>
      </c>
      <c r="D170" s="9" t="s">
        <v>83</v>
      </c>
      <c r="E170" s="9" t="s">
        <v>83</v>
      </c>
      <c r="F170" s="10">
        <v>1.359</v>
      </c>
      <c r="G170" s="10">
        <v>1.495</v>
      </c>
      <c r="H170" s="10"/>
      <c r="I170" s="9" t="s">
        <v>83</v>
      </c>
      <c r="J170" s="9" t="s">
        <v>1428</v>
      </c>
      <c r="K170" s="9" t="s">
        <v>1429</v>
      </c>
      <c r="L170" s="8" t="s">
        <v>1430</v>
      </c>
      <c r="M170" s="9" t="s">
        <v>49</v>
      </c>
      <c r="N170" s="9" t="s">
        <v>37</v>
      </c>
      <c r="O170" s="9">
        <f>HYPERLINK("https://www.google.com/maps/search/?api=1&amp;query=40.43908733,-3.70965681", "https://www.google.com/maps/search/?api=1&amp;query=40.43908733,-3.70965681")</f>
      </c>
      <c r="P170" s="9" t="s">
        <v>172</v>
      </c>
      <c r="Q170" s="9" t="s">
        <v>112</v>
      </c>
    </row>
    <row r="171" spans="1:17" x14ac:dyDescent="0.25">
      <c r="A171" s="8" t="s">
        <v>1431</v>
      </c>
      <c r="B171" s="8" t="s">
        <v>1432</v>
      </c>
      <c r="C171" s="9" t="s">
        <v>1433</v>
      </c>
      <c r="D171" s="9" t="s">
        <v>1434</v>
      </c>
      <c r="E171" s="9" t="s">
        <v>1435</v>
      </c>
      <c r="F171" s="10">
        <v>1.359</v>
      </c>
      <c r="G171" s="10">
        <v>1.495</v>
      </c>
      <c r="H171" s="10"/>
      <c r="I171" s="9" t="s">
        <v>1434</v>
      </c>
      <c r="J171" s="9" t="s">
        <v>1436</v>
      </c>
      <c r="K171" s="9" t="s">
        <v>1437</v>
      </c>
      <c r="L171" s="8" t="s">
        <v>1438</v>
      </c>
      <c r="M171" s="9" t="s">
        <v>49</v>
      </c>
      <c r="N171" s="9" t="s">
        <v>37</v>
      </c>
      <c r="O171" s="9">
        <f>HYPERLINK("https://www.google.com/maps/search/?api=1&amp;query=42.16631343,-2.65001009", "https://www.google.com/maps/search/?api=1&amp;query=42.16631343,-2.65001009")</f>
      </c>
      <c r="P171" s="9" t="s">
        <v>1439</v>
      </c>
      <c r="Q171" s="9" t="s">
        <v>1440</v>
      </c>
    </row>
    <row r="172" spans="1:17" x14ac:dyDescent="0.25">
      <c r="A172" s="8" t="s">
        <v>1441</v>
      </c>
      <c r="B172" s="8" t="s">
        <v>1442</v>
      </c>
      <c r="C172" s="9" t="s">
        <v>1443</v>
      </c>
      <c r="D172" s="9" t="s">
        <v>94</v>
      </c>
      <c r="E172" s="9" t="s">
        <v>1444</v>
      </c>
      <c r="F172" s="10">
        <v>1.359</v>
      </c>
      <c r="G172" s="10">
        <v>1.495</v>
      </c>
      <c r="H172" s="10"/>
      <c r="I172" s="9" t="s">
        <v>96</v>
      </c>
      <c r="J172" s="9" t="s">
        <v>1445</v>
      </c>
      <c r="K172" s="9" t="s">
        <v>1446</v>
      </c>
      <c r="L172" s="8" t="s">
        <v>1447</v>
      </c>
      <c r="M172" s="9" t="s">
        <v>49</v>
      </c>
      <c r="N172" s="9" t="s">
        <v>88</v>
      </c>
      <c r="O172" s="9">
        <f>HYPERLINK("https://www.google.com/maps/search/?api=1&amp;query=41.523914,2.4274777", "https://www.google.com/maps/search/?api=1&amp;query=41.523914,2.4274777")</f>
      </c>
      <c r="P172" s="9" t="s">
        <v>646</v>
      </c>
      <c r="Q172" s="9" t="s">
        <v>124</v>
      </c>
    </row>
    <row r="173" spans="1:17" x14ac:dyDescent="0.25">
      <c r="A173" s="8" t="s">
        <v>1448</v>
      </c>
      <c r="B173" s="8" t="s">
        <v>1449</v>
      </c>
      <c r="C173" s="9" t="s">
        <v>1450</v>
      </c>
      <c r="D173" s="9" t="s">
        <v>61</v>
      </c>
      <c r="E173" s="9" t="s">
        <v>1451</v>
      </c>
      <c r="F173" s="10">
        <v>1.359</v>
      </c>
      <c r="G173" s="10">
        <v>1.495</v>
      </c>
      <c r="H173" s="10"/>
      <c r="I173" s="9" t="s">
        <v>45</v>
      </c>
      <c r="J173" s="9" t="s">
        <v>1452</v>
      </c>
      <c r="K173" s="9" t="s">
        <v>1453</v>
      </c>
      <c r="L173" s="8" t="s">
        <v>1454</v>
      </c>
      <c r="M173" s="9" t="s">
        <v>36</v>
      </c>
      <c r="N173" s="9" t="s">
        <v>88</v>
      </c>
      <c r="O173" s="9">
        <f>HYPERLINK("https://www.google.com/maps/search/?api=1&amp;query=37.25489749,-5.56592832", "https://www.google.com/maps/search/?api=1&amp;query=37.25489749,-5.56592832")</f>
      </c>
      <c r="P173" s="9" t="s">
        <v>144</v>
      </c>
      <c r="Q173" s="9" t="s">
        <v>112</v>
      </c>
    </row>
    <row r="174" spans="1:17" x14ac:dyDescent="0.25">
      <c r="A174" s="8" t="s">
        <v>1455</v>
      </c>
      <c r="B174" s="8" t="s">
        <v>1456</v>
      </c>
      <c r="C174" s="9" t="s">
        <v>1457</v>
      </c>
      <c r="D174" s="9" t="s">
        <v>94</v>
      </c>
      <c r="E174" s="9" t="s">
        <v>1458</v>
      </c>
      <c r="F174" s="10">
        <v>1.359</v>
      </c>
      <c r="G174" s="10">
        <v>1.495</v>
      </c>
      <c r="H174" s="10"/>
      <c r="I174" s="9" t="s">
        <v>96</v>
      </c>
      <c r="J174" s="9" t="s">
        <v>1459</v>
      </c>
      <c r="K174" s="9" t="s">
        <v>1460</v>
      </c>
      <c r="L174" s="8" t="s">
        <v>1461</v>
      </c>
      <c r="M174" s="9" t="s">
        <v>49</v>
      </c>
      <c r="N174" s="9" t="s">
        <v>37</v>
      </c>
      <c r="O174" s="9">
        <f>HYPERLINK("https://www.google.com/maps/search/?api=1&amp;query=41.53099156,2.42024409", "https://www.google.com/maps/search/?api=1&amp;query=41.53099156,2.42024409")</f>
      </c>
      <c r="P174" s="9" t="s">
        <v>1462</v>
      </c>
      <c r="Q174" s="9" t="s">
        <v>1463</v>
      </c>
    </row>
    <row r="175" spans="1:17" x14ac:dyDescent="0.25">
      <c r="A175" s="8" t="s">
        <v>1464</v>
      </c>
      <c r="B175" s="8" t="s">
        <v>1465</v>
      </c>
      <c r="C175" s="9" t="s">
        <v>1466</v>
      </c>
      <c r="D175" s="9" t="s">
        <v>253</v>
      </c>
      <c r="E175" s="9" t="s">
        <v>1467</v>
      </c>
      <c r="F175" s="10">
        <v>1.359</v>
      </c>
      <c r="G175" s="10">
        <v>1.495</v>
      </c>
      <c r="H175" s="10"/>
      <c r="I175" s="9" t="s">
        <v>96</v>
      </c>
      <c r="J175" s="9" t="s">
        <v>1468</v>
      </c>
      <c r="K175" s="9" t="s">
        <v>1469</v>
      </c>
      <c r="L175" s="8" t="s">
        <v>1470</v>
      </c>
      <c r="M175" s="9" t="s">
        <v>49</v>
      </c>
      <c r="N175" s="9" t="s">
        <v>88</v>
      </c>
      <c r="O175" s="9">
        <f>HYPERLINK("https://www.google.com/maps/search/?api=1&amp;query=41.37435901,1.16460894", "https://www.google.com/maps/search/?api=1&amp;query=41.37435901,1.16460894")</f>
      </c>
      <c r="P175" s="9" t="s">
        <v>1471</v>
      </c>
      <c r="Q175" s="9" t="s">
        <v>772</v>
      </c>
    </row>
    <row r="176" spans="1:17" x14ac:dyDescent="0.25">
      <c r="A176" s="8" t="s">
        <v>1472</v>
      </c>
      <c r="B176" s="8" t="s">
        <v>1473</v>
      </c>
      <c r="C176" s="9" t="s">
        <v>1474</v>
      </c>
      <c r="D176" s="9" t="s">
        <v>658</v>
      </c>
      <c r="E176" s="9" t="s">
        <v>1475</v>
      </c>
      <c r="F176" s="10">
        <v>1.359</v>
      </c>
      <c r="G176" s="10">
        <v>1.495</v>
      </c>
      <c r="H176" s="10"/>
      <c r="I176" s="9" t="s">
        <v>45</v>
      </c>
      <c r="J176" s="9" t="s">
        <v>1476</v>
      </c>
      <c r="K176" s="9" t="s">
        <v>1477</v>
      </c>
      <c r="L176" s="8" t="s">
        <v>1478</v>
      </c>
      <c r="M176" s="9" t="s">
        <v>49</v>
      </c>
      <c r="N176" s="9" t="s">
        <v>88</v>
      </c>
      <c r="O176" s="9">
        <f>HYPERLINK("https://www.google.com/maps/search/?api=1&amp;query=36.87495832,-2.44468103", "https://www.google.com/maps/search/?api=1&amp;query=36.87495832,-2.44468103")</f>
      </c>
      <c r="P176" s="9" t="s">
        <v>1479</v>
      </c>
      <c r="Q176" s="9" t="s">
        <v>420</v>
      </c>
    </row>
    <row r="177" spans="1:17" x14ac:dyDescent="0.25">
      <c r="A177" s="8" t="s">
        <v>1480</v>
      </c>
      <c r="B177" s="8" t="s">
        <v>1481</v>
      </c>
      <c r="C177" s="9" t="s">
        <v>1482</v>
      </c>
      <c r="D177" s="9" t="s">
        <v>1483</v>
      </c>
      <c r="E177" s="9" t="s">
        <v>1484</v>
      </c>
      <c r="F177" s="10">
        <v>1.359</v>
      </c>
      <c r="G177" s="10">
        <v>1.495</v>
      </c>
      <c r="H177" s="10"/>
      <c r="I177" s="9" t="s">
        <v>74</v>
      </c>
      <c r="J177" s="9" t="s">
        <v>1485</v>
      </c>
      <c r="K177" s="9" t="s">
        <v>1486</v>
      </c>
      <c r="L177" s="8" t="s">
        <v>1487</v>
      </c>
      <c r="M177" s="9" t="s">
        <v>49</v>
      </c>
      <c r="N177" s="9" t="s">
        <v>211</v>
      </c>
      <c r="O177" s="9">
        <f>HYPERLINK("https://www.google.com/maps/search/?api=1&amp;query=42.02304075,-3.29472992", "https://www.google.com/maps/search/?api=1&amp;query=42.02304075,-3.29472992")</f>
      </c>
      <c r="P177" s="9" t="s">
        <v>212</v>
      </c>
      <c r="Q177" s="9" t="s">
        <v>1488</v>
      </c>
    </row>
    <row r="178" spans="1:17" x14ac:dyDescent="0.25">
      <c r="A178" s="8" t="s">
        <v>1489</v>
      </c>
      <c r="B178" s="8" t="s">
        <v>1490</v>
      </c>
      <c r="C178" s="9" t="s">
        <v>1491</v>
      </c>
      <c r="D178" s="9" t="s">
        <v>424</v>
      </c>
      <c r="E178" s="9" t="s">
        <v>1492</v>
      </c>
      <c r="F178" s="10">
        <v>1.359</v>
      </c>
      <c r="G178" s="10">
        <v>1.495</v>
      </c>
      <c r="H178" s="10"/>
      <c r="I178" s="9" t="s">
        <v>96</v>
      </c>
      <c r="J178" s="9" t="s">
        <v>1493</v>
      </c>
      <c r="K178" s="9" t="s">
        <v>1494</v>
      </c>
      <c r="L178" s="8" t="s">
        <v>1495</v>
      </c>
      <c r="M178" s="9" t="s">
        <v>36</v>
      </c>
      <c r="N178" s="9" t="s">
        <v>88</v>
      </c>
      <c r="O178" s="9">
        <f>HYPERLINK("https://www.google.com/maps/search/?api=1&amp;query=41.63231241,1.00716109", "https://www.google.com/maps/search/?api=1&amp;query=41.63231241,1.00716109")</f>
      </c>
      <c r="P178" s="9" t="s">
        <v>705</v>
      </c>
      <c r="Q178" s="9" t="s">
        <v>1496</v>
      </c>
    </row>
    <row r="179" spans="1:17" x14ac:dyDescent="0.25">
      <c r="A179" s="8" t="s">
        <v>1497</v>
      </c>
      <c r="B179" s="8" t="s">
        <v>1498</v>
      </c>
      <c r="C179" s="9" t="s">
        <v>1499</v>
      </c>
      <c r="D179" s="9" t="s">
        <v>94</v>
      </c>
      <c r="E179" s="9" t="s">
        <v>1500</v>
      </c>
      <c r="F179" s="10">
        <v>1.359</v>
      </c>
      <c r="G179" s="10">
        <v>1.495</v>
      </c>
      <c r="H179" s="10"/>
      <c r="I179" s="9" t="s">
        <v>96</v>
      </c>
      <c r="J179" s="9" t="s">
        <v>1501</v>
      </c>
      <c r="K179" s="9" t="s">
        <v>1502</v>
      </c>
      <c r="L179" s="8" t="s">
        <v>1503</v>
      </c>
      <c r="M179" s="9" t="s">
        <v>49</v>
      </c>
      <c r="N179" s="9" t="s">
        <v>1504</v>
      </c>
      <c r="O179" s="9">
        <f>HYPERLINK("https://www.google.com/maps/search/?api=1&amp;query=41.29806195,2.01511434", "https://www.google.com/maps/search/?api=1&amp;query=41.29806195,2.01511434")</f>
      </c>
      <c r="P179" s="9" t="s">
        <v>1505</v>
      </c>
      <c r="Q179" s="9" t="s">
        <v>1506</v>
      </c>
    </row>
    <row r="180" spans="1:17" x14ac:dyDescent="0.25">
      <c r="A180" s="8" t="s">
        <v>1507</v>
      </c>
      <c r="B180" s="8" t="s">
        <v>1508</v>
      </c>
      <c r="C180" s="9" t="s">
        <v>1509</v>
      </c>
      <c r="D180" s="9" t="s">
        <v>1192</v>
      </c>
      <c r="E180" s="9" t="s">
        <v>1510</v>
      </c>
      <c r="F180" s="10">
        <v>1.359</v>
      </c>
      <c r="G180" s="10">
        <v>1.495</v>
      </c>
      <c r="H180" s="10"/>
      <c r="I180" s="9" t="s">
        <v>168</v>
      </c>
      <c r="J180" s="9" t="s">
        <v>1511</v>
      </c>
      <c r="K180" s="9" t="s">
        <v>1512</v>
      </c>
      <c r="L180" s="8" t="s">
        <v>1513</v>
      </c>
      <c r="M180" s="9" t="s">
        <v>100</v>
      </c>
      <c r="N180" s="9" t="s">
        <v>37</v>
      </c>
      <c r="O180" s="9">
        <f>HYPERLINK("https://www.google.com/maps/search/?api=1&amp;query=38.6360851,-3.47141499", "https://www.google.com/maps/search/?api=1&amp;query=38.6360851,-3.47141499")</f>
      </c>
      <c r="P180" s="9" t="s">
        <v>1514</v>
      </c>
      <c r="Q180" s="9" t="s">
        <v>1515</v>
      </c>
    </row>
    <row r="181" spans="1:17" x14ac:dyDescent="0.25">
      <c r="A181" s="8" t="s">
        <v>1516</v>
      </c>
      <c r="B181" s="8" t="s">
        <v>1517</v>
      </c>
      <c r="C181" s="9" t="s">
        <v>1518</v>
      </c>
      <c r="D181" s="9" t="s">
        <v>400</v>
      </c>
      <c r="E181" s="9" t="s">
        <v>1519</v>
      </c>
      <c r="F181" s="10">
        <v>1.359</v>
      </c>
      <c r="G181" s="10">
        <v>1.495</v>
      </c>
      <c r="H181" s="10"/>
      <c r="I181" s="9" t="s">
        <v>400</v>
      </c>
      <c r="J181" s="9" t="s">
        <v>1520</v>
      </c>
      <c r="K181" s="9" t="s">
        <v>1521</v>
      </c>
      <c r="L181" s="8" t="s">
        <v>1522</v>
      </c>
      <c r="M181" s="9" t="s">
        <v>36</v>
      </c>
      <c r="N181" s="9" t="s">
        <v>1523</v>
      </c>
      <c r="O181" s="9">
        <f>HYPERLINK("https://www.google.com/maps/search/?api=1&amp;query=39.53137691,-0.44229706", "https://www.google.com/maps/search/?api=1&amp;query=39.53137691,-0.44229706")</f>
      </c>
      <c r="P181" s="9" t="s">
        <v>1524</v>
      </c>
      <c r="Q181" s="9" t="s">
        <v>1525</v>
      </c>
    </row>
    <row r="182" spans="1:17" x14ac:dyDescent="0.25">
      <c r="A182" s="8" t="s">
        <v>1526</v>
      </c>
      <c r="B182" s="8" t="s">
        <v>1527</v>
      </c>
      <c r="C182" s="9" t="s">
        <v>1528</v>
      </c>
      <c r="D182" s="9" t="s">
        <v>94</v>
      </c>
      <c r="E182" s="9" t="s">
        <v>1529</v>
      </c>
      <c r="F182" s="10">
        <v>1.359</v>
      </c>
      <c r="G182" s="10">
        <v>1.495</v>
      </c>
      <c r="H182" s="10"/>
      <c r="I182" s="9" t="s">
        <v>96</v>
      </c>
      <c r="J182" s="9" t="s">
        <v>1530</v>
      </c>
      <c r="K182" s="9" t="s">
        <v>1531</v>
      </c>
      <c r="L182" s="8" t="s">
        <v>1532</v>
      </c>
      <c r="M182" s="9" t="s">
        <v>36</v>
      </c>
      <c r="N182" s="9" t="s">
        <v>88</v>
      </c>
      <c r="O182" s="9">
        <f>HYPERLINK("https://www.google.com/maps/search/?api=1&amp;query=41.65445198,2.16138629", "https://www.google.com/maps/search/?api=1&amp;query=41.65445198,2.16138629")</f>
      </c>
      <c r="P182" s="9" t="s">
        <v>1533</v>
      </c>
      <c r="Q182" s="9" t="s">
        <v>1534</v>
      </c>
    </row>
    <row r="183" spans="1:17" x14ac:dyDescent="0.25">
      <c r="A183" s="8" t="s">
        <v>1535</v>
      </c>
      <c r="B183" s="8" t="s">
        <v>1536</v>
      </c>
      <c r="C183" s="9" t="s">
        <v>1537</v>
      </c>
      <c r="D183" s="9" t="s">
        <v>83</v>
      </c>
      <c r="E183" s="9" t="s">
        <v>1538</v>
      </c>
      <c r="F183" s="10">
        <v>1.359</v>
      </c>
      <c r="G183" s="10">
        <v>1.495</v>
      </c>
      <c r="H183" s="10"/>
      <c r="I183" s="9" t="s">
        <v>83</v>
      </c>
      <c r="J183" s="9" t="s">
        <v>1539</v>
      </c>
      <c r="K183" s="9" t="s">
        <v>1540</v>
      </c>
      <c r="L183" s="8" t="s">
        <v>1541</v>
      </c>
      <c r="M183" s="9" t="s">
        <v>49</v>
      </c>
      <c r="N183" s="9" t="s">
        <v>37</v>
      </c>
      <c r="O183" s="9">
        <f>HYPERLINK("https://www.google.com/maps/search/?api=1&amp;query=40.44874287,-3.86011224", "https://www.google.com/maps/search/?api=1&amp;query=40.44874287,-3.86011224")</f>
      </c>
      <c r="P183" s="9" t="s">
        <v>696</v>
      </c>
      <c r="Q183" s="9" t="s">
        <v>420</v>
      </c>
    </row>
    <row r="184" spans="1:17" x14ac:dyDescent="0.25">
      <c r="A184" s="8" t="s">
        <v>1542</v>
      </c>
      <c r="B184" s="8" t="s">
        <v>1543</v>
      </c>
      <c r="C184" s="9" t="s">
        <v>1544</v>
      </c>
      <c r="D184" s="9" t="s">
        <v>290</v>
      </c>
      <c r="E184" s="9" t="s">
        <v>1545</v>
      </c>
      <c r="F184" s="10">
        <v>1.359</v>
      </c>
      <c r="G184" s="10">
        <v>1.495</v>
      </c>
      <c r="H184" s="10"/>
      <c r="I184" s="9" t="s">
        <v>292</v>
      </c>
      <c r="J184" s="9" t="s">
        <v>1546</v>
      </c>
      <c r="K184" s="9" t="s">
        <v>1547</v>
      </c>
      <c r="L184" s="8" t="s">
        <v>1548</v>
      </c>
      <c r="M184" s="9" t="s">
        <v>49</v>
      </c>
      <c r="N184" s="9" t="s">
        <v>37</v>
      </c>
      <c r="O184" s="9">
        <f>HYPERLINK("https://www.google.com/maps/search/?api=1&amp;query=40.75529691,-1.3378242", "https://www.google.com/maps/search/?api=1&amp;query=40.75529691,-1.3378242")</f>
      </c>
      <c r="P184" s="9" t="s">
        <v>646</v>
      </c>
      <c r="Q184" s="9" t="s">
        <v>1549</v>
      </c>
    </row>
    <row r="185" spans="1:17" x14ac:dyDescent="0.25">
      <c r="A185" s="8" t="s">
        <v>1550</v>
      </c>
      <c r="B185" s="8" t="s">
        <v>1551</v>
      </c>
      <c r="C185" s="9" t="s">
        <v>1552</v>
      </c>
      <c r="D185" s="9" t="s">
        <v>307</v>
      </c>
      <c r="E185" s="9" t="s">
        <v>307</v>
      </c>
      <c r="F185" s="10">
        <v>1.359</v>
      </c>
      <c r="G185" s="10">
        <v>1.495</v>
      </c>
      <c r="H185" s="10"/>
      <c r="I185" s="9" t="s">
        <v>74</v>
      </c>
      <c r="J185" s="9" t="s">
        <v>1553</v>
      </c>
      <c r="K185" s="9" t="s">
        <v>1554</v>
      </c>
      <c r="L185" s="8" t="s">
        <v>1555</v>
      </c>
      <c r="M185" s="9" t="s">
        <v>49</v>
      </c>
      <c r="N185" s="9" t="s">
        <v>211</v>
      </c>
      <c r="O185" s="9">
        <f>HYPERLINK("https://www.google.com/maps/search/?api=1&amp;query=41.51140067,-5.74736297", "https://www.google.com/maps/search/?api=1&amp;query=41.51140067,-5.74736297")</f>
      </c>
      <c r="P185" s="9" t="s">
        <v>1268</v>
      </c>
      <c r="Q185" s="9" t="s">
        <v>1556</v>
      </c>
    </row>
    <row r="186" spans="1:17" x14ac:dyDescent="0.25">
      <c r="A186" s="8" t="s">
        <v>1557</v>
      </c>
      <c r="B186" s="8" t="s">
        <v>1558</v>
      </c>
      <c r="C186" s="9" t="s">
        <v>1559</v>
      </c>
      <c r="D186" s="9" t="s">
        <v>1560</v>
      </c>
      <c r="E186" s="9" t="s">
        <v>1561</v>
      </c>
      <c r="F186" s="10">
        <v>1.359</v>
      </c>
      <c r="G186" s="10">
        <v>1.495</v>
      </c>
      <c r="H186" s="10"/>
      <c r="I186" s="9" t="s">
        <v>400</v>
      </c>
      <c r="J186" s="9" t="s">
        <v>1562</v>
      </c>
      <c r="K186" s="9" t="s">
        <v>1563</v>
      </c>
      <c r="L186" s="8" t="s">
        <v>1564</v>
      </c>
      <c r="M186" s="9" t="s">
        <v>49</v>
      </c>
      <c r="N186" s="9" t="s">
        <v>37</v>
      </c>
      <c r="O186" s="9">
        <f>HYPERLINK("https://www.google.com/maps/search/?api=1&amp;query=39.97607277,-0.04853763", "https://www.google.com/maps/search/?api=1&amp;query=39.97607277,-0.04853763")</f>
      </c>
      <c r="P186" s="9" t="s">
        <v>1565</v>
      </c>
      <c r="Q186" s="9" t="s">
        <v>1566</v>
      </c>
    </row>
    <row r="187" spans="1:17" x14ac:dyDescent="0.25">
      <c r="A187" s="8" t="s">
        <v>1567</v>
      </c>
      <c r="B187" s="8" t="s">
        <v>1568</v>
      </c>
      <c r="C187" s="9" t="s">
        <v>1569</v>
      </c>
      <c r="D187" s="9" t="s">
        <v>400</v>
      </c>
      <c r="E187" s="9" t="s">
        <v>1570</v>
      </c>
      <c r="F187" s="10">
        <v>1.359</v>
      </c>
      <c r="G187" s="10">
        <v>1.495</v>
      </c>
      <c r="H187" s="10"/>
      <c r="I187" s="9" t="s">
        <v>400</v>
      </c>
      <c r="J187" s="9" t="s">
        <v>1571</v>
      </c>
      <c r="K187" s="9" t="s">
        <v>1572</v>
      </c>
      <c r="L187" s="8" t="s">
        <v>1573</v>
      </c>
      <c r="M187" s="9" t="s">
        <v>36</v>
      </c>
      <c r="N187" s="9" t="s">
        <v>37</v>
      </c>
      <c r="O187" s="9">
        <f>HYPERLINK("https://www.google.com/maps/search/?api=1&amp;query=39.15479704,-0.52942601", "https://www.google.com/maps/search/?api=1&amp;query=39.15479704,-0.52942601")</f>
      </c>
      <c r="P187" s="9" t="s">
        <v>144</v>
      </c>
      <c r="Q187" s="9" t="s">
        <v>1574</v>
      </c>
    </row>
    <row r="188" spans="1:17" x14ac:dyDescent="0.25">
      <c r="A188" s="8" t="s">
        <v>1575</v>
      </c>
      <c r="B188" s="8" t="s">
        <v>1576</v>
      </c>
      <c r="C188" s="9" t="s">
        <v>1577</v>
      </c>
      <c r="D188" s="9" t="s">
        <v>400</v>
      </c>
      <c r="E188" s="9" t="s">
        <v>1578</v>
      </c>
      <c r="F188" s="10">
        <v>1.359</v>
      </c>
      <c r="G188" s="10">
        <v>1.495</v>
      </c>
      <c r="H188" s="10"/>
      <c r="I188" s="9" t="s">
        <v>400</v>
      </c>
      <c r="J188" s="9" t="s">
        <v>1579</v>
      </c>
      <c r="K188" s="9" t="s">
        <v>1580</v>
      </c>
      <c r="L188" s="8" t="s">
        <v>1581</v>
      </c>
      <c r="M188" s="9" t="s">
        <v>36</v>
      </c>
      <c r="N188" s="9" t="s">
        <v>88</v>
      </c>
      <c r="O188" s="9">
        <f>HYPERLINK("https://www.google.com/maps/search/?api=1&amp;query=39.54899193,-0.42591105", "https://www.google.com/maps/search/?api=1&amp;query=39.54899193,-0.42591105")</f>
      </c>
      <c r="P188" s="9" t="s">
        <v>1582</v>
      </c>
      <c r="Q188" s="9" t="s">
        <v>286</v>
      </c>
    </row>
    <row r="189" spans="1:17" x14ac:dyDescent="0.25">
      <c r="A189" s="8" t="s">
        <v>1583</v>
      </c>
      <c r="B189" s="8" t="s">
        <v>1584</v>
      </c>
      <c r="C189" s="9" t="s">
        <v>1585</v>
      </c>
      <c r="D189" s="9" t="s">
        <v>1483</v>
      </c>
      <c r="E189" s="9" t="s">
        <v>1586</v>
      </c>
      <c r="F189" s="10">
        <v>1.359</v>
      </c>
      <c r="G189" s="10">
        <v>1.495</v>
      </c>
      <c r="H189" s="10"/>
      <c r="I189" s="9" t="s">
        <v>74</v>
      </c>
      <c r="J189" s="9" t="s">
        <v>1587</v>
      </c>
      <c r="K189" s="9" t="s">
        <v>1588</v>
      </c>
      <c r="L189" s="8" t="s">
        <v>1589</v>
      </c>
      <c r="M189" s="9" t="s">
        <v>36</v>
      </c>
      <c r="N189" s="9" t="s">
        <v>37</v>
      </c>
      <c r="O189" s="9">
        <f>HYPERLINK("https://www.google.com/maps/search/?api=1&amp;query=42.4052321,-3.54946515", "https://www.google.com/maps/search/?api=1&amp;query=42.4052321,-3.54946515")</f>
      </c>
      <c r="P189" s="9" t="s">
        <v>1590</v>
      </c>
      <c r="Q189" s="9" t="s">
        <v>1591</v>
      </c>
    </row>
    <row r="190" spans="1:17" x14ac:dyDescent="0.25">
      <c r="A190" s="8" t="s">
        <v>1592</v>
      </c>
      <c r="B190" s="8" t="s">
        <v>1593</v>
      </c>
      <c r="C190" s="9" t="s">
        <v>1594</v>
      </c>
      <c r="D190" s="9" t="s">
        <v>280</v>
      </c>
      <c r="E190" s="9" t="s">
        <v>685</v>
      </c>
      <c r="F190" s="10">
        <v>1.359</v>
      </c>
      <c r="G190" s="10">
        <v>1.495</v>
      </c>
      <c r="H190" s="10"/>
      <c r="I190" s="9" t="s">
        <v>118</v>
      </c>
      <c r="J190" s="9" t="s">
        <v>1595</v>
      </c>
      <c r="K190" s="9" t="s">
        <v>1596</v>
      </c>
      <c r="L190" s="8" t="s">
        <v>1597</v>
      </c>
      <c r="M190" s="9" t="s">
        <v>36</v>
      </c>
      <c r="N190" s="9" t="s">
        <v>88</v>
      </c>
      <c r="O190" s="9">
        <f>HYPERLINK("https://www.google.com/maps/search/?api=1&amp;query=43.33375858,-1.81711241", "https://www.google.com/maps/search/?api=1&amp;query=43.33375858,-1.81711241")</f>
      </c>
      <c r="P190" s="9" t="s">
        <v>1598</v>
      </c>
      <c r="Q190" s="9" t="s">
        <v>539</v>
      </c>
    </row>
    <row r="191" spans="1:17" x14ac:dyDescent="0.25">
      <c r="A191" s="8" t="s">
        <v>1599</v>
      </c>
      <c r="B191" s="8" t="s">
        <v>1600</v>
      </c>
      <c r="C191" s="9" t="s">
        <v>1601</v>
      </c>
      <c r="D191" s="9" t="s">
        <v>1483</v>
      </c>
      <c r="E191" s="9" t="s">
        <v>1602</v>
      </c>
      <c r="F191" s="10">
        <v>1.359</v>
      </c>
      <c r="G191" s="10">
        <v>1.495</v>
      </c>
      <c r="H191" s="10"/>
      <c r="I191" s="9" t="s">
        <v>74</v>
      </c>
      <c r="J191" s="9" t="s">
        <v>1603</v>
      </c>
      <c r="K191" s="9" t="s">
        <v>1604</v>
      </c>
      <c r="L191" s="8" t="s">
        <v>1605</v>
      </c>
      <c r="M191" s="9" t="s">
        <v>100</v>
      </c>
      <c r="N191" s="9" t="s">
        <v>211</v>
      </c>
      <c r="O191" s="9">
        <f>HYPERLINK("https://www.google.com/maps/search/?api=1&amp;query=42.2904762,-3.70308491", "https://www.google.com/maps/search/?api=1&amp;query=42.2904762,-3.70308491")</f>
      </c>
      <c r="P191" s="9" t="s">
        <v>38</v>
      </c>
      <c r="Q191" s="9" t="s">
        <v>874</v>
      </c>
    </row>
    <row r="192" spans="1:17" x14ac:dyDescent="0.25">
      <c r="A192" s="8" t="s">
        <v>1606</v>
      </c>
      <c r="B192" s="8" t="s">
        <v>1607</v>
      </c>
      <c r="C192" s="9" t="s">
        <v>1608</v>
      </c>
      <c r="D192" s="9" t="s">
        <v>488</v>
      </c>
      <c r="E192" s="9" t="s">
        <v>1609</v>
      </c>
      <c r="F192" s="10">
        <v>1.359</v>
      </c>
      <c r="G192" s="10">
        <v>1.495</v>
      </c>
      <c r="H192" s="10"/>
      <c r="I192" s="9" t="s">
        <v>45</v>
      </c>
      <c r="J192" s="9" t="s">
        <v>1610</v>
      </c>
      <c r="K192" s="9" t="s">
        <v>1611</v>
      </c>
      <c r="L192" s="8" t="s">
        <v>1612</v>
      </c>
      <c r="M192" s="9" t="s">
        <v>36</v>
      </c>
      <c r="N192" s="9" t="s">
        <v>88</v>
      </c>
      <c r="O192" s="9">
        <f>HYPERLINK("https://www.google.com/maps/search/?api=1&amp;query=38.0355801,-4.05677206", "https://www.google.com/maps/search/?api=1&amp;query=38.0355801,-4.05677206")</f>
      </c>
      <c r="P192" s="9" t="s">
        <v>1613</v>
      </c>
      <c r="Q192" s="9" t="s">
        <v>151</v>
      </c>
    </row>
    <row r="193" spans="1:17" x14ac:dyDescent="0.25">
      <c r="A193" s="8" t="s">
        <v>1614</v>
      </c>
      <c r="B193" s="8" t="s">
        <v>1615</v>
      </c>
      <c r="C193" s="9" t="s">
        <v>1616</v>
      </c>
      <c r="D193" s="9" t="s">
        <v>1617</v>
      </c>
      <c r="E193" s="9" t="s">
        <v>1618</v>
      </c>
      <c r="F193" s="10">
        <v>1.359</v>
      </c>
      <c r="G193" s="10">
        <v>1.495</v>
      </c>
      <c r="H193" s="10"/>
      <c r="I193" s="9" t="s">
        <v>292</v>
      </c>
      <c r="J193" s="9" t="s">
        <v>1619</v>
      </c>
      <c r="K193" s="9" t="s">
        <v>1620</v>
      </c>
      <c r="L193" s="8" t="s">
        <v>1621</v>
      </c>
      <c r="M193" s="9" t="s">
        <v>36</v>
      </c>
      <c r="N193" s="9" t="s">
        <v>211</v>
      </c>
      <c r="O193" s="9">
        <f>HYPERLINK("https://www.google.com/maps/search/?api=1&amp;query=42.53972233,-0.35548406", "https://www.google.com/maps/search/?api=1&amp;query=42.53972233,-0.35548406")</f>
      </c>
      <c r="P193" s="9" t="s">
        <v>321</v>
      </c>
      <c r="Q193" s="9" t="s">
        <v>1622</v>
      </c>
    </row>
    <row r="194" spans="1:17" x14ac:dyDescent="0.25">
      <c r="A194" s="8" t="s">
        <v>1623</v>
      </c>
      <c r="B194" s="8" t="s">
        <v>1624</v>
      </c>
      <c r="C194" s="9" t="s">
        <v>1625</v>
      </c>
      <c r="D194" s="9" t="s">
        <v>94</v>
      </c>
      <c r="E194" s="9" t="s">
        <v>1500</v>
      </c>
      <c r="F194" s="10">
        <v>1.359</v>
      </c>
      <c r="G194" s="10">
        <v>1.495</v>
      </c>
      <c r="H194" s="10"/>
      <c r="I194" s="9" t="s">
        <v>96</v>
      </c>
      <c r="J194" s="9" t="s">
        <v>1626</v>
      </c>
      <c r="K194" s="9" t="s">
        <v>1627</v>
      </c>
      <c r="L194" s="8" t="s">
        <v>1503</v>
      </c>
      <c r="M194" s="9" t="s">
        <v>36</v>
      </c>
      <c r="N194" s="9" t="s">
        <v>88</v>
      </c>
      <c r="O194" s="9">
        <f>HYPERLINK("https://www.google.com/maps/search/?api=1&amp;query=41.2691051,2.00116685", "https://www.google.com/maps/search/?api=1&amp;query=41.2691051,2.00116685")</f>
      </c>
      <c r="P194" s="9" t="s">
        <v>1628</v>
      </c>
      <c r="Q194" s="9" t="s">
        <v>1629</v>
      </c>
    </row>
    <row r="195" spans="1:17" x14ac:dyDescent="0.25">
      <c r="A195" s="8" t="s">
        <v>1630</v>
      </c>
      <c r="B195" s="8" t="s">
        <v>1631</v>
      </c>
      <c r="C195" s="9" t="s">
        <v>1632</v>
      </c>
      <c r="D195" s="9" t="s">
        <v>344</v>
      </c>
      <c r="E195" s="9" t="s">
        <v>1633</v>
      </c>
      <c r="F195" s="10">
        <v>1.359</v>
      </c>
      <c r="G195" s="10">
        <v>1.495</v>
      </c>
      <c r="H195" s="10"/>
      <c r="I195" s="9" t="s">
        <v>140</v>
      </c>
      <c r="J195" s="9" t="s">
        <v>1634</v>
      </c>
      <c r="K195" s="9" t="s">
        <v>1635</v>
      </c>
      <c r="L195" s="8" t="s">
        <v>1636</v>
      </c>
      <c r="M195" s="9" t="s">
        <v>100</v>
      </c>
      <c r="N195" s="9" t="s">
        <v>339</v>
      </c>
      <c r="O195" s="9">
        <f>HYPERLINK("https://www.google.com/maps/search/?api=1&amp;query=43.31748953,-8.47923782", "https://www.google.com/maps/search/?api=1&amp;query=43.31748953,-8.47923782")</f>
      </c>
      <c r="P195" s="9" t="s">
        <v>1637</v>
      </c>
      <c r="Q195" s="9" t="s">
        <v>832</v>
      </c>
    </row>
    <row r="196" spans="1:17" x14ac:dyDescent="0.25">
      <c r="A196" s="8" t="s">
        <v>1638</v>
      </c>
      <c r="B196" s="8" t="s">
        <v>1639</v>
      </c>
      <c r="C196" s="9" t="s">
        <v>1640</v>
      </c>
      <c r="D196" s="9" t="s">
        <v>488</v>
      </c>
      <c r="E196" s="9" t="s">
        <v>1641</v>
      </c>
      <c r="F196" s="10">
        <v>1.359</v>
      </c>
      <c r="G196" s="10">
        <v>1.495</v>
      </c>
      <c r="H196" s="10"/>
      <c r="I196" s="9" t="s">
        <v>45</v>
      </c>
      <c r="J196" s="9" t="s">
        <v>1642</v>
      </c>
      <c r="K196" s="9" t="s">
        <v>1643</v>
      </c>
      <c r="L196" s="8" t="s">
        <v>1644</v>
      </c>
      <c r="M196" s="9" t="s">
        <v>49</v>
      </c>
      <c r="N196" s="9" t="s">
        <v>66</v>
      </c>
      <c r="O196" s="9">
        <f>HYPERLINK("https://www.google.com/maps/search/?api=1&amp;query=37.9732894,-3.80241971", "https://www.google.com/maps/search/?api=1&amp;query=37.9732894,-3.80241971")</f>
      </c>
      <c r="P196" s="9" t="s">
        <v>1645</v>
      </c>
      <c r="Q196" s="9" t="s">
        <v>1646</v>
      </c>
    </row>
    <row r="197" spans="1:17" x14ac:dyDescent="0.25">
      <c r="A197" s="8" t="s">
        <v>1647</v>
      </c>
      <c r="B197" s="8" t="s">
        <v>1648</v>
      </c>
      <c r="C197" s="9" t="s">
        <v>1649</v>
      </c>
      <c r="D197" s="9" t="s">
        <v>444</v>
      </c>
      <c r="E197" s="9" t="s">
        <v>1650</v>
      </c>
      <c r="F197" s="10">
        <v>1.359</v>
      </c>
      <c r="G197" s="10">
        <v>1.495</v>
      </c>
      <c r="H197" s="10"/>
      <c r="I197" s="9" t="s">
        <v>444</v>
      </c>
      <c r="J197" s="9" t="s">
        <v>1651</v>
      </c>
      <c r="K197" s="9" t="s">
        <v>1652</v>
      </c>
      <c r="L197" s="8" t="s">
        <v>1653</v>
      </c>
      <c r="M197" s="9" t="s">
        <v>49</v>
      </c>
      <c r="N197" s="9" t="s">
        <v>645</v>
      </c>
      <c r="O197" s="9">
        <f>HYPERLINK("https://www.google.com/maps/search/?api=1&amp;query=43.40029295,-5.79110001", "https://www.google.com/maps/search/?api=1&amp;query=43.40029295,-5.79110001")</f>
      </c>
      <c r="P197" s="9" t="s">
        <v>521</v>
      </c>
      <c r="Q197" s="9" t="s">
        <v>1654</v>
      </c>
    </row>
    <row r="198" spans="1:17" x14ac:dyDescent="0.25">
      <c r="A198" s="8" t="s">
        <v>1655</v>
      </c>
      <c r="B198" s="8" t="s">
        <v>1656</v>
      </c>
      <c r="C198" s="9" t="s">
        <v>1657</v>
      </c>
      <c r="D198" s="9" t="s">
        <v>892</v>
      </c>
      <c r="E198" s="9" t="s">
        <v>1199</v>
      </c>
      <c r="F198" s="10">
        <v>1.359</v>
      </c>
      <c r="G198" s="10">
        <v>1.495</v>
      </c>
      <c r="H198" s="10"/>
      <c r="I198" s="9" t="s">
        <v>32</v>
      </c>
      <c r="J198" s="9" t="s">
        <v>1658</v>
      </c>
      <c r="K198" s="9" t="s">
        <v>1659</v>
      </c>
      <c r="L198" s="8" t="s">
        <v>1660</v>
      </c>
      <c r="M198" s="9" t="s">
        <v>49</v>
      </c>
      <c r="N198" s="9" t="s">
        <v>88</v>
      </c>
      <c r="O198" s="9">
        <f>HYPERLINK("https://www.google.com/maps/search/?api=1&amp;query=39.4944018,-6.4182732", "https://www.google.com/maps/search/?api=1&amp;query=39.4944018,-6.4182732")</f>
      </c>
      <c r="P198" s="9" t="s">
        <v>965</v>
      </c>
      <c r="Q198" s="9" t="s">
        <v>1661</v>
      </c>
    </row>
    <row r="199" spans="1:17" x14ac:dyDescent="0.25">
      <c r="A199" s="8" t="s">
        <v>1662</v>
      </c>
      <c r="B199" s="8" t="s">
        <v>1663</v>
      </c>
      <c r="C199" s="9" t="s">
        <v>1664</v>
      </c>
      <c r="D199" s="9" t="s">
        <v>444</v>
      </c>
      <c r="E199" s="9" t="s">
        <v>1665</v>
      </c>
      <c r="F199" s="10">
        <v>1.359</v>
      </c>
      <c r="G199" s="10">
        <v>1.495</v>
      </c>
      <c r="H199" s="10"/>
      <c r="I199" s="9" t="s">
        <v>444</v>
      </c>
      <c r="J199" s="9" t="s">
        <v>1666</v>
      </c>
      <c r="K199" s="9" t="s">
        <v>1667</v>
      </c>
      <c r="L199" s="8" t="s">
        <v>1668</v>
      </c>
      <c r="M199" s="9" t="s">
        <v>36</v>
      </c>
      <c r="N199" s="9" t="s">
        <v>37</v>
      </c>
      <c r="O199" s="9">
        <f>HYPERLINK("https://www.google.com/maps/search/?api=1&amp;query=43.51129831,-5.81724849", "https://www.google.com/maps/search/?api=1&amp;query=43.51129831,-5.81724849")</f>
      </c>
      <c r="P199" s="9" t="s">
        <v>1669</v>
      </c>
      <c r="Q199" s="9" t="s">
        <v>1670</v>
      </c>
    </row>
    <row r="200" spans="1:17" x14ac:dyDescent="0.25">
      <c r="A200" s="8" t="s">
        <v>1671</v>
      </c>
      <c r="B200" s="8" t="s">
        <v>1672</v>
      </c>
      <c r="C200" s="9" t="s">
        <v>1673</v>
      </c>
      <c r="D200" s="9" t="s">
        <v>83</v>
      </c>
      <c r="E200" s="9" t="s">
        <v>1674</v>
      </c>
      <c r="F200" s="10">
        <v>1.359</v>
      </c>
      <c r="G200" s="10">
        <v>1.495</v>
      </c>
      <c r="H200" s="10"/>
      <c r="I200" s="9" t="s">
        <v>83</v>
      </c>
      <c r="J200" s="9" t="s">
        <v>1675</v>
      </c>
      <c r="K200" s="9" t="s">
        <v>1676</v>
      </c>
      <c r="L200" s="8" t="s">
        <v>1677</v>
      </c>
      <c r="M200" s="9" t="s">
        <v>49</v>
      </c>
      <c r="N200" s="9" t="s">
        <v>37</v>
      </c>
      <c r="O200" s="9">
        <f>HYPERLINK("https://www.google.com/maps/search/?api=1&amp;query=40.54580488,-3.60648445", "https://www.google.com/maps/search/?api=1&amp;query=40.54580488,-3.60648445")</f>
      </c>
      <c r="P200" s="9" t="s">
        <v>1678</v>
      </c>
      <c r="Q200" s="9" t="s">
        <v>90</v>
      </c>
    </row>
    <row r="201" spans="1:17" x14ac:dyDescent="0.25">
      <c r="A201" s="8" t="s">
        <v>1679</v>
      </c>
      <c r="B201" s="8" t="s">
        <v>1680</v>
      </c>
      <c r="C201" s="9" t="s">
        <v>1681</v>
      </c>
      <c r="D201" s="9" t="s">
        <v>400</v>
      </c>
      <c r="E201" s="9" t="s">
        <v>1682</v>
      </c>
      <c r="F201" s="10">
        <v>1.359</v>
      </c>
      <c r="G201" s="10">
        <v>1.495</v>
      </c>
      <c r="H201" s="10"/>
      <c r="I201" s="9" t="s">
        <v>400</v>
      </c>
      <c r="J201" s="9" t="s">
        <v>1683</v>
      </c>
      <c r="K201" s="9" t="s">
        <v>1684</v>
      </c>
      <c r="L201" s="8" t="s">
        <v>1685</v>
      </c>
      <c r="M201" s="9" t="s">
        <v>49</v>
      </c>
      <c r="N201" s="9" t="s">
        <v>88</v>
      </c>
      <c r="O201" s="9">
        <f>HYPERLINK("https://www.google.com/maps/search/?api=1&amp;query=38.98215377,-0.6875995", "https://www.google.com/maps/search/?api=1&amp;query=38.98215377,-0.6875995")</f>
      </c>
      <c r="P201" s="9" t="s">
        <v>1686</v>
      </c>
      <c r="Q201" s="9" t="s">
        <v>1687</v>
      </c>
    </row>
    <row r="202" spans="1:17" x14ac:dyDescent="0.25">
      <c r="A202" s="8" t="s">
        <v>1688</v>
      </c>
      <c r="B202" s="8" t="s">
        <v>1689</v>
      </c>
      <c r="C202" s="9" t="s">
        <v>1690</v>
      </c>
      <c r="D202" s="9" t="s">
        <v>424</v>
      </c>
      <c r="E202" s="9" t="s">
        <v>1691</v>
      </c>
      <c r="F202" s="10">
        <v>1.359</v>
      </c>
      <c r="G202" s="10">
        <v>1.495</v>
      </c>
      <c r="H202" s="10"/>
      <c r="I202" s="9" t="s">
        <v>96</v>
      </c>
      <c r="J202" s="9" t="s">
        <v>1692</v>
      </c>
      <c r="K202" s="9" t="s">
        <v>1693</v>
      </c>
      <c r="L202" s="8" t="s">
        <v>1694</v>
      </c>
      <c r="M202" s="9" t="s">
        <v>49</v>
      </c>
      <c r="N202" s="9" t="s">
        <v>1695</v>
      </c>
      <c r="O202" s="9">
        <f>HYPERLINK("https://www.google.com/maps/search/?api=1&amp;query=42.36037078,1.45490954", "https://www.google.com/maps/search/?api=1&amp;query=42.36037078,1.45490954")</f>
      </c>
      <c r="P202" s="9" t="s">
        <v>172</v>
      </c>
      <c r="Q202" s="9" t="s">
        <v>1140</v>
      </c>
    </row>
    <row r="203" spans="1:17" x14ac:dyDescent="0.25">
      <c r="A203" s="8" t="s">
        <v>1696</v>
      </c>
      <c r="B203" s="8" t="s">
        <v>1697</v>
      </c>
      <c r="C203" s="9" t="s">
        <v>1698</v>
      </c>
      <c r="D203" s="9" t="s">
        <v>94</v>
      </c>
      <c r="E203" s="9" t="s">
        <v>94</v>
      </c>
      <c r="F203" s="10">
        <v>1.359</v>
      </c>
      <c r="G203" s="10">
        <v>1.495</v>
      </c>
      <c r="H203" s="10"/>
      <c r="I203" s="9" t="s">
        <v>96</v>
      </c>
      <c r="J203" s="9" t="s">
        <v>1699</v>
      </c>
      <c r="K203" s="9" t="s">
        <v>1700</v>
      </c>
      <c r="L203" s="8" t="s">
        <v>1701</v>
      </c>
      <c r="M203" s="9" t="s">
        <v>36</v>
      </c>
      <c r="N203" s="9" t="s">
        <v>37</v>
      </c>
      <c r="O203" s="9">
        <f>HYPERLINK("https://www.google.com/maps/search/?api=1&amp;query=41.40526394,2.17961839", "https://www.google.com/maps/search/?api=1&amp;query=41.40526394,2.17961839")</f>
      </c>
      <c r="P203" s="9" t="s">
        <v>1702</v>
      </c>
      <c r="Q203" s="9" t="s">
        <v>565</v>
      </c>
    </row>
    <row r="204" spans="1:17" x14ac:dyDescent="0.25">
      <c r="A204" s="8" t="s">
        <v>1703</v>
      </c>
      <c r="B204" s="8" t="s">
        <v>1704</v>
      </c>
      <c r="C204" s="9" t="s">
        <v>1705</v>
      </c>
      <c r="D204" s="9" t="s">
        <v>138</v>
      </c>
      <c r="E204" s="9" t="s">
        <v>1706</v>
      </c>
      <c r="F204" s="10">
        <v>1.359</v>
      </c>
      <c r="G204" s="10">
        <v>1.495</v>
      </c>
      <c r="H204" s="10"/>
      <c r="I204" s="9" t="s">
        <v>140</v>
      </c>
      <c r="J204" s="9" t="s">
        <v>1707</v>
      </c>
      <c r="K204" s="9" t="s">
        <v>1708</v>
      </c>
      <c r="L204" s="8" t="s">
        <v>1709</v>
      </c>
      <c r="M204" s="9" t="s">
        <v>49</v>
      </c>
      <c r="N204" s="9" t="s">
        <v>1710</v>
      </c>
      <c r="O204" s="9">
        <f>HYPERLINK("https://www.google.com/maps/search/?api=1&amp;query=42.2127363,-8.6495233", "https://www.google.com/maps/search/?api=1&amp;query=42.2127363,-8.6495233")</f>
      </c>
      <c r="P204" s="9" t="s">
        <v>646</v>
      </c>
      <c r="Q204" s="9" t="s">
        <v>1711</v>
      </c>
    </row>
    <row r="205" spans="1:17" x14ac:dyDescent="0.25">
      <c r="A205" s="8" t="s">
        <v>1712</v>
      </c>
      <c r="B205" s="8" t="s">
        <v>1713</v>
      </c>
      <c r="C205" s="9" t="s">
        <v>1714</v>
      </c>
      <c r="D205" s="9" t="s">
        <v>197</v>
      </c>
      <c r="E205" s="9" t="s">
        <v>1715</v>
      </c>
      <c r="F205" s="10">
        <v>1.359</v>
      </c>
      <c r="G205" s="10">
        <v>1.495</v>
      </c>
      <c r="H205" s="10"/>
      <c r="I205" s="9" t="s">
        <v>168</v>
      </c>
      <c r="J205" s="9" t="s">
        <v>1716</v>
      </c>
      <c r="K205" s="9" t="s">
        <v>1717</v>
      </c>
      <c r="L205" s="8" t="s">
        <v>1718</v>
      </c>
      <c r="M205" s="9" t="s">
        <v>100</v>
      </c>
      <c r="N205" s="9" t="s">
        <v>1719</v>
      </c>
      <c r="O205" s="9">
        <f>HYPERLINK("https://www.google.com/maps/search/?api=1&amp;query=39.68418616,-3.98762974", "https://www.google.com/maps/search/?api=1&amp;query=39.68418616,-3.98762974")</f>
      </c>
      <c r="P205" s="9" t="s">
        <v>880</v>
      </c>
      <c r="Q205" s="9" t="s">
        <v>1170</v>
      </c>
    </row>
    <row r="206" spans="1:17" x14ac:dyDescent="0.25">
      <c r="A206" s="8" t="s">
        <v>1720</v>
      </c>
      <c r="B206" s="8" t="s">
        <v>1721</v>
      </c>
      <c r="C206" s="9" t="s">
        <v>1722</v>
      </c>
      <c r="D206" s="9" t="s">
        <v>72</v>
      </c>
      <c r="E206" s="9" t="s">
        <v>1723</v>
      </c>
      <c r="F206" s="10">
        <v>1.359</v>
      </c>
      <c r="G206" s="10">
        <v>1.495</v>
      </c>
      <c r="H206" s="10"/>
      <c r="I206" s="9" t="s">
        <v>74</v>
      </c>
      <c r="J206" s="9" t="s">
        <v>1724</v>
      </c>
      <c r="K206" s="9" t="s">
        <v>1725</v>
      </c>
      <c r="L206" s="8" t="s">
        <v>1726</v>
      </c>
      <c r="M206" s="9" t="s">
        <v>49</v>
      </c>
      <c r="N206" s="9" t="s">
        <v>211</v>
      </c>
      <c r="O206" s="9">
        <f>HYPERLINK("https://www.google.com/maps/search/?api=1&amp;query=42.7936397,-4.25531889", "https://www.google.com/maps/search/?api=1&amp;query=42.7936397,-4.25531889")</f>
      </c>
      <c r="P206" s="9" t="s">
        <v>1121</v>
      </c>
      <c r="Q206" s="9" t="s">
        <v>1727</v>
      </c>
    </row>
    <row r="207" spans="1:17" x14ac:dyDescent="0.25">
      <c r="A207" s="8" t="s">
        <v>1728</v>
      </c>
      <c r="B207" s="8" t="s">
        <v>1729</v>
      </c>
      <c r="C207" s="9" t="s">
        <v>1198</v>
      </c>
      <c r="D207" s="9" t="s">
        <v>469</v>
      </c>
      <c r="E207" s="9" t="s">
        <v>469</v>
      </c>
      <c r="F207" s="10">
        <v>1.359</v>
      </c>
      <c r="G207" s="10">
        <v>1.495</v>
      </c>
      <c r="H207" s="10"/>
      <c r="I207" s="9" t="s">
        <v>74</v>
      </c>
      <c r="J207" s="9" t="s">
        <v>1730</v>
      </c>
      <c r="K207" s="9" t="s">
        <v>1731</v>
      </c>
      <c r="L207" s="8" t="s">
        <v>1732</v>
      </c>
      <c r="M207" s="9" t="s">
        <v>49</v>
      </c>
      <c r="N207" s="9" t="s">
        <v>211</v>
      </c>
      <c r="O207" s="9">
        <f>HYPERLINK("https://www.google.com/maps/search/?api=1&amp;query=40.95795534,-5.6532795", "https://www.google.com/maps/search/?api=1&amp;query=40.95795534,-5.6532795")</f>
      </c>
      <c r="P207" s="9" t="s">
        <v>880</v>
      </c>
      <c r="Q207" s="9" t="s">
        <v>1733</v>
      </c>
    </row>
    <row r="208" spans="1:17" x14ac:dyDescent="0.25">
      <c r="A208" s="8" t="s">
        <v>1734</v>
      </c>
      <c r="B208" s="8" t="s">
        <v>1735</v>
      </c>
      <c r="C208" s="9" t="s">
        <v>1736</v>
      </c>
      <c r="D208" s="9" t="s">
        <v>631</v>
      </c>
      <c r="E208" s="9" t="s">
        <v>1737</v>
      </c>
      <c r="F208" s="10">
        <v>1.359</v>
      </c>
      <c r="G208" s="10">
        <v>1.495</v>
      </c>
      <c r="H208" s="10"/>
      <c r="I208" s="9" t="s">
        <v>45</v>
      </c>
      <c r="J208" s="9" t="s">
        <v>1738</v>
      </c>
      <c r="K208" s="9" t="s">
        <v>1739</v>
      </c>
      <c r="L208" s="8" t="s">
        <v>1740</v>
      </c>
      <c r="M208" s="9" t="s">
        <v>36</v>
      </c>
      <c r="N208" s="9" t="s">
        <v>88</v>
      </c>
      <c r="O208" s="9">
        <f>HYPERLINK("https://www.google.com/maps/search/?api=1&amp;query=37.62849672,-5.0388695", "https://www.google.com/maps/search/?api=1&amp;query=37.62849672,-5.0388695")</f>
      </c>
      <c r="P208" s="9" t="s">
        <v>1741</v>
      </c>
      <c r="Q208" s="9" t="s">
        <v>1742</v>
      </c>
    </row>
    <row r="209" spans="1:17" x14ac:dyDescent="0.25">
      <c r="A209" s="8" t="s">
        <v>1743</v>
      </c>
      <c r="B209" s="8" t="s">
        <v>1744</v>
      </c>
      <c r="C209" s="9" t="s">
        <v>1745</v>
      </c>
      <c r="D209" s="9" t="s">
        <v>280</v>
      </c>
      <c r="E209" s="9" t="s">
        <v>1746</v>
      </c>
      <c r="F209" s="10">
        <v>1.359</v>
      </c>
      <c r="G209" s="10">
        <v>1.495</v>
      </c>
      <c r="H209" s="10"/>
      <c r="I209" s="9" t="s">
        <v>118</v>
      </c>
      <c r="J209" s="9" t="s">
        <v>1747</v>
      </c>
      <c r="K209" s="9" t="s">
        <v>1748</v>
      </c>
      <c r="L209" s="8" t="s">
        <v>1749</v>
      </c>
      <c r="M209" s="9" t="s">
        <v>49</v>
      </c>
      <c r="N209" s="9" t="s">
        <v>1750</v>
      </c>
      <c r="O209" s="9">
        <f>HYPERLINK("https://www.google.com/maps/search/?api=1&amp;query=43.06698204,-2.47824881", "https://www.google.com/maps/search/?api=1&amp;query=43.06698204,-2.47824881")</f>
      </c>
      <c r="P209" s="9" t="s">
        <v>1751</v>
      </c>
      <c r="Q209" s="9" t="s">
        <v>112</v>
      </c>
    </row>
    <row r="210" spans="1:17" x14ac:dyDescent="0.25">
      <c r="A210" s="8" t="s">
        <v>1752</v>
      </c>
      <c r="B210" s="8" t="s">
        <v>1753</v>
      </c>
      <c r="C210" s="9" t="s">
        <v>1754</v>
      </c>
      <c r="D210" s="9" t="s">
        <v>516</v>
      </c>
      <c r="E210" s="9" t="s">
        <v>1755</v>
      </c>
      <c r="F210" s="10">
        <v>1.359</v>
      </c>
      <c r="G210" s="10">
        <v>1.495</v>
      </c>
      <c r="H210" s="10"/>
      <c r="I210" s="9" t="s">
        <v>140</v>
      </c>
      <c r="J210" s="9" t="s">
        <v>1756</v>
      </c>
      <c r="K210" s="9" t="s">
        <v>1757</v>
      </c>
      <c r="L210" s="8" t="s">
        <v>1758</v>
      </c>
      <c r="M210" s="9" t="s">
        <v>49</v>
      </c>
      <c r="N210" s="9" t="s">
        <v>211</v>
      </c>
      <c r="O210" s="9">
        <f>HYPERLINK("https://www.google.com/maps/search/?api=1&amp;query=43.54015024,-7.24195817", "https://www.google.com/maps/search/?api=1&amp;query=43.54015024,-7.24195817")</f>
      </c>
      <c r="P210" s="9" t="s">
        <v>1759</v>
      </c>
      <c r="Q210" s="9" t="s">
        <v>1760</v>
      </c>
    </row>
    <row r="211" spans="1:17" x14ac:dyDescent="0.25">
      <c r="A211" s="8" t="s">
        <v>1761</v>
      </c>
      <c r="B211" s="8" t="s">
        <v>1762</v>
      </c>
      <c r="C211" s="9" t="s">
        <v>1763</v>
      </c>
      <c r="D211" s="9" t="s">
        <v>83</v>
      </c>
      <c r="E211" s="9" t="s">
        <v>83</v>
      </c>
      <c r="F211" s="10">
        <v>1.359</v>
      </c>
      <c r="G211" s="10">
        <v>1.495</v>
      </c>
      <c r="H211" s="10"/>
      <c r="I211" s="9" t="s">
        <v>83</v>
      </c>
      <c r="J211" s="9" t="s">
        <v>1764</v>
      </c>
      <c r="K211" s="9" t="s">
        <v>1765</v>
      </c>
      <c r="L211" s="8" t="s">
        <v>1766</v>
      </c>
      <c r="M211" s="9" t="s">
        <v>49</v>
      </c>
      <c r="N211" s="9" t="s">
        <v>37</v>
      </c>
      <c r="O211" s="9">
        <f>HYPERLINK("https://www.google.com/maps/search/?api=1&amp;query=40.46113203,-3.75785973", "https://www.google.com/maps/search/?api=1&amp;query=40.46113203,-3.75785973")</f>
      </c>
      <c r="P211" s="9" t="s">
        <v>1767</v>
      </c>
      <c r="Q211" s="9" t="s">
        <v>286</v>
      </c>
    </row>
    <row r="212" spans="1:17" x14ac:dyDescent="0.25">
      <c r="A212" s="8" t="s">
        <v>1768</v>
      </c>
      <c r="B212" s="8" t="s">
        <v>1769</v>
      </c>
      <c r="C212" s="9" t="s">
        <v>1770</v>
      </c>
      <c r="D212" s="9" t="s">
        <v>631</v>
      </c>
      <c r="E212" s="9" t="s">
        <v>1771</v>
      </c>
      <c r="F212" s="10">
        <v>1.359</v>
      </c>
      <c r="G212" s="10">
        <v>1.495</v>
      </c>
      <c r="H212" s="10"/>
      <c r="I212" s="9" t="s">
        <v>45</v>
      </c>
      <c r="J212" s="9" t="s">
        <v>1772</v>
      </c>
      <c r="K212" s="9" t="s">
        <v>1773</v>
      </c>
      <c r="L212" s="8" t="s">
        <v>1774</v>
      </c>
      <c r="M212" s="9" t="s">
        <v>36</v>
      </c>
      <c r="N212" s="9" t="s">
        <v>88</v>
      </c>
      <c r="O212" s="9">
        <f>HYPERLINK("https://www.google.com/maps/search/?api=1&amp;query=38.37973978,-4.85995783", "https://www.google.com/maps/search/?api=1&amp;query=38.37973978,-4.85995783")</f>
      </c>
      <c r="P212" s="9" t="s">
        <v>1775</v>
      </c>
      <c r="Q212" s="9" t="s">
        <v>1188</v>
      </c>
    </row>
    <row r="213" spans="1:17" x14ac:dyDescent="0.25">
      <c r="A213" s="8" t="s">
        <v>1776</v>
      </c>
      <c r="B213" s="8" t="s">
        <v>1777</v>
      </c>
      <c r="C213" s="9" t="s">
        <v>1778</v>
      </c>
      <c r="D213" s="9" t="s">
        <v>379</v>
      </c>
      <c r="E213" s="9" t="s">
        <v>785</v>
      </c>
      <c r="F213" s="10">
        <v>1.359</v>
      </c>
      <c r="G213" s="10">
        <v>1.495</v>
      </c>
      <c r="H213" s="10"/>
      <c r="I213" s="9" t="s">
        <v>379</v>
      </c>
      <c r="J213" s="9" t="s">
        <v>1779</v>
      </c>
      <c r="K213" s="9" t="s">
        <v>1780</v>
      </c>
      <c r="L213" s="8" t="s">
        <v>788</v>
      </c>
      <c r="M213" s="9" t="s">
        <v>100</v>
      </c>
      <c r="N213" s="9" t="s">
        <v>1781</v>
      </c>
      <c r="O213" s="9">
        <f>HYPERLINK("https://www.google.com/maps/search/?api=1&amp;query=42.81608229,-1.59391709", "https://www.google.com/maps/search/?api=1&amp;query=42.81608229,-1.59391709")</f>
      </c>
      <c r="P213" s="9" t="s">
        <v>789</v>
      </c>
      <c r="Q213" s="9" t="s">
        <v>102</v>
      </c>
    </row>
    <row r="214" spans="1:17" x14ac:dyDescent="0.25">
      <c r="A214" s="8" t="s">
        <v>1782</v>
      </c>
      <c r="B214" s="8" t="s">
        <v>1783</v>
      </c>
      <c r="C214" s="9" t="s">
        <v>1784</v>
      </c>
      <c r="D214" s="9" t="s">
        <v>1192</v>
      </c>
      <c r="E214" s="9" t="s">
        <v>1785</v>
      </c>
      <c r="F214" s="10">
        <v>1.359</v>
      </c>
      <c r="G214" s="10">
        <v>1.495</v>
      </c>
      <c r="H214" s="10"/>
      <c r="I214" s="9" t="s">
        <v>168</v>
      </c>
      <c r="J214" s="9" t="s">
        <v>1786</v>
      </c>
      <c r="K214" s="9" t="s">
        <v>1787</v>
      </c>
      <c r="L214" s="8" t="s">
        <v>1788</v>
      </c>
      <c r="M214" s="9" t="s">
        <v>36</v>
      </c>
      <c r="N214" s="9" t="s">
        <v>645</v>
      </c>
      <c r="O214" s="9">
        <f>HYPERLINK("https://www.google.com/maps/search/?api=1&amp;query=39.387364,-3.23186808", "https://www.google.com/maps/search/?api=1&amp;query=39.387364,-3.23186808")</f>
      </c>
      <c r="P214" s="9" t="s">
        <v>1789</v>
      </c>
      <c r="Q214" s="9" t="s">
        <v>1654</v>
      </c>
    </row>
    <row r="215" spans="1:17" x14ac:dyDescent="0.25">
      <c r="A215" s="8" t="s">
        <v>1790</v>
      </c>
      <c r="B215" s="8" t="s">
        <v>1791</v>
      </c>
      <c r="C215" s="9" t="s">
        <v>1792</v>
      </c>
      <c r="D215" s="9" t="s">
        <v>217</v>
      </c>
      <c r="E215" s="9" t="s">
        <v>1793</v>
      </c>
      <c r="F215" s="10">
        <v>1.359</v>
      </c>
      <c r="G215" s="10">
        <v>1.495</v>
      </c>
      <c r="H215" s="10"/>
      <c r="I215" s="9" t="s">
        <v>45</v>
      </c>
      <c r="J215" s="9" t="s">
        <v>1794</v>
      </c>
      <c r="K215" s="9" t="s">
        <v>1795</v>
      </c>
      <c r="L215" s="8" t="s">
        <v>1796</v>
      </c>
      <c r="M215" s="9" t="s">
        <v>36</v>
      </c>
      <c r="N215" s="9" t="s">
        <v>211</v>
      </c>
      <c r="O215" s="9">
        <f>HYPERLINK("https://www.google.com/maps/search/?api=1&amp;query=36.76009307,-4.04984108", "https://www.google.com/maps/search/?api=1&amp;query=36.76009307,-4.04984108")</f>
      </c>
      <c r="P215" s="9" t="s">
        <v>557</v>
      </c>
      <c r="Q215" s="9" t="s">
        <v>697</v>
      </c>
    </row>
    <row r="216" spans="1:17" x14ac:dyDescent="0.25">
      <c r="A216" s="8" t="s">
        <v>1797</v>
      </c>
      <c r="B216" s="8" t="s">
        <v>1798</v>
      </c>
      <c r="C216" s="9" t="s">
        <v>1799</v>
      </c>
      <c r="D216" s="9" t="s">
        <v>128</v>
      </c>
      <c r="E216" s="9" t="s">
        <v>129</v>
      </c>
      <c r="F216" s="10">
        <v>1.359</v>
      </c>
      <c r="G216" s="10">
        <v>1.495</v>
      </c>
      <c r="H216" s="10"/>
      <c r="I216" s="9" t="s">
        <v>45</v>
      </c>
      <c r="J216" s="9" t="s">
        <v>1800</v>
      </c>
      <c r="K216" s="9" t="s">
        <v>1801</v>
      </c>
      <c r="L216" s="8" t="s">
        <v>1802</v>
      </c>
      <c r="M216" s="9" t="s">
        <v>49</v>
      </c>
      <c r="N216" s="9" t="s">
        <v>88</v>
      </c>
      <c r="O216" s="9">
        <f>HYPERLINK("https://www.google.com/maps/search/?api=1&amp;query=36.70706077,-6.12504551", "https://www.google.com/maps/search/?api=1&amp;query=36.70706077,-6.12504551")</f>
      </c>
      <c r="P216" s="9" t="s">
        <v>1803</v>
      </c>
      <c r="Q216" s="9" t="s">
        <v>1804</v>
      </c>
    </row>
    <row r="217" spans="1:17" x14ac:dyDescent="0.25">
      <c r="A217" s="8" t="s">
        <v>1805</v>
      </c>
      <c r="B217" s="8" t="s">
        <v>1806</v>
      </c>
      <c r="C217" s="9" t="s">
        <v>1807</v>
      </c>
      <c r="D217" s="9" t="s">
        <v>61</v>
      </c>
      <c r="E217" s="9" t="s">
        <v>1808</v>
      </c>
      <c r="F217" s="10">
        <v>1.359</v>
      </c>
      <c r="G217" s="10">
        <v>1.495</v>
      </c>
      <c r="H217" s="10"/>
      <c r="I217" s="9" t="s">
        <v>45</v>
      </c>
      <c r="J217" s="9" t="s">
        <v>1809</v>
      </c>
      <c r="K217" s="9" t="s">
        <v>1810</v>
      </c>
      <c r="L217" s="8" t="s">
        <v>1811</v>
      </c>
      <c r="M217" s="9" t="s">
        <v>49</v>
      </c>
      <c r="N217" s="9" t="s">
        <v>37</v>
      </c>
      <c r="O217" s="9">
        <f>HYPERLINK("https://www.google.com/maps/search/?api=1&amp;query=37.35214798,-6.04741287", "https://www.google.com/maps/search/?api=1&amp;query=37.35214798,-6.04741287")</f>
      </c>
      <c r="P217" s="9" t="s">
        <v>1524</v>
      </c>
      <c r="Q217" s="9" t="s">
        <v>1812</v>
      </c>
    </row>
    <row r="218" spans="1:17" x14ac:dyDescent="0.25">
      <c r="A218" s="8" t="s">
        <v>1813</v>
      </c>
      <c r="B218" s="8" t="s">
        <v>1814</v>
      </c>
      <c r="C218" s="9" t="s">
        <v>1815</v>
      </c>
      <c r="D218" s="9" t="s">
        <v>83</v>
      </c>
      <c r="E218" s="9" t="s">
        <v>1816</v>
      </c>
      <c r="F218" s="10">
        <v>1.359</v>
      </c>
      <c r="G218" s="10">
        <v>1.495</v>
      </c>
      <c r="H218" s="10"/>
      <c r="I218" s="9" t="s">
        <v>83</v>
      </c>
      <c r="J218" s="9" t="s">
        <v>1817</v>
      </c>
      <c r="K218" s="9" t="s">
        <v>1818</v>
      </c>
      <c r="L218" s="8" t="s">
        <v>1819</v>
      </c>
      <c r="M218" s="9" t="s">
        <v>49</v>
      </c>
      <c r="N218" s="9" t="s">
        <v>37</v>
      </c>
      <c r="O218" s="9">
        <f>HYPERLINK("https://www.google.com/maps/search/?api=1&amp;query=40.37548279,-3.87161133", "https://www.google.com/maps/search/?api=1&amp;query=40.37548279,-3.87161133")</f>
      </c>
      <c r="P218" s="9" t="s">
        <v>696</v>
      </c>
      <c r="Q218" s="9" t="s">
        <v>1820</v>
      </c>
    </row>
    <row r="219" spans="1:17" x14ac:dyDescent="0.25">
      <c r="A219" s="8" t="s">
        <v>1821</v>
      </c>
      <c r="B219" s="8" t="s">
        <v>1822</v>
      </c>
      <c r="C219" s="9" t="s">
        <v>1823</v>
      </c>
      <c r="D219" s="9" t="s">
        <v>94</v>
      </c>
      <c r="E219" s="9" t="s">
        <v>735</v>
      </c>
      <c r="F219" s="10">
        <v>1.359</v>
      </c>
      <c r="G219" s="10">
        <v>1.495</v>
      </c>
      <c r="H219" s="10"/>
      <c r="I219" s="9" t="s">
        <v>96</v>
      </c>
      <c r="J219" s="9" t="s">
        <v>1824</v>
      </c>
      <c r="K219" s="9" t="s">
        <v>1825</v>
      </c>
      <c r="L219" s="8" t="s">
        <v>738</v>
      </c>
      <c r="M219" s="9" t="s">
        <v>36</v>
      </c>
      <c r="N219" s="9" t="s">
        <v>339</v>
      </c>
      <c r="O219" s="9">
        <f>HYPERLINK("https://www.google.com/maps/search/?api=1&amp;query=41.52103782,2.1238595", "https://www.google.com/maps/search/?api=1&amp;query=41.52103782,2.1238595")</f>
      </c>
      <c r="P219" s="9" t="s">
        <v>663</v>
      </c>
      <c r="Q219" s="9" t="s">
        <v>1826</v>
      </c>
    </row>
    <row r="220" spans="1:17" x14ac:dyDescent="0.25">
      <c r="A220" s="8" t="s">
        <v>1827</v>
      </c>
      <c r="B220" s="8" t="s">
        <v>1828</v>
      </c>
      <c r="C220" s="9" t="s">
        <v>1829</v>
      </c>
      <c r="D220" s="9" t="s">
        <v>187</v>
      </c>
      <c r="E220" s="9" t="s">
        <v>1830</v>
      </c>
      <c r="F220" s="10">
        <v>1.359</v>
      </c>
      <c r="G220" s="10">
        <v>1.495</v>
      </c>
      <c r="H220" s="10"/>
      <c r="I220" s="9" t="s">
        <v>74</v>
      </c>
      <c r="J220" s="9" t="s">
        <v>1831</v>
      </c>
      <c r="K220" s="9" t="s">
        <v>1832</v>
      </c>
      <c r="L220" s="8" t="s">
        <v>1833</v>
      </c>
      <c r="M220" s="9" t="s">
        <v>49</v>
      </c>
      <c r="N220" s="9" t="s">
        <v>211</v>
      </c>
      <c r="O220" s="9">
        <f>HYPERLINK("https://www.google.com/maps/search/?api=1&amp;query=42.61736362,-5.60212636", "https://www.google.com/maps/search/?api=1&amp;query=42.61736362,-5.60212636")</f>
      </c>
      <c r="P220" s="9" t="s">
        <v>1834</v>
      </c>
      <c r="Q220" s="9" t="s">
        <v>286</v>
      </c>
    </row>
    <row r="221" spans="1:17" x14ac:dyDescent="0.25">
      <c r="A221" s="8" t="s">
        <v>1835</v>
      </c>
      <c r="B221" s="8" t="s">
        <v>1836</v>
      </c>
      <c r="C221" s="9" t="s">
        <v>1837</v>
      </c>
      <c r="D221" s="9" t="s">
        <v>94</v>
      </c>
      <c r="E221" s="9" t="s">
        <v>1838</v>
      </c>
      <c r="F221" s="10">
        <v>1.359</v>
      </c>
      <c r="G221" s="10">
        <v>1.495</v>
      </c>
      <c r="H221" s="10"/>
      <c r="I221" s="9" t="s">
        <v>96</v>
      </c>
      <c r="J221" s="9" t="s">
        <v>1839</v>
      </c>
      <c r="K221" s="9" t="s">
        <v>1840</v>
      </c>
      <c r="L221" s="8" t="s">
        <v>1841</v>
      </c>
      <c r="M221" s="9" t="s">
        <v>36</v>
      </c>
      <c r="N221" s="9" t="s">
        <v>88</v>
      </c>
      <c r="O221" s="9">
        <f>HYPERLINK("https://www.google.com/maps/search/?api=1&amp;query=41.50030444,2.15099686", "https://www.google.com/maps/search/?api=1&amp;query=41.50030444,2.15099686")</f>
      </c>
      <c r="P221" s="9" t="s">
        <v>1842</v>
      </c>
      <c r="Q221" s="9" t="s">
        <v>1843</v>
      </c>
    </row>
    <row r="222" spans="1:17" x14ac:dyDescent="0.25">
      <c r="A222" s="8" t="s">
        <v>1844</v>
      </c>
      <c r="B222" s="8" t="s">
        <v>1845</v>
      </c>
      <c r="C222" s="9" t="s">
        <v>1846</v>
      </c>
      <c r="D222" s="9" t="s">
        <v>1847</v>
      </c>
      <c r="E222" s="9" t="s">
        <v>1848</v>
      </c>
      <c r="F222" s="10">
        <v>1.359</v>
      </c>
      <c r="G222" s="10">
        <v>1.495</v>
      </c>
      <c r="H222" s="10"/>
      <c r="I222" s="9" t="s">
        <v>74</v>
      </c>
      <c r="J222" s="9" t="s">
        <v>1849</v>
      </c>
      <c r="K222" s="9" t="s">
        <v>1850</v>
      </c>
      <c r="L222" s="8" t="s">
        <v>1851</v>
      </c>
      <c r="M222" s="9" t="s">
        <v>36</v>
      </c>
      <c r="N222" s="9" t="s">
        <v>211</v>
      </c>
      <c r="O222" s="9">
        <f>HYPERLINK("https://www.google.com/maps/search/?api=1&amp;query=40.998861,-4.14869753", "https://www.google.com/maps/search/?api=1&amp;query=40.998861,-4.14869753")</f>
      </c>
      <c r="P222" s="9" t="s">
        <v>321</v>
      </c>
      <c r="Q222" s="9" t="s">
        <v>102</v>
      </c>
    </row>
    <row r="223" spans="1:17" x14ac:dyDescent="0.25">
      <c r="A223" s="8" t="s">
        <v>1852</v>
      </c>
      <c r="B223" s="8" t="s">
        <v>1853</v>
      </c>
      <c r="C223" s="9" t="s">
        <v>1854</v>
      </c>
      <c r="D223" s="9" t="s">
        <v>61</v>
      </c>
      <c r="E223" s="9" t="s">
        <v>1855</v>
      </c>
      <c r="F223" s="10">
        <v>1.359</v>
      </c>
      <c r="G223" s="10">
        <v>1.495</v>
      </c>
      <c r="H223" s="10"/>
      <c r="I223" s="9" t="s">
        <v>45</v>
      </c>
      <c r="J223" s="9" t="s">
        <v>1856</v>
      </c>
      <c r="K223" s="9" t="s">
        <v>1857</v>
      </c>
      <c r="L223" s="8" t="s">
        <v>1858</v>
      </c>
      <c r="M223" s="9" t="s">
        <v>49</v>
      </c>
      <c r="N223" s="9" t="s">
        <v>88</v>
      </c>
      <c r="O223" s="9">
        <f>HYPERLINK("https://www.google.com/maps/search/?api=1&amp;query=37.37798349,-6.08206678", "https://www.google.com/maps/search/?api=1&amp;query=37.37798349,-6.08206678")</f>
      </c>
      <c r="P223" s="9" t="s">
        <v>1859</v>
      </c>
      <c r="Q223" s="9" t="s">
        <v>124</v>
      </c>
    </row>
    <row r="224" spans="1:17" x14ac:dyDescent="0.25">
      <c r="A224" s="8" t="s">
        <v>1860</v>
      </c>
      <c r="B224" s="8" t="s">
        <v>1861</v>
      </c>
      <c r="C224" s="9" t="s">
        <v>1862</v>
      </c>
      <c r="D224" s="9" t="s">
        <v>61</v>
      </c>
      <c r="E224" s="9" t="s">
        <v>1451</v>
      </c>
      <c r="F224" s="10">
        <v>1.359</v>
      </c>
      <c r="G224" s="10">
        <v>1.495</v>
      </c>
      <c r="H224" s="10"/>
      <c r="I224" s="9" t="s">
        <v>45</v>
      </c>
      <c r="J224" s="9" t="s">
        <v>1452</v>
      </c>
      <c r="K224" s="9" t="s">
        <v>1863</v>
      </c>
      <c r="L224" s="8" t="s">
        <v>1454</v>
      </c>
      <c r="M224" s="9" t="s">
        <v>100</v>
      </c>
      <c r="N224" s="9" t="s">
        <v>88</v>
      </c>
      <c r="O224" s="9">
        <f>HYPERLINK("https://www.google.com/maps/search/?api=1&amp;query=37.25555633,-5.56418176", "https://www.google.com/maps/search/?api=1&amp;query=37.25555633,-5.56418176")</f>
      </c>
      <c r="P224" s="9" t="s">
        <v>521</v>
      </c>
      <c r="Q224" s="9" t="s">
        <v>1864</v>
      </c>
    </row>
    <row r="225" spans="1:17" x14ac:dyDescent="0.25">
      <c r="A225" s="8" t="s">
        <v>1865</v>
      </c>
      <c r="B225" s="8" t="s">
        <v>1866</v>
      </c>
      <c r="C225" s="9" t="s">
        <v>1867</v>
      </c>
      <c r="D225" s="9" t="s">
        <v>444</v>
      </c>
      <c r="E225" s="9" t="s">
        <v>1868</v>
      </c>
      <c r="F225" s="10">
        <v>1.359</v>
      </c>
      <c r="G225" s="10">
        <v>1.495</v>
      </c>
      <c r="H225" s="10"/>
      <c r="I225" s="9" t="s">
        <v>444</v>
      </c>
      <c r="J225" s="9" t="s">
        <v>1869</v>
      </c>
      <c r="K225" s="9" t="s">
        <v>1870</v>
      </c>
      <c r="L225" s="8" t="s">
        <v>1871</v>
      </c>
      <c r="M225" s="9" t="s">
        <v>49</v>
      </c>
      <c r="N225" s="9" t="s">
        <v>211</v>
      </c>
      <c r="O225" s="9">
        <f>HYPERLINK("https://www.google.com/maps/search/?api=1&amp;query=43.23696742,-5.77883287", "https://www.google.com/maps/search/?api=1&amp;query=43.23696742,-5.77883287")</f>
      </c>
      <c r="P225" s="9" t="s">
        <v>636</v>
      </c>
      <c r="Q225" s="9" t="s">
        <v>1727</v>
      </c>
    </row>
    <row r="226" spans="1:17" x14ac:dyDescent="0.25">
      <c r="A226" s="8" t="s">
        <v>1872</v>
      </c>
      <c r="B226" s="8" t="s">
        <v>1873</v>
      </c>
      <c r="C226" s="9" t="s">
        <v>1874</v>
      </c>
      <c r="D226" s="9" t="s">
        <v>217</v>
      </c>
      <c r="E226" s="9" t="s">
        <v>218</v>
      </c>
      <c r="F226" s="10">
        <v>1.359</v>
      </c>
      <c r="G226" s="10">
        <v>1.495</v>
      </c>
      <c r="H226" s="10"/>
      <c r="I226" s="9" t="s">
        <v>45</v>
      </c>
      <c r="J226" s="9" t="s">
        <v>1875</v>
      </c>
      <c r="K226" s="9" t="s">
        <v>1876</v>
      </c>
      <c r="L226" s="8" t="s">
        <v>221</v>
      </c>
      <c r="M226" s="9" t="s">
        <v>36</v>
      </c>
      <c r="N226" s="9" t="s">
        <v>37</v>
      </c>
      <c r="O226" s="9">
        <f>HYPERLINK("https://www.google.com/maps/search/?api=1&amp;query=36.46405824,-5.11639797", "https://www.google.com/maps/search/?api=1&amp;query=36.46405824,-5.11639797")</f>
      </c>
      <c r="P226" s="9" t="s">
        <v>1250</v>
      </c>
      <c r="Q226" s="9" t="s">
        <v>1877</v>
      </c>
    </row>
    <row r="227" spans="1:17" x14ac:dyDescent="0.25">
      <c r="A227" s="8" t="s">
        <v>1878</v>
      </c>
      <c r="B227" s="8" t="s">
        <v>1879</v>
      </c>
      <c r="C227" s="9" t="s">
        <v>1880</v>
      </c>
      <c r="D227" s="9" t="s">
        <v>155</v>
      </c>
      <c r="E227" s="9" t="s">
        <v>1881</v>
      </c>
      <c r="F227" s="10">
        <v>1.359</v>
      </c>
      <c r="G227" s="10">
        <v>1.495</v>
      </c>
      <c r="H227" s="10"/>
      <c r="I227" s="9" t="s">
        <v>157</v>
      </c>
      <c r="J227" s="9" t="s">
        <v>1882</v>
      </c>
      <c r="K227" s="9" t="s">
        <v>1883</v>
      </c>
      <c r="L227" s="8" t="s">
        <v>1884</v>
      </c>
      <c r="M227" s="9" t="s">
        <v>49</v>
      </c>
      <c r="N227" s="9" t="s">
        <v>1885</v>
      </c>
      <c r="O227" s="9">
        <f>HYPERLINK("https://www.google.com/maps/search/?api=1&amp;query=39.46541594,3.13800935", "https://www.google.com/maps/search/?api=1&amp;query=39.46541594,3.13800935")</f>
      </c>
      <c r="P227" s="9" t="s">
        <v>1886</v>
      </c>
      <c r="Q227" s="9" t="s">
        <v>1887</v>
      </c>
    </row>
    <row r="228" spans="1:17" x14ac:dyDescent="0.25">
      <c r="A228" s="8" t="s">
        <v>1888</v>
      </c>
      <c r="B228" s="8" t="s">
        <v>1889</v>
      </c>
      <c r="C228" s="9" t="s">
        <v>1890</v>
      </c>
      <c r="D228" s="9" t="s">
        <v>631</v>
      </c>
      <c r="E228" s="9" t="s">
        <v>1047</v>
      </c>
      <c r="F228" s="10">
        <v>1.359</v>
      </c>
      <c r="G228" s="10">
        <v>1.495</v>
      </c>
      <c r="H228" s="10"/>
      <c r="I228" s="9" t="s">
        <v>45</v>
      </c>
      <c r="J228" s="9" t="s">
        <v>1891</v>
      </c>
      <c r="K228" s="9" t="s">
        <v>1892</v>
      </c>
      <c r="L228" s="8" t="s">
        <v>1893</v>
      </c>
      <c r="M228" s="9" t="s">
        <v>36</v>
      </c>
      <c r="N228" s="9" t="s">
        <v>37</v>
      </c>
      <c r="O228" s="9">
        <f>HYPERLINK("https://www.google.com/maps/search/?api=1&amp;query=37.87841097,-4.83365752", "https://www.google.com/maps/search/?api=1&amp;query=37.87841097,-4.83365752")</f>
      </c>
      <c r="P228" s="9" t="s">
        <v>1894</v>
      </c>
      <c r="Q228" s="9" t="s">
        <v>1895</v>
      </c>
    </row>
    <row r="229" spans="1:17" x14ac:dyDescent="0.25">
      <c r="A229" s="8" t="s">
        <v>1896</v>
      </c>
      <c r="B229" s="8" t="s">
        <v>1897</v>
      </c>
      <c r="C229" s="9" t="s">
        <v>1898</v>
      </c>
      <c r="D229" s="9" t="s">
        <v>469</v>
      </c>
      <c r="E229" s="9" t="s">
        <v>1899</v>
      </c>
      <c r="F229" s="10">
        <v>1.359</v>
      </c>
      <c r="G229" s="10">
        <v>1.495</v>
      </c>
      <c r="H229" s="10"/>
      <c r="I229" s="9" t="s">
        <v>74</v>
      </c>
      <c r="J229" s="9" t="s">
        <v>1900</v>
      </c>
      <c r="K229" s="9" t="s">
        <v>1901</v>
      </c>
      <c r="L229" s="8" t="s">
        <v>1902</v>
      </c>
      <c r="M229" s="9" t="s">
        <v>49</v>
      </c>
      <c r="N229" s="9" t="s">
        <v>211</v>
      </c>
      <c r="O229" s="9">
        <f>HYPERLINK("https://www.google.com/maps/search/?api=1&amp;query=40.98841739,-5.64576561", "https://www.google.com/maps/search/?api=1&amp;query=40.98841739,-5.64576561")</f>
      </c>
      <c r="P229" s="9" t="s">
        <v>419</v>
      </c>
      <c r="Q229" s="9" t="s">
        <v>440</v>
      </c>
    </row>
    <row r="230" spans="1:17" x14ac:dyDescent="0.25">
      <c r="A230" s="8" t="s">
        <v>1903</v>
      </c>
      <c r="B230" s="8" t="s">
        <v>1904</v>
      </c>
      <c r="C230" s="9" t="s">
        <v>1905</v>
      </c>
      <c r="D230" s="9" t="s">
        <v>398</v>
      </c>
      <c r="E230" s="9" t="s">
        <v>1906</v>
      </c>
      <c r="F230" s="10">
        <v>1.359</v>
      </c>
      <c r="G230" s="10">
        <v>1.495</v>
      </c>
      <c r="H230" s="10"/>
      <c r="I230" s="9" t="s">
        <v>400</v>
      </c>
      <c r="J230" s="9" t="s">
        <v>1907</v>
      </c>
      <c r="K230" s="9" t="s">
        <v>1908</v>
      </c>
      <c r="L230" s="8" t="s">
        <v>1909</v>
      </c>
      <c r="M230" s="9" t="s">
        <v>49</v>
      </c>
      <c r="N230" s="9" t="s">
        <v>1910</v>
      </c>
      <c r="O230" s="9">
        <f>HYPERLINK("https://www.google.com/maps/search/?api=1&amp;query=38.19315516,-0.81268449", "https://www.google.com/maps/search/?api=1&amp;query=38.19315516,-0.81268449")</f>
      </c>
      <c r="P230" s="9" t="s">
        <v>1250</v>
      </c>
      <c r="Q230" s="9" t="s">
        <v>881</v>
      </c>
    </row>
    <row r="231" spans="1:17" x14ac:dyDescent="0.25">
      <c r="A231" s="8" t="s">
        <v>1911</v>
      </c>
      <c r="B231" s="8" t="s">
        <v>1912</v>
      </c>
      <c r="C231" s="9" t="s">
        <v>1913</v>
      </c>
      <c r="D231" s="9" t="s">
        <v>516</v>
      </c>
      <c r="E231" s="9" t="s">
        <v>1914</v>
      </c>
      <c r="F231" s="10">
        <v>1.359</v>
      </c>
      <c r="G231" s="10">
        <v>1.495</v>
      </c>
      <c r="H231" s="10"/>
      <c r="I231" s="9" t="s">
        <v>140</v>
      </c>
      <c r="J231" s="9" t="s">
        <v>1915</v>
      </c>
      <c r="K231" s="9" t="s">
        <v>1916</v>
      </c>
      <c r="L231" s="8" t="s">
        <v>1917</v>
      </c>
      <c r="M231" s="9" t="s">
        <v>36</v>
      </c>
      <c r="N231" s="9" t="s">
        <v>211</v>
      </c>
      <c r="O231" s="9">
        <f>HYPERLINK("https://www.google.com/maps/search/?api=1&amp;query=43.122314,-7.62104406", "https://www.google.com/maps/search/?api=1&amp;query=43.122314,-7.62104406")</f>
      </c>
      <c r="P231" s="9" t="s">
        <v>583</v>
      </c>
      <c r="Q231" s="9" t="s">
        <v>1918</v>
      </c>
    </row>
    <row r="232" spans="1:17" x14ac:dyDescent="0.25">
      <c r="A232" s="8" t="s">
        <v>1919</v>
      </c>
      <c r="B232" s="8" t="s">
        <v>1920</v>
      </c>
      <c r="C232" s="9" t="s">
        <v>1921</v>
      </c>
      <c r="D232" s="9" t="s">
        <v>1847</v>
      </c>
      <c r="E232" s="9" t="s">
        <v>1922</v>
      </c>
      <c r="F232" s="10">
        <v>1.359</v>
      </c>
      <c r="G232" s="10">
        <v>1.495</v>
      </c>
      <c r="H232" s="10"/>
      <c r="I232" s="9" t="s">
        <v>74</v>
      </c>
      <c r="J232" s="9" t="s">
        <v>1923</v>
      </c>
      <c r="K232" s="9" t="s">
        <v>1924</v>
      </c>
      <c r="L232" s="8" t="s">
        <v>1925</v>
      </c>
      <c r="M232" s="9" t="s">
        <v>49</v>
      </c>
      <c r="N232" s="9" t="s">
        <v>1926</v>
      </c>
      <c r="O232" s="9">
        <f>HYPERLINK("https://www.google.com/maps/search/?api=1&amp;query=41.21346852,-4.5267842", "https://www.google.com/maps/search/?api=1&amp;query=41.21346852,-4.5267842")</f>
      </c>
      <c r="P232" s="9" t="s">
        <v>1927</v>
      </c>
      <c r="Q232" s="9" t="s">
        <v>1742</v>
      </c>
    </row>
    <row r="233" spans="1:17" x14ac:dyDescent="0.25">
      <c r="A233" s="8" t="s">
        <v>1928</v>
      </c>
      <c r="B233" s="8" t="s">
        <v>1929</v>
      </c>
      <c r="C233" s="9" t="s">
        <v>1930</v>
      </c>
      <c r="D233" s="9" t="s">
        <v>344</v>
      </c>
      <c r="E233" s="9" t="s">
        <v>1931</v>
      </c>
      <c r="F233" s="10">
        <v>1.359</v>
      </c>
      <c r="G233" s="10">
        <v>1.495</v>
      </c>
      <c r="H233" s="10"/>
      <c r="I233" s="9" t="s">
        <v>140</v>
      </c>
      <c r="J233" s="9" t="s">
        <v>1932</v>
      </c>
      <c r="K233" s="9" t="s">
        <v>1933</v>
      </c>
      <c r="L233" s="8" t="s">
        <v>1934</v>
      </c>
      <c r="M233" s="9" t="s">
        <v>49</v>
      </c>
      <c r="N233" s="9" t="s">
        <v>37</v>
      </c>
      <c r="O233" s="9">
        <f>HYPERLINK("https://www.google.com/maps/search/?api=1&amp;query=43.33364736,-8.40247476", "https://www.google.com/maps/search/?api=1&amp;query=43.33364736,-8.40247476")</f>
      </c>
      <c r="P233" s="9" t="s">
        <v>222</v>
      </c>
      <c r="Q233" s="9" t="s">
        <v>984</v>
      </c>
    </row>
    <row r="234" spans="1:17" x14ac:dyDescent="0.25">
      <c r="A234" s="8" t="s">
        <v>1935</v>
      </c>
      <c r="B234" s="8" t="s">
        <v>1936</v>
      </c>
      <c r="C234" s="9" t="s">
        <v>1937</v>
      </c>
      <c r="D234" s="9" t="s">
        <v>1847</v>
      </c>
      <c r="E234" s="9" t="s">
        <v>1938</v>
      </c>
      <c r="F234" s="10">
        <v>1.359</v>
      </c>
      <c r="G234" s="10">
        <v>1.495</v>
      </c>
      <c r="H234" s="10"/>
      <c r="I234" s="9" t="s">
        <v>74</v>
      </c>
      <c r="J234" s="9" t="s">
        <v>1939</v>
      </c>
      <c r="K234" s="9" t="s">
        <v>1940</v>
      </c>
      <c r="L234" s="8" t="s">
        <v>1941</v>
      </c>
      <c r="M234" s="9" t="s">
        <v>49</v>
      </c>
      <c r="N234" s="9" t="s">
        <v>37</v>
      </c>
      <c r="O234" s="9">
        <f>HYPERLINK("https://www.google.com/maps/search/?api=1&amp;query=41.25931138,-3.59122857", "https://www.google.com/maps/search/?api=1&amp;query=41.25931138,-3.59122857")</f>
      </c>
      <c r="P234" s="9" t="s">
        <v>1789</v>
      </c>
      <c r="Q234" s="9" t="s">
        <v>1942</v>
      </c>
    </row>
    <row r="235" spans="1:17" x14ac:dyDescent="0.25">
      <c r="A235" s="8" t="s">
        <v>1943</v>
      </c>
      <c r="B235" s="8" t="s">
        <v>1944</v>
      </c>
      <c r="C235" s="9" t="s">
        <v>1945</v>
      </c>
      <c r="D235" s="9" t="s">
        <v>434</v>
      </c>
      <c r="E235" s="9" t="s">
        <v>1946</v>
      </c>
      <c r="F235" s="10">
        <v>1.359</v>
      </c>
      <c r="G235" s="10">
        <v>1.495</v>
      </c>
      <c r="H235" s="10"/>
      <c r="I235" s="9" t="s">
        <v>96</v>
      </c>
      <c r="J235" s="9" t="s">
        <v>1947</v>
      </c>
      <c r="K235" s="9" t="s">
        <v>1948</v>
      </c>
      <c r="L235" s="8" t="s">
        <v>1949</v>
      </c>
      <c r="M235" s="9" t="s">
        <v>49</v>
      </c>
      <c r="N235" s="9" t="s">
        <v>357</v>
      </c>
      <c r="O235" s="9">
        <f>HYPERLINK("https://www.google.com/maps/search/?api=1&amp;query=42.43266354,1.93626873", "https://www.google.com/maps/search/?api=1&amp;query=42.43266354,1.93626873")</f>
      </c>
      <c r="P235" s="9" t="s">
        <v>1364</v>
      </c>
      <c r="Q235" s="9" t="s">
        <v>1950</v>
      </c>
    </row>
    <row r="236" spans="1:17" x14ac:dyDescent="0.25">
      <c r="A236" s="8" t="s">
        <v>1951</v>
      </c>
      <c r="B236" s="8" t="s">
        <v>1952</v>
      </c>
      <c r="C236" s="9" t="s">
        <v>1953</v>
      </c>
      <c r="D236" s="9" t="s">
        <v>83</v>
      </c>
      <c r="E236" s="9" t="s">
        <v>83</v>
      </c>
      <c r="F236" s="10">
        <v>1.359</v>
      </c>
      <c r="G236" s="10">
        <v>1.495</v>
      </c>
      <c r="H236" s="10"/>
      <c r="I236" s="9" t="s">
        <v>83</v>
      </c>
      <c r="J236" s="9" t="s">
        <v>1954</v>
      </c>
      <c r="K236" s="9" t="s">
        <v>1955</v>
      </c>
      <c r="L236" s="8" t="s">
        <v>1956</v>
      </c>
      <c r="M236" s="9" t="s">
        <v>49</v>
      </c>
      <c r="N236" s="9" t="s">
        <v>1957</v>
      </c>
      <c r="O236" s="9">
        <f>HYPERLINK("https://www.google.com/maps/search/?api=1&amp;query=40.43762983,-3.69963728", "https://www.google.com/maps/search/?api=1&amp;query=40.43762983,-3.69963728")</f>
      </c>
      <c r="P236" s="9" t="s">
        <v>888</v>
      </c>
      <c r="Q236" s="9" t="s">
        <v>112</v>
      </c>
    </row>
    <row r="237" spans="1:17" x14ac:dyDescent="0.25">
      <c r="A237" s="8" t="s">
        <v>1958</v>
      </c>
      <c r="B237" s="8" t="s">
        <v>1959</v>
      </c>
      <c r="C237" s="9" t="s">
        <v>1960</v>
      </c>
      <c r="D237" s="9" t="s">
        <v>138</v>
      </c>
      <c r="E237" s="9" t="s">
        <v>1961</v>
      </c>
      <c r="F237" s="10">
        <v>1.359</v>
      </c>
      <c r="G237" s="10">
        <v>1.495</v>
      </c>
      <c r="H237" s="10"/>
      <c r="I237" s="9" t="s">
        <v>140</v>
      </c>
      <c r="J237" s="9" t="s">
        <v>1962</v>
      </c>
      <c r="K237" s="9" t="s">
        <v>1963</v>
      </c>
      <c r="L237" s="8" t="s">
        <v>1964</v>
      </c>
      <c r="M237" s="9" t="s">
        <v>100</v>
      </c>
      <c r="N237" s="9" t="s">
        <v>37</v>
      </c>
      <c r="O237" s="9">
        <f>HYPERLINK("https://www.google.com/maps/search/?api=1&amp;query=42.21087909,-8.66877507", "https://www.google.com/maps/search/?api=1&amp;query=42.21087909,-8.66877507")</f>
      </c>
      <c r="P237" s="9" t="s">
        <v>1965</v>
      </c>
      <c r="Q237" s="9" t="s">
        <v>112</v>
      </c>
    </row>
    <row r="238" spans="1:17" x14ac:dyDescent="0.25">
      <c r="A238" s="8" t="s">
        <v>1966</v>
      </c>
      <c r="B238" s="8" t="s">
        <v>1967</v>
      </c>
      <c r="C238" s="9" t="s">
        <v>1968</v>
      </c>
      <c r="D238" s="9" t="s">
        <v>30</v>
      </c>
      <c r="E238" s="9" t="s">
        <v>1969</v>
      </c>
      <c r="F238" s="10">
        <v>1.359</v>
      </c>
      <c r="G238" s="10">
        <v>1.495</v>
      </c>
      <c r="H238" s="10"/>
      <c r="I238" s="9" t="s">
        <v>32</v>
      </c>
      <c r="J238" s="9" t="s">
        <v>1970</v>
      </c>
      <c r="K238" s="9" t="s">
        <v>1971</v>
      </c>
      <c r="L238" s="8" t="s">
        <v>1972</v>
      </c>
      <c r="M238" s="9" t="s">
        <v>100</v>
      </c>
      <c r="N238" s="9" t="s">
        <v>37</v>
      </c>
      <c r="O238" s="9">
        <f>HYPERLINK("https://www.google.com/maps/search/?api=1&amp;query=38.939583,-6.361722", "https://www.google.com/maps/search/?api=1&amp;query=38.939583,-6.361722")</f>
      </c>
      <c r="P238" s="9" t="s">
        <v>1973</v>
      </c>
      <c r="Q238" s="9" t="s">
        <v>1974</v>
      </c>
    </row>
    <row r="239" spans="1:17" x14ac:dyDescent="0.25">
      <c r="A239" s="8" t="s">
        <v>1975</v>
      </c>
      <c r="B239" s="8" t="s">
        <v>1976</v>
      </c>
      <c r="C239" s="9" t="s">
        <v>1977</v>
      </c>
      <c r="D239" s="9" t="s">
        <v>398</v>
      </c>
      <c r="E239" s="9" t="s">
        <v>1978</v>
      </c>
      <c r="F239" s="10">
        <v>1.359</v>
      </c>
      <c r="G239" s="10">
        <v>1.495</v>
      </c>
      <c r="H239" s="10"/>
      <c r="I239" s="9" t="s">
        <v>400</v>
      </c>
      <c r="J239" s="9" t="s">
        <v>1979</v>
      </c>
      <c r="K239" s="9" t="s">
        <v>1980</v>
      </c>
      <c r="L239" s="8" t="s">
        <v>1981</v>
      </c>
      <c r="M239" s="9" t="s">
        <v>36</v>
      </c>
      <c r="N239" s="9" t="s">
        <v>37</v>
      </c>
      <c r="O239" s="9">
        <f>HYPERLINK("https://www.google.com/maps/search/?api=1&amp;query=38.5337647,-0.17266536", "https://www.google.com/maps/search/?api=1&amp;query=38.5337647,-0.17266536")</f>
      </c>
      <c r="P239" s="9" t="s">
        <v>1148</v>
      </c>
      <c r="Q239" s="9" t="s">
        <v>1982</v>
      </c>
    </row>
    <row r="240" spans="1:17" x14ac:dyDescent="0.25">
      <c r="A240" s="8" t="s">
        <v>1983</v>
      </c>
      <c r="B240" s="8" t="s">
        <v>1984</v>
      </c>
      <c r="C240" s="9" t="s">
        <v>1985</v>
      </c>
      <c r="D240" s="9" t="s">
        <v>61</v>
      </c>
      <c r="E240" s="9" t="s">
        <v>1986</v>
      </c>
      <c r="F240" s="10">
        <v>1.359</v>
      </c>
      <c r="G240" s="10">
        <v>1.495</v>
      </c>
      <c r="H240" s="10"/>
      <c r="I240" s="9" t="s">
        <v>45</v>
      </c>
      <c r="J240" s="9" t="s">
        <v>1987</v>
      </c>
      <c r="K240" s="9" t="s">
        <v>1988</v>
      </c>
      <c r="L240" s="8" t="s">
        <v>1989</v>
      </c>
      <c r="M240" s="9" t="s">
        <v>100</v>
      </c>
      <c r="N240" s="9" t="s">
        <v>88</v>
      </c>
      <c r="O240" s="9">
        <f>HYPERLINK("https://www.google.com/maps/search/?api=1&amp;query=37.37161576,-5.7584511", "https://www.google.com/maps/search/?api=1&amp;query=37.37161576,-5.7584511")</f>
      </c>
      <c r="P240" s="9" t="s">
        <v>1287</v>
      </c>
      <c r="Q240" s="9" t="s">
        <v>832</v>
      </c>
    </row>
    <row r="241" spans="1:17" x14ac:dyDescent="0.25">
      <c r="A241" s="8" t="s">
        <v>1990</v>
      </c>
      <c r="B241" s="8" t="s">
        <v>1991</v>
      </c>
      <c r="C241" s="9" t="s">
        <v>1992</v>
      </c>
      <c r="D241" s="9" t="s">
        <v>106</v>
      </c>
      <c r="E241" s="9" t="s">
        <v>1993</v>
      </c>
      <c r="F241" s="10">
        <v>1.359</v>
      </c>
      <c r="G241" s="10">
        <v>1.495</v>
      </c>
      <c r="H241" s="10"/>
      <c r="I241" s="9" t="s">
        <v>106</v>
      </c>
      <c r="J241" s="9" t="s">
        <v>1994</v>
      </c>
      <c r="K241" s="9" t="s">
        <v>1995</v>
      </c>
      <c r="L241" s="8" t="s">
        <v>1996</v>
      </c>
      <c r="M241" s="9" t="s">
        <v>49</v>
      </c>
      <c r="N241" s="9" t="s">
        <v>37</v>
      </c>
      <c r="O241" s="9">
        <f>HYPERLINK("https://www.google.com/maps/search/?api=1&amp;query=37.79483498,-1.42873817", "https://www.google.com/maps/search/?api=1&amp;query=37.79483498,-1.42873817")</f>
      </c>
      <c r="P241" s="9" t="s">
        <v>56</v>
      </c>
      <c r="Q241" s="9" t="s">
        <v>1408</v>
      </c>
    </row>
    <row r="242" spans="1:17" x14ac:dyDescent="0.25">
      <c r="A242" s="8" t="s">
        <v>1997</v>
      </c>
      <c r="B242" s="8" t="s">
        <v>1998</v>
      </c>
      <c r="C242" s="9" t="s">
        <v>1999</v>
      </c>
      <c r="D242" s="9" t="s">
        <v>808</v>
      </c>
      <c r="E242" s="9" t="s">
        <v>2000</v>
      </c>
      <c r="F242" s="10">
        <v>1.359</v>
      </c>
      <c r="G242" s="10">
        <v>1.495</v>
      </c>
      <c r="H242" s="10"/>
      <c r="I242" s="9" t="s">
        <v>808</v>
      </c>
      <c r="J242" s="9" t="s">
        <v>2001</v>
      </c>
      <c r="K242" s="9" t="s">
        <v>2002</v>
      </c>
      <c r="L242" s="8" t="s">
        <v>2003</v>
      </c>
      <c r="M242" s="9" t="s">
        <v>49</v>
      </c>
      <c r="N242" s="9" t="s">
        <v>211</v>
      </c>
      <c r="O242" s="9">
        <f>HYPERLINK("https://www.google.com/maps/search/?api=1&amp;query=43.41230118,-3.83644097", "https://www.google.com/maps/search/?api=1&amp;query=43.41230118,-3.83644097")</f>
      </c>
      <c r="P242" s="9" t="s">
        <v>1100</v>
      </c>
      <c r="Q242" s="9" t="s">
        <v>2004</v>
      </c>
    </row>
    <row r="243" spans="1:17" x14ac:dyDescent="0.25">
      <c r="A243" s="8" t="s">
        <v>2005</v>
      </c>
      <c r="B243" s="8" t="s">
        <v>2006</v>
      </c>
      <c r="C243" s="9" t="s">
        <v>2007</v>
      </c>
      <c r="D243" s="9" t="s">
        <v>919</v>
      </c>
      <c r="E243" s="9" t="s">
        <v>1353</v>
      </c>
      <c r="F243" s="10">
        <v>1.359</v>
      </c>
      <c r="G243" s="10">
        <v>1.495</v>
      </c>
      <c r="H243" s="10"/>
      <c r="I243" s="9" t="s">
        <v>118</v>
      </c>
      <c r="J243" s="9" t="s">
        <v>2008</v>
      </c>
      <c r="K243" s="9" t="s">
        <v>2009</v>
      </c>
      <c r="L243" s="8" t="s">
        <v>1276</v>
      </c>
      <c r="M243" s="9" t="s">
        <v>100</v>
      </c>
      <c r="N243" s="9" t="s">
        <v>37</v>
      </c>
      <c r="O243" s="9">
        <f>HYPERLINK("https://www.google.com/maps/search/?api=1&amp;query=42.87811421,-2.71483423", "https://www.google.com/maps/search/?api=1&amp;query=42.87811421,-2.71483423")</f>
      </c>
      <c r="P243" s="9" t="s">
        <v>2010</v>
      </c>
      <c r="Q243" s="9" t="s">
        <v>1591</v>
      </c>
    </row>
    <row r="244" spans="1:17" x14ac:dyDescent="0.25">
      <c r="A244" s="8" t="s">
        <v>2011</v>
      </c>
      <c r="B244" s="8" t="s">
        <v>2012</v>
      </c>
      <c r="C244" s="9" t="s">
        <v>2013</v>
      </c>
      <c r="D244" s="9" t="s">
        <v>217</v>
      </c>
      <c r="E244" s="9" t="s">
        <v>271</v>
      </c>
      <c r="F244" s="10">
        <v>1.359</v>
      </c>
      <c r="G244" s="10">
        <v>1.495</v>
      </c>
      <c r="H244" s="10"/>
      <c r="I244" s="9" t="s">
        <v>45</v>
      </c>
      <c r="J244" s="9" t="s">
        <v>2014</v>
      </c>
      <c r="K244" s="9" t="s">
        <v>2015</v>
      </c>
      <c r="L244" s="8" t="s">
        <v>2016</v>
      </c>
      <c r="M244" s="9" t="s">
        <v>100</v>
      </c>
      <c r="N244" s="9" t="s">
        <v>88</v>
      </c>
      <c r="O244" s="9">
        <f>HYPERLINK("https://www.google.com/maps/search/?api=1&amp;query=36.71478947,-4.34450763", "https://www.google.com/maps/search/?api=1&amp;query=36.71478947,-4.34450763")</f>
      </c>
      <c r="P244" s="9" t="s">
        <v>2017</v>
      </c>
      <c r="Q244" s="9" t="s">
        <v>2018</v>
      </c>
    </row>
    <row r="245" spans="1:17" x14ac:dyDescent="0.25">
      <c r="A245" s="8" t="s">
        <v>2019</v>
      </c>
      <c r="B245" s="8" t="s">
        <v>2020</v>
      </c>
      <c r="C245" s="9" t="s">
        <v>2021</v>
      </c>
      <c r="D245" s="9" t="s">
        <v>400</v>
      </c>
      <c r="E245" s="9" t="s">
        <v>2022</v>
      </c>
      <c r="F245" s="10">
        <v>1.359</v>
      </c>
      <c r="G245" s="10">
        <v>1.495</v>
      </c>
      <c r="H245" s="10"/>
      <c r="I245" s="9" t="s">
        <v>400</v>
      </c>
      <c r="J245" s="9" t="s">
        <v>2023</v>
      </c>
      <c r="K245" s="9" t="s">
        <v>2024</v>
      </c>
      <c r="L245" s="8" t="s">
        <v>2025</v>
      </c>
      <c r="M245" s="9" t="s">
        <v>49</v>
      </c>
      <c r="N245" s="9" t="s">
        <v>88</v>
      </c>
      <c r="O245" s="9">
        <f>HYPERLINK("https://www.google.com/maps/search/?api=1&amp;query=39.58735541,-0.32375368", "https://www.google.com/maps/search/?api=1&amp;query=39.58735541,-0.32375368")</f>
      </c>
      <c r="P245" s="9" t="s">
        <v>182</v>
      </c>
      <c r="Q245" s="9" t="s">
        <v>2026</v>
      </c>
    </row>
    <row r="246" spans="1:17" x14ac:dyDescent="0.25">
      <c r="A246" s="8" t="s">
        <v>2027</v>
      </c>
      <c r="B246" s="8" t="s">
        <v>2028</v>
      </c>
      <c r="C246" s="9" t="s">
        <v>2029</v>
      </c>
      <c r="D246" s="9" t="s">
        <v>398</v>
      </c>
      <c r="E246" s="9" t="s">
        <v>1906</v>
      </c>
      <c r="F246" s="10">
        <v>1.359</v>
      </c>
      <c r="G246" s="10">
        <v>1.495</v>
      </c>
      <c r="H246" s="10"/>
      <c r="I246" s="9" t="s">
        <v>400</v>
      </c>
      <c r="J246" s="9" t="s">
        <v>2030</v>
      </c>
      <c r="K246" s="9" t="s">
        <v>2031</v>
      </c>
      <c r="L246" s="8" t="s">
        <v>1909</v>
      </c>
      <c r="M246" s="9" t="s">
        <v>36</v>
      </c>
      <c r="N246" s="9" t="s">
        <v>37</v>
      </c>
      <c r="O246" s="9">
        <f>HYPERLINK("https://www.google.com/maps/search/?api=1&amp;query=38.23334977,-0.79067927", "https://www.google.com/maps/search/?api=1&amp;query=38.23334977,-0.79067927")</f>
      </c>
      <c r="P246" s="9" t="s">
        <v>2032</v>
      </c>
      <c r="Q246" s="9" t="s">
        <v>2033</v>
      </c>
    </row>
    <row r="247" spans="1:17" x14ac:dyDescent="0.25">
      <c r="A247" s="8" t="s">
        <v>2034</v>
      </c>
      <c r="B247" s="8" t="s">
        <v>2035</v>
      </c>
      <c r="C247" s="9" t="s">
        <v>2036</v>
      </c>
      <c r="D247" s="9" t="s">
        <v>94</v>
      </c>
      <c r="E247" s="9" t="s">
        <v>317</v>
      </c>
      <c r="F247" s="10">
        <v>1.359</v>
      </c>
      <c r="G247" s="10">
        <v>1.495</v>
      </c>
      <c r="H247" s="10"/>
      <c r="I247" s="9" t="s">
        <v>96</v>
      </c>
      <c r="J247" s="9" t="s">
        <v>2037</v>
      </c>
      <c r="K247" s="9" t="s">
        <v>2038</v>
      </c>
      <c r="L247" s="8" t="s">
        <v>320</v>
      </c>
      <c r="M247" s="9" t="s">
        <v>49</v>
      </c>
      <c r="N247" s="9" t="s">
        <v>88</v>
      </c>
      <c r="O247" s="9">
        <f>HYPERLINK("https://www.google.com/maps/search/?api=1&amp;query=41.53580726,2.20368755", "https://www.google.com/maps/search/?api=1&amp;query=41.53580726,2.20368755")</f>
      </c>
      <c r="P247" s="9" t="s">
        <v>1203</v>
      </c>
      <c r="Q247" s="9" t="s">
        <v>1059</v>
      </c>
    </row>
    <row r="248" spans="1:17" x14ac:dyDescent="0.25">
      <c r="A248" s="8" t="s">
        <v>2039</v>
      </c>
      <c r="B248" s="8" t="s">
        <v>2040</v>
      </c>
      <c r="C248" s="9" t="s">
        <v>2041</v>
      </c>
      <c r="D248" s="9" t="s">
        <v>30</v>
      </c>
      <c r="E248" s="9" t="s">
        <v>2042</v>
      </c>
      <c r="F248" s="10">
        <v>1.359</v>
      </c>
      <c r="G248" s="10">
        <v>1.495</v>
      </c>
      <c r="H248" s="10"/>
      <c r="I248" s="9" t="s">
        <v>32</v>
      </c>
      <c r="J248" s="9" t="s">
        <v>2043</v>
      </c>
      <c r="K248" s="9" t="s">
        <v>2044</v>
      </c>
      <c r="L248" s="8" t="s">
        <v>2045</v>
      </c>
      <c r="M248" s="9" t="s">
        <v>49</v>
      </c>
      <c r="N248" s="9" t="s">
        <v>66</v>
      </c>
      <c r="O248" s="9">
        <f>HYPERLINK("https://www.google.com/maps/search/?api=1&amp;query=38.422778,-6.413944", "https://www.google.com/maps/search/?api=1&amp;query=38.422778,-6.413944")</f>
      </c>
      <c r="P248" s="9" t="s">
        <v>1637</v>
      </c>
      <c r="Q248" s="9" t="s">
        <v>2046</v>
      </c>
    </row>
    <row r="249" spans="1:17" x14ac:dyDescent="0.25">
      <c r="A249" s="8" t="s">
        <v>2047</v>
      </c>
      <c r="B249" s="8" t="s">
        <v>2048</v>
      </c>
      <c r="C249" s="9" t="s">
        <v>2049</v>
      </c>
      <c r="D249" s="9" t="s">
        <v>2050</v>
      </c>
      <c r="E249" s="9" t="s">
        <v>2051</v>
      </c>
      <c r="F249" s="10">
        <v>1.359</v>
      </c>
      <c r="G249" s="10">
        <v>1.495</v>
      </c>
      <c r="H249" s="10"/>
      <c r="I249" s="9" t="s">
        <v>140</v>
      </c>
      <c r="J249" s="9" t="s">
        <v>2052</v>
      </c>
      <c r="K249" s="9" t="s">
        <v>2053</v>
      </c>
      <c r="L249" s="8" t="s">
        <v>2054</v>
      </c>
      <c r="M249" s="9" t="s">
        <v>49</v>
      </c>
      <c r="N249" s="9" t="s">
        <v>211</v>
      </c>
      <c r="O249" s="9">
        <f>HYPERLINK("https://www.google.com/maps/search/?api=1&amp;query=42.3950521,-7.11104589", "https://www.google.com/maps/search/?api=1&amp;query=42.3950521,-7.11104589")</f>
      </c>
      <c r="P249" s="9" t="s">
        <v>2055</v>
      </c>
      <c r="Q249" s="9" t="s">
        <v>2056</v>
      </c>
    </row>
    <row r="250" spans="1:17" x14ac:dyDescent="0.25">
      <c r="A250" s="8" t="s">
        <v>2057</v>
      </c>
      <c r="B250" s="8" t="s">
        <v>2058</v>
      </c>
      <c r="C250" s="9" t="s">
        <v>2059</v>
      </c>
      <c r="D250" s="9" t="s">
        <v>226</v>
      </c>
      <c r="E250" s="9" t="s">
        <v>2060</v>
      </c>
      <c r="F250" s="10">
        <v>1.359</v>
      </c>
      <c r="G250" s="10">
        <v>1.495</v>
      </c>
      <c r="H250" s="10"/>
      <c r="I250" s="9" t="s">
        <v>168</v>
      </c>
      <c r="J250" s="9" t="s">
        <v>2061</v>
      </c>
      <c r="K250" s="9" t="s">
        <v>2062</v>
      </c>
      <c r="L250" s="8" t="s">
        <v>2063</v>
      </c>
      <c r="M250" s="9" t="s">
        <v>49</v>
      </c>
      <c r="N250" s="9" t="s">
        <v>37</v>
      </c>
      <c r="O250" s="9">
        <f>HYPERLINK("https://www.google.com/maps/search/?api=1&amp;query=39.9120954,-2.74369699", "https://www.google.com/maps/search/?api=1&amp;query=39.9120954,-2.74369699")</f>
      </c>
      <c r="P250" s="9" t="s">
        <v>144</v>
      </c>
      <c r="Q250" s="9" t="s">
        <v>2064</v>
      </c>
    </row>
    <row r="251" spans="1:17" x14ac:dyDescent="0.25">
      <c r="A251" s="8" t="s">
        <v>2065</v>
      </c>
      <c r="B251" s="8" t="s">
        <v>2066</v>
      </c>
      <c r="C251" s="9" t="s">
        <v>2067</v>
      </c>
      <c r="D251" s="9" t="s">
        <v>516</v>
      </c>
      <c r="E251" s="9" t="s">
        <v>516</v>
      </c>
      <c r="F251" s="10">
        <v>1.359</v>
      </c>
      <c r="G251" s="10">
        <v>1.495</v>
      </c>
      <c r="H251" s="10"/>
      <c r="I251" s="9" t="s">
        <v>140</v>
      </c>
      <c r="J251" s="9" t="s">
        <v>2068</v>
      </c>
      <c r="K251" s="9" t="s">
        <v>2069</v>
      </c>
      <c r="L251" s="8" t="s">
        <v>2070</v>
      </c>
      <c r="M251" s="9" t="s">
        <v>49</v>
      </c>
      <c r="N251" s="9" t="s">
        <v>211</v>
      </c>
      <c r="O251" s="9">
        <f>HYPERLINK("https://www.google.com/maps/search/?api=1&amp;query=43.01227761,-7.56276558", "https://www.google.com/maps/search/?api=1&amp;query=43.01227761,-7.56276558")</f>
      </c>
      <c r="P251" s="9" t="s">
        <v>1250</v>
      </c>
      <c r="Q251" s="9" t="s">
        <v>112</v>
      </c>
    </row>
    <row r="252" spans="1:17" x14ac:dyDescent="0.25">
      <c r="A252" s="8" t="s">
        <v>2071</v>
      </c>
      <c r="B252" s="8" t="s">
        <v>2072</v>
      </c>
      <c r="C252" s="9" t="s">
        <v>2073</v>
      </c>
      <c r="D252" s="9" t="s">
        <v>106</v>
      </c>
      <c r="E252" s="9" t="s">
        <v>2074</v>
      </c>
      <c r="F252" s="10">
        <v>1.359</v>
      </c>
      <c r="G252" s="10">
        <v>1.495</v>
      </c>
      <c r="H252" s="10"/>
      <c r="I252" s="9" t="s">
        <v>106</v>
      </c>
      <c r="J252" s="9" t="s">
        <v>2075</v>
      </c>
      <c r="K252" s="9" t="s">
        <v>2076</v>
      </c>
      <c r="L252" s="8" t="s">
        <v>2077</v>
      </c>
      <c r="M252" s="9" t="s">
        <v>49</v>
      </c>
      <c r="N252" s="9" t="s">
        <v>88</v>
      </c>
      <c r="O252" s="9">
        <f>HYPERLINK("https://www.google.com/maps/search/?api=1&amp;query=37.56787374,-1.80237563", "https://www.google.com/maps/search/?api=1&amp;query=37.56787374,-1.80237563")</f>
      </c>
      <c r="P252" s="9" t="s">
        <v>646</v>
      </c>
      <c r="Q252" s="9" t="s">
        <v>2078</v>
      </c>
    </row>
    <row r="253" spans="1:17" x14ac:dyDescent="0.25">
      <c r="A253" s="8" t="s">
        <v>2079</v>
      </c>
      <c r="B253" s="8" t="s">
        <v>2080</v>
      </c>
      <c r="C253" s="9" t="s">
        <v>2081</v>
      </c>
      <c r="D253" s="9" t="s">
        <v>398</v>
      </c>
      <c r="E253" s="9" t="s">
        <v>2082</v>
      </c>
      <c r="F253" s="10">
        <v>1.359</v>
      </c>
      <c r="G253" s="10">
        <v>1.495</v>
      </c>
      <c r="H253" s="10"/>
      <c r="I253" s="9" t="s">
        <v>400</v>
      </c>
      <c r="J253" s="9" t="s">
        <v>2083</v>
      </c>
      <c r="K253" s="9" t="s">
        <v>2084</v>
      </c>
      <c r="L253" s="8" t="s">
        <v>2085</v>
      </c>
      <c r="M253" s="9" t="s">
        <v>49</v>
      </c>
      <c r="N253" s="9" t="s">
        <v>2086</v>
      </c>
      <c r="O253" s="9">
        <f>HYPERLINK("https://www.google.com/maps/search/?api=1&amp;query=37.98198141,-0.7910328", "https://www.google.com/maps/search/?api=1&amp;query=37.98198141,-0.7910328")</f>
      </c>
      <c r="P253" s="9" t="s">
        <v>1121</v>
      </c>
      <c r="Q253" s="9" t="s">
        <v>714</v>
      </c>
    </row>
    <row r="254" spans="1:17" x14ac:dyDescent="0.25">
      <c r="A254" s="8" t="s">
        <v>2087</v>
      </c>
      <c r="B254" s="8" t="s">
        <v>2088</v>
      </c>
      <c r="C254" s="9" t="s">
        <v>2089</v>
      </c>
      <c r="D254" s="9" t="s">
        <v>1282</v>
      </c>
      <c r="E254" s="9" t="s">
        <v>1282</v>
      </c>
      <c r="F254" s="10">
        <v>1.359</v>
      </c>
      <c r="G254" s="10">
        <v>1.495</v>
      </c>
      <c r="H254" s="10"/>
      <c r="I254" s="9" t="s">
        <v>45</v>
      </c>
      <c r="J254" s="9" t="s">
        <v>2090</v>
      </c>
      <c r="K254" s="9" t="s">
        <v>2091</v>
      </c>
      <c r="L254" s="8" t="s">
        <v>2092</v>
      </c>
      <c r="M254" s="9" t="s">
        <v>49</v>
      </c>
      <c r="N254" s="9" t="s">
        <v>37</v>
      </c>
      <c r="O254" s="9">
        <f>HYPERLINK("https://www.google.com/maps/search/?api=1&amp;query=37.16831156,-3.60916022", "https://www.google.com/maps/search/?api=1&amp;query=37.16831156,-3.60916022")</f>
      </c>
      <c r="P254" s="9" t="s">
        <v>2093</v>
      </c>
      <c r="Q254" s="9" t="s">
        <v>1727</v>
      </c>
    </row>
    <row r="255" spans="1:17" x14ac:dyDescent="0.25">
      <c r="A255" s="8" t="s">
        <v>2094</v>
      </c>
      <c r="B255" s="8" t="s">
        <v>2095</v>
      </c>
      <c r="C255" s="9" t="s">
        <v>2096</v>
      </c>
      <c r="D255" s="9" t="s">
        <v>253</v>
      </c>
      <c r="E255" s="9" t="s">
        <v>2097</v>
      </c>
      <c r="F255" s="10">
        <v>1.359</v>
      </c>
      <c r="G255" s="10">
        <v>1.495</v>
      </c>
      <c r="H255" s="10"/>
      <c r="I255" s="9" t="s">
        <v>96</v>
      </c>
      <c r="J255" s="9" t="s">
        <v>2098</v>
      </c>
      <c r="K255" s="9" t="s">
        <v>2099</v>
      </c>
      <c r="L255" s="8" t="s">
        <v>2100</v>
      </c>
      <c r="M255" s="9" t="s">
        <v>100</v>
      </c>
      <c r="N255" s="9" t="s">
        <v>88</v>
      </c>
      <c r="O255" s="9">
        <f>HYPERLINK("https://www.google.com/maps/search/?api=1&amp;query=41.27184404,1.22930709", "https://www.google.com/maps/search/?api=1&amp;query=41.27184404,1.22930709")</f>
      </c>
      <c r="P255" s="9" t="s">
        <v>2101</v>
      </c>
      <c r="Q255" s="9" t="s">
        <v>2102</v>
      </c>
    </row>
    <row r="256" spans="1:17" x14ac:dyDescent="0.25">
      <c r="A256" s="8" t="s">
        <v>2103</v>
      </c>
      <c r="B256" s="8" t="s">
        <v>2104</v>
      </c>
      <c r="C256" s="9" t="s">
        <v>2105</v>
      </c>
      <c r="D256" s="9" t="s">
        <v>197</v>
      </c>
      <c r="E256" s="9" t="s">
        <v>2106</v>
      </c>
      <c r="F256" s="10">
        <v>1.359</v>
      </c>
      <c r="G256" s="10">
        <v>1.495</v>
      </c>
      <c r="H256" s="10"/>
      <c r="I256" s="9" t="s">
        <v>168</v>
      </c>
      <c r="J256" s="9" t="s">
        <v>2107</v>
      </c>
      <c r="K256" s="9" t="s">
        <v>2108</v>
      </c>
      <c r="L256" s="8" t="s">
        <v>2109</v>
      </c>
      <c r="M256" s="9" t="s">
        <v>49</v>
      </c>
      <c r="N256" s="9" t="s">
        <v>2110</v>
      </c>
      <c r="O256" s="9">
        <f>HYPERLINK("https://www.google.com/maps/search/?api=1&amp;query=39.993628,-4.691695", "https://www.google.com/maps/search/?api=1&amp;query=39.993628,-4.691695")</f>
      </c>
      <c r="P256" s="9" t="s">
        <v>2111</v>
      </c>
      <c r="Q256" s="9" t="s">
        <v>2112</v>
      </c>
    </row>
    <row r="257" spans="1:17" x14ac:dyDescent="0.25">
      <c r="A257" s="8" t="s">
        <v>2113</v>
      </c>
      <c r="B257" s="8" t="s">
        <v>2114</v>
      </c>
      <c r="C257" s="9" t="s">
        <v>2115</v>
      </c>
      <c r="D257" s="9" t="s">
        <v>197</v>
      </c>
      <c r="E257" s="9" t="s">
        <v>2116</v>
      </c>
      <c r="F257" s="10">
        <v>1.359</v>
      </c>
      <c r="G257" s="10">
        <v>1.495</v>
      </c>
      <c r="H257" s="10"/>
      <c r="I257" s="9" t="s">
        <v>168</v>
      </c>
      <c r="J257" s="9" t="s">
        <v>2117</v>
      </c>
      <c r="K257" s="9" t="s">
        <v>2118</v>
      </c>
      <c r="L257" s="8" t="s">
        <v>2119</v>
      </c>
      <c r="M257" s="9" t="s">
        <v>49</v>
      </c>
      <c r="N257" s="9" t="s">
        <v>88</v>
      </c>
      <c r="O257" s="9">
        <f>HYPERLINK("https://www.google.com/maps/search/?api=1&amp;query=40.04868622,-3.91405251", "https://www.google.com/maps/search/?api=1&amp;query=40.04868622,-3.91405251")</f>
      </c>
      <c r="P257" s="9" t="s">
        <v>172</v>
      </c>
      <c r="Q257" s="9" t="s">
        <v>881</v>
      </c>
    </row>
    <row r="258" spans="1:17" x14ac:dyDescent="0.25">
      <c r="A258" s="8" t="s">
        <v>2120</v>
      </c>
      <c r="B258" s="8" t="s">
        <v>2121</v>
      </c>
      <c r="C258" s="9" t="s">
        <v>2122</v>
      </c>
      <c r="D258" s="9" t="s">
        <v>577</v>
      </c>
      <c r="E258" s="9" t="s">
        <v>2123</v>
      </c>
      <c r="F258" s="10">
        <v>1.359</v>
      </c>
      <c r="G258" s="10">
        <v>1.495</v>
      </c>
      <c r="H258" s="10"/>
      <c r="I258" s="9" t="s">
        <v>74</v>
      </c>
      <c r="J258" s="9" t="s">
        <v>2124</v>
      </c>
      <c r="K258" s="9" t="s">
        <v>2125</v>
      </c>
      <c r="L258" s="8" t="s">
        <v>2126</v>
      </c>
      <c r="M258" s="9" t="s">
        <v>49</v>
      </c>
      <c r="N258" s="9" t="s">
        <v>211</v>
      </c>
      <c r="O258" s="9">
        <f>HYPERLINK("https://www.google.com/maps/search/?api=1&amp;query=41.00964888,-4.66526401", "https://www.google.com/maps/search/?api=1&amp;query=41.00964888,-4.66526401")</f>
      </c>
      <c r="P258" s="9" t="s">
        <v>192</v>
      </c>
      <c r="Q258" s="9" t="s">
        <v>2127</v>
      </c>
    </row>
    <row r="259" spans="1:17" x14ac:dyDescent="0.25">
      <c r="A259" s="8" t="s">
        <v>2128</v>
      </c>
      <c r="B259" s="8" t="s">
        <v>2129</v>
      </c>
      <c r="C259" s="9" t="s">
        <v>2130</v>
      </c>
      <c r="D259" s="9" t="s">
        <v>400</v>
      </c>
      <c r="E259" s="9" t="s">
        <v>2131</v>
      </c>
      <c r="F259" s="10">
        <v>1.359</v>
      </c>
      <c r="G259" s="10">
        <v>1.495</v>
      </c>
      <c r="H259" s="10"/>
      <c r="I259" s="9" t="s">
        <v>400</v>
      </c>
      <c r="J259" s="9" t="s">
        <v>2132</v>
      </c>
      <c r="K259" s="9" t="s">
        <v>2133</v>
      </c>
      <c r="L259" s="8" t="s">
        <v>2134</v>
      </c>
      <c r="M259" s="9" t="s">
        <v>49</v>
      </c>
      <c r="N259" s="9" t="s">
        <v>88</v>
      </c>
      <c r="O259" s="9">
        <f>HYPERLINK("https://www.google.com/maps/search/?api=1&amp;query=39.15619944,-0.25427147", "https://www.google.com/maps/search/?api=1&amp;query=39.15619944,-0.25427147")</f>
      </c>
      <c r="P259" s="9" t="s">
        <v>2135</v>
      </c>
      <c r="Q259" s="9" t="s">
        <v>286</v>
      </c>
    </row>
    <row r="260" spans="1:17" x14ac:dyDescent="0.25">
      <c r="A260" s="8" t="s">
        <v>2136</v>
      </c>
      <c r="B260" s="8" t="s">
        <v>2137</v>
      </c>
      <c r="C260" s="9" t="s">
        <v>2138</v>
      </c>
      <c r="D260" s="9" t="s">
        <v>1192</v>
      </c>
      <c r="E260" s="9" t="s">
        <v>2139</v>
      </c>
      <c r="F260" s="10">
        <v>1.359</v>
      </c>
      <c r="G260" s="10">
        <v>1.495</v>
      </c>
      <c r="H260" s="10"/>
      <c r="I260" s="9" t="s">
        <v>168</v>
      </c>
      <c r="J260" s="9" t="s">
        <v>2140</v>
      </c>
      <c r="K260" s="9" t="s">
        <v>2141</v>
      </c>
      <c r="L260" s="8" t="s">
        <v>2142</v>
      </c>
      <c r="M260" s="9" t="s">
        <v>49</v>
      </c>
      <c r="N260" s="9" t="s">
        <v>37</v>
      </c>
      <c r="O260" s="9">
        <f>HYPERLINK("https://www.google.com/maps/search/?api=1&amp;query=38.70484397,-4.10016124", "https://www.google.com/maps/search/?api=1&amp;query=38.70484397,-4.10016124")</f>
      </c>
      <c r="P260" s="9" t="s">
        <v>1381</v>
      </c>
      <c r="Q260" s="9" t="s">
        <v>2143</v>
      </c>
    </row>
    <row r="261" spans="1:17" x14ac:dyDescent="0.25">
      <c r="A261" s="8" t="s">
        <v>2144</v>
      </c>
      <c r="B261" s="8" t="s">
        <v>2145</v>
      </c>
      <c r="C261" s="9" t="s">
        <v>2146</v>
      </c>
      <c r="D261" s="9" t="s">
        <v>94</v>
      </c>
      <c r="E261" s="9" t="s">
        <v>94</v>
      </c>
      <c r="F261" s="10">
        <v>1.359</v>
      </c>
      <c r="G261" s="10">
        <v>1.495</v>
      </c>
      <c r="H261" s="10"/>
      <c r="I261" s="9" t="s">
        <v>96</v>
      </c>
      <c r="J261" s="9" t="s">
        <v>2147</v>
      </c>
      <c r="K261" s="9" t="s">
        <v>2148</v>
      </c>
      <c r="L261" s="8" t="s">
        <v>2149</v>
      </c>
      <c r="M261" s="9" t="s">
        <v>49</v>
      </c>
      <c r="N261" s="9" t="s">
        <v>37</v>
      </c>
      <c r="O261" s="9">
        <f>HYPERLINK("https://www.google.com/maps/search/?api=1&amp;query=41.39309664,2.20424172", "https://www.google.com/maps/search/?api=1&amp;query=41.39309664,2.20424172")</f>
      </c>
      <c r="P261" s="9" t="s">
        <v>1398</v>
      </c>
      <c r="Q261" s="9" t="s">
        <v>2150</v>
      </c>
    </row>
    <row r="262" spans="1:17" x14ac:dyDescent="0.25">
      <c r="A262" s="8" t="s">
        <v>2151</v>
      </c>
      <c r="B262" s="8" t="s">
        <v>2152</v>
      </c>
      <c r="C262" s="9" t="s">
        <v>2153</v>
      </c>
      <c r="D262" s="9" t="s">
        <v>488</v>
      </c>
      <c r="E262" s="9" t="s">
        <v>2154</v>
      </c>
      <c r="F262" s="10">
        <v>1.359</v>
      </c>
      <c r="G262" s="10">
        <v>1.495</v>
      </c>
      <c r="H262" s="10"/>
      <c r="I262" s="9" t="s">
        <v>45</v>
      </c>
      <c r="J262" s="9" t="s">
        <v>2155</v>
      </c>
      <c r="K262" s="9" t="s">
        <v>2156</v>
      </c>
      <c r="L262" s="8" t="s">
        <v>2157</v>
      </c>
      <c r="M262" s="9" t="s">
        <v>49</v>
      </c>
      <c r="N262" s="9" t="s">
        <v>770</v>
      </c>
      <c r="O262" s="9">
        <f>HYPERLINK("https://www.google.com/maps/search/?api=1&amp;query=37.76352074,-3.9448739", "https://www.google.com/maps/search/?api=1&amp;query=37.76352074,-3.9448739")</f>
      </c>
      <c r="P262" s="9" t="s">
        <v>2158</v>
      </c>
      <c r="Q262" s="9" t="s">
        <v>2159</v>
      </c>
    </row>
    <row r="263" spans="1:17" x14ac:dyDescent="0.25">
      <c r="A263" s="8" t="s">
        <v>2160</v>
      </c>
      <c r="B263" s="8" t="s">
        <v>2161</v>
      </c>
      <c r="C263" s="9" t="s">
        <v>2162</v>
      </c>
      <c r="D263" s="9" t="s">
        <v>138</v>
      </c>
      <c r="E263" s="9" t="s">
        <v>2163</v>
      </c>
      <c r="F263" s="10">
        <v>1.359</v>
      </c>
      <c r="G263" s="10">
        <v>1.495</v>
      </c>
      <c r="H263" s="10"/>
      <c r="I263" s="9" t="s">
        <v>140</v>
      </c>
      <c r="J263" s="9" t="s">
        <v>2164</v>
      </c>
      <c r="K263" s="9" t="s">
        <v>2165</v>
      </c>
      <c r="L263" s="8" t="s">
        <v>1964</v>
      </c>
      <c r="M263" s="9" t="s">
        <v>36</v>
      </c>
      <c r="N263" s="9" t="s">
        <v>211</v>
      </c>
      <c r="O263" s="9">
        <f>HYPERLINK("https://www.google.com/maps/search/?api=1&amp;query=42.21158588,-8.66882523", "https://www.google.com/maps/search/?api=1&amp;query=42.21158588,-8.66882523")</f>
      </c>
      <c r="P263" s="9" t="s">
        <v>2166</v>
      </c>
      <c r="Q263" s="9" t="s">
        <v>2167</v>
      </c>
    </row>
    <row r="264" spans="1:17" x14ac:dyDescent="0.25">
      <c r="A264" s="8" t="s">
        <v>2168</v>
      </c>
      <c r="B264" s="8" t="s">
        <v>2169</v>
      </c>
      <c r="C264" s="9" t="s">
        <v>2170</v>
      </c>
      <c r="D264" s="9" t="s">
        <v>94</v>
      </c>
      <c r="E264" s="9" t="s">
        <v>2171</v>
      </c>
      <c r="F264" s="10">
        <v>1.359</v>
      </c>
      <c r="G264" s="10">
        <v>1.495</v>
      </c>
      <c r="H264" s="10"/>
      <c r="I264" s="9" t="s">
        <v>96</v>
      </c>
      <c r="J264" s="9" t="s">
        <v>2172</v>
      </c>
      <c r="K264" s="9" t="s">
        <v>2173</v>
      </c>
      <c r="L264" s="8" t="s">
        <v>2174</v>
      </c>
      <c r="M264" s="9" t="s">
        <v>49</v>
      </c>
      <c r="N264" s="9" t="s">
        <v>88</v>
      </c>
      <c r="O264" s="9">
        <f>HYPERLINK("https://www.google.com/maps/search/?api=1&amp;query=41.27488276,1.97341887", "https://www.google.com/maps/search/?api=1&amp;query=41.27488276,1.97341887")</f>
      </c>
      <c r="P264" s="9" t="s">
        <v>172</v>
      </c>
      <c r="Q264" s="9" t="s">
        <v>2175</v>
      </c>
    </row>
    <row r="265" spans="1:17" x14ac:dyDescent="0.25">
      <c r="A265" s="8" t="s">
        <v>2176</v>
      </c>
      <c r="B265" s="8" t="s">
        <v>2177</v>
      </c>
      <c r="C265" s="9" t="s">
        <v>2178</v>
      </c>
      <c r="D265" s="9" t="s">
        <v>138</v>
      </c>
      <c r="E265" s="9" t="s">
        <v>2179</v>
      </c>
      <c r="F265" s="10">
        <v>1.359</v>
      </c>
      <c r="G265" s="10">
        <v>1.495</v>
      </c>
      <c r="H265" s="10"/>
      <c r="I265" s="9" t="s">
        <v>140</v>
      </c>
      <c r="J265" s="9" t="s">
        <v>2180</v>
      </c>
      <c r="K265" s="9" t="s">
        <v>2181</v>
      </c>
      <c r="L265" s="8" t="s">
        <v>2182</v>
      </c>
      <c r="M265" s="9" t="s">
        <v>49</v>
      </c>
      <c r="N265" s="9" t="s">
        <v>645</v>
      </c>
      <c r="O265" s="9">
        <f>HYPERLINK("https://www.google.com/maps/search/?api=1&amp;query=42.22835857,-8.75345794", "https://www.google.com/maps/search/?api=1&amp;query=42.22835857,-8.75345794")</f>
      </c>
      <c r="P265" s="9" t="s">
        <v>275</v>
      </c>
      <c r="Q265" s="9" t="s">
        <v>2183</v>
      </c>
    </row>
    <row r="266" spans="1:17" x14ac:dyDescent="0.25">
      <c r="A266" s="8" t="s">
        <v>2184</v>
      </c>
      <c r="B266" s="8" t="s">
        <v>2185</v>
      </c>
      <c r="C266" s="9" t="s">
        <v>2186</v>
      </c>
      <c r="D266" s="9" t="s">
        <v>138</v>
      </c>
      <c r="E266" s="9" t="s">
        <v>2187</v>
      </c>
      <c r="F266" s="10">
        <v>1.359</v>
      </c>
      <c r="G266" s="10">
        <v>1.495</v>
      </c>
      <c r="H266" s="10"/>
      <c r="I266" s="9" t="s">
        <v>140</v>
      </c>
      <c r="J266" s="9" t="s">
        <v>2188</v>
      </c>
      <c r="K266" s="9" t="s">
        <v>2189</v>
      </c>
      <c r="L266" s="8" t="s">
        <v>2190</v>
      </c>
      <c r="M266" s="9" t="s">
        <v>49</v>
      </c>
      <c r="N266" s="9" t="s">
        <v>2191</v>
      </c>
      <c r="O266" s="9">
        <f>HYPERLINK("https://www.google.com/maps/search/?api=1&amp;query=42.69609286,-8.24010012", "https://www.google.com/maps/search/?api=1&amp;query=42.69609286,-8.24010012")</f>
      </c>
      <c r="P266" s="9" t="s">
        <v>1148</v>
      </c>
      <c r="Q266" s="9" t="s">
        <v>1760</v>
      </c>
    </row>
    <row r="267" spans="1:17" x14ac:dyDescent="0.25">
      <c r="A267" s="8" t="s">
        <v>2192</v>
      </c>
      <c r="B267" s="8" t="s">
        <v>2193</v>
      </c>
      <c r="C267" s="9" t="s">
        <v>2194</v>
      </c>
      <c r="D267" s="9" t="s">
        <v>379</v>
      </c>
      <c r="E267" s="9" t="s">
        <v>2195</v>
      </c>
      <c r="F267" s="10">
        <v>1.359</v>
      </c>
      <c r="G267" s="10">
        <v>1.495</v>
      </c>
      <c r="H267" s="10"/>
      <c r="I267" s="9" t="s">
        <v>379</v>
      </c>
      <c r="J267" s="9" t="s">
        <v>2196</v>
      </c>
      <c r="K267" s="9" t="s">
        <v>2197</v>
      </c>
      <c r="L267" s="8" t="s">
        <v>2198</v>
      </c>
      <c r="M267" s="9" t="s">
        <v>36</v>
      </c>
      <c r="N267" s="9" t="s">
        <v>88</v>
      </c>
      <c r="O267" s="9">
        <f>HYPERLINK("https://www.google.com/maps/search/?api=1&amp;query=42.83547359,-1.65315728", "https://www.google.com/maps/search/?api=1&amp;query=42.83547359,-1.65315728")</f>
      </c>
      <c r="P267" s="9" t="s">
        <v>680</v>
      </c>
      <c r="Q267" s="9" t="s">
        <v>1812</v>
      </c>
    </row>
    <row r="268" spans="1:17" x14ac:dyDescent="0.25">
      <c r="A268" s="8" t="s">
        <v>2199</v>
      </c>
      <c r="B268" s="8" t="s">
        <v>2200</v>
      </c>
      <c r="C268" s="9" t="s">
        <v>2201</v>
      </c>
      <c r="D268" s="9" t="s">
        <v>398</v>
      </c>
      <c r="E268" s="9" t="s">
        <v>1978</v>
      </c>
      <c r="F268" s="10">
        <v>1.359</v>
      </c>
      <c r="G268" s="10">
        <v>1.495</v>
      </c>
      <c r="H268" s="10"/>
      <c r="I268" s="9" t="s">
        <v>400</v>
      </c>
      <c r="J268" s="9" t="s">
        <v>2202</v>
      </c>
      <c r="K268" s="9" t="s">
        <v>2203</v>
      </c>
      <c r="L268" s="8" t="s">
        <v>1981</v>
      </c>
      <c r="M268" s="9" t="s">
        <v>49</v>
      </c>
      <c r="N268" s="9" t="s">
        <v>88</v>
      </c>
      <c r="O268" s="9">
        <f>HYPERLINK("https://www.google.com/maps/search/?api=1&amp;query=38.53872874,-0.17278983", "https://www.google.com/maps/search/?api=1&amp;query=38.53872874,-0.17278983")</f>
      </c>
      <c r="P268" s="9" t="s">
        <v>419</v>
      </c>
      <c r="Q268" s="9" t="s">
        <v>2204</v>
      </c>
    </row>
    <row r="269" spans="1:17" x14ac:dyDescent="0.25">
      <c r="A269" s="8" t="s">
        <v>2205</v>
      </c>
      <c r="B269" s="8" t="s">
        <v>2206</v>
      </c>
      <c r="C269" s="9" t="s">
        <v>2207</v>
      </c>
      <c r="D269" s="9" t="s">
        <v>400</v>
      </c>
      <c r="E269" s="9" t="s">
        <v>2208</v>
      </c>
      <c r="F269" s="10">
        <v>1.359</v>
      </c>
      <c r="G269" s="10">
        <v>1.495</v>
      </c>
      <c r="H269" s="10"/>
      <c r="I269" s="9" t="s">
        <v>400</v>
      </c>
      <c r="J269" s="9" t="s">
        <v>2209</v>
      </c>
      <c r="K269" s="9" t="s">
        <v>2210</v>
      </c>
      <c r="L269" s="8" t="s">
        <v>2211</v>
      </c>
      <c r="M269" s="9" t="s">
        <v>36</v>
      </c>
      <c r="N269" s="9" t="s">
        <v>2212</v>
      </c>
      <c r="O269" s="9">
        <f>HYPERLINK("https://www.google.com/maps/search/?api=1&amp;query=39.51450277,-0.4568664", "https://www.google.com/maps/search/?api=1&amp;query=39.51450277,-0.4568664")</f>
      </c>
      <c r="P269" s="9" t="s">
        <v>2213</v>
      </c>
      <c r="Q269" s="9" t="s">
        <v>832</v>
      </c>
    </row>
    <row r="270" spans="1:17" x14ac:dyDescent="0.25">
      <c r="A270" s="8" t="s">
        <v>2214</v>
      </c>
      <c r="B270" s="8" t="s">
        <v>2215</v>
      </c>
      <c r="C270" s="9" t="s">
        <v>2216</v>
      </c>
      <c r="D270" s="9" t="s">
        <v>128</v>
      </c>
      <c r="E270" s="9" t="s">
        <v>2217</v>
      </c>
      <c r="F270" s="10">
        <v>1.359</v>
      </c>
      <c r="G270" s="10">
        <v>1.495</v>
      </c>
      <c r="H270" s="10"/>
      <c r="I270" s="9" t="s">
        <v>45</v>
      </c>
      <c r="J270" s="9" t="s">
        <v>2218</v>
      </c>
      <c r="K270" s="9" t="s">
        <v>2219</v>
      </c>
      <c r="L270" s="8" t="s">
        <v>2220</v>
      </c>
      <c r="M270" s="9" t="s">
        <v>49</v>
      </c>
      <c r="N270" s="9" t="s">
        <v>88</v>
      </c>
      <c r="O270" s="9">
        <f>HYPERLINK("https://www.google.com/maps/search/?api=1&amp;query=36.76481993,-6.34272083", "https://www.google.com/maps/search/?api=1&amp;query=36.76481993,-6.34272083")</f>
      </c>
      <c r="P270" s="9" t="s">
        <v>1287</v>
      </c>
      <c r="Q270" s="9" t="s">
        <v>1288</v>
      </c>
    </row>
    <row r="271" spans="1:17" x14ac:dyDescent="0.25">
      <c r="A271" s="8" t="s">
        <v>2221</v>
      </c>
      <c r="B271" s="8" t="s">
        <v>2222</v>
      </c>
      <c r="C271" s="9" t="s">
        <v>2223</v>
      </c>
      <c r="D271" s="9" t="s">
        <v>892</v>
      </c>
      <c r="E271" s="9" t="s">
        <v>1199</v>
      </c>
      <c r="F271" s="10">
        <v>1.359</v>
      </c>
      <c r="G271" s="10">
        <v>1.495</v>
      </c>
      <c r="H271" s="10"/>
      <c r="I271" s="9" t="s">
        <v>32</v>
      </c>
      <c r="J271" s="9" t="s">
        <v>2224</v>
      </c>
      <c r="K271" s="9" t="s">
        <v>2225</v>
      </c>
      <c r="L271" s="8" t="s">
        <v>1660</v>
      </c>
      <c r="M271" s="9" t="s">
        <v>49</v>
      </c>
      <c r="N271" s="9" t="s">
        <v>66</v>
      </c>
      <c r="O271" s="9">
        <f>HYPERLINK("https://www.google.com/maps/search/?api=1&amp;query=39.46207285,-6.38359564", "https://www.google.com/maps/search/?api=1&amp;query=39.46207285,-6.38359564")</f>
      </c>
      <c r="P271" s="9" t="s">
        <v>1637</v>
      </c>
      <c r="Q271" s="9" t="s">
        <v>731</v>
      </c>
    </row>
    <row r="272" spans="1:17" x14ac:dyDescent="0.25">
      <c r="A272" s="8" t="s">
        <v>2226</v>
      </c>
      <c r="B272" s="8" t="s">
        <v>2227</v>
      </c>
      <c r="C272" s="9" t="s">
        <v>2228</v>
      </c>
      <c r="D272" s="9" t="s">
        <v>94</v>
      </c>
      <c r="E272" s="9" t="s">
        <v>2229</v>
      </c>
      <c r="F272" s="10">
        <v>1.359</v>
      </c>
      <c r="G272" s="10">
        <v>1.495</v>
      </c>
      <c r="H272" s="10"/>
      <c r="I272" s="9" t="s">
        <v>96</v>
      </c>
      <c r="J272" s="9" t="s">
        <v>2230</v>
      </c>
      <c r="K272" s="9" t="s">
        <v>2231</v>
      </c>
      <c r="L272" s="8" t="s">
        <v>2232</v>
      </c>
      <c r="M272" s="9" t="s">
        <v>49</v>
      </c>
      <c r="N272" s="9" t="s">
        <v>88</v>
      </c>
      <c r="O272" s="9">
        <f>HYPERLINK("https://www.google.com/maps/search/?api=1&amp;query=41.50852375,2.09035667", "https://www.google.com/maps/search/?api=1&amp;query=41.50852375,2.09035667")</f>
      </c>
      <c r="P272" s="9" t="s">
        <v>2233</v>
      </c>
      <c r="Q272" s="9" t="s">
        <v>102</v>
      </c>
    </row>
    <row r="273" spans="1:17" x14ac:dyDescent="0.25">
      <c r="A273" s="8" t="s">
        <v>2234</v>
      </c>
      <c r="B273" s="8" t="s">
        <v>2235</v>
      </c>
      <c r="C273" s="9" t="s">
        <v>2236</v>
      </c>
      <c r="D273" s="9" t="s">
        <v>30</v>
      </c>
      <c r="E273" s="9" t="s">
        <v>2237</v>
      </c>
      <c r="F273" s="10">
        <v>1.359</v>
      </c>
      <c r="G273" s="10">
        <v>1.495</v>
      </c>
      <c r="H273" s="10"/>
      <c r="I273" s="9" t="s">
        <v>32</v>
      </c>
      <c r="J273" s="9" t="s">
        <v>2238</v>
      </c>
      <c r="K273" s="9" t="s">
        <v>2239</v>
      </c>
      <c r="L273" s="8" t="s">
        <v>2240</v>
      </c>
      <c r="M273" s="9" t="s">
        <v>49</v>
      </c>
      <c r="N273" s="9" t="s">
        <v>88</v>
      </c>
      <c r="O273" s="9">
        <f>HYPERLINK("https://www.google.com/maps/search/?api=1&amp;query=39.03988266,-5.68799181", "https://www.google.com/maps/search/?api=1&amp;query=39.03988266,-5.68799181")</f>
      </c>
      <c r="P273" s="9" t="s">
        <v>1259</v>
      </c>
      <c r="Q273" s="9" t="s">
        <v>2241</v>
      </c>
    </row>
    <row r="274" spans="1:17" x14ac:dyDescent="0.25">
      <c r="A274" s="8" t="s">
        <v>2242</v>
      </c>
      <c r="B274" s="8" t="s">
        <v>2243</v>
      </c>
      <c r="C274" s="9" t="s">
        <v>2244</v>
      </c>
      <c r="D274" s="9" t="s">
        <v>217</v>
      </c>
      <c r="E274" s="9" t="s">
        <v>271</v>
      </c>
      <c r="F274" s="10">
        <v>1.359</v>
      </c>
      <c r="G274" s="10">
        <v>1.495</v>
      </c>
      <c r="H274" s="10"/>
      <c r="I274" s="9" t="s">
        <v>45</v>
      </c>
      <c r="J274" s="9" t="s">
        <v>2245</v>
      </c>
      <c r="K274" s="9" t="s">
        <v>2246</v>
      </c>
      <c r="L274" s="8" t="s">
        <v>2016</v>
      </c>
      <c r="M274" s="9" t="s">
        <v>36</v>
      </c>
      <c r="N274" s="9" t="s">
        <v>88</v>
      </c>
      <c r="O274" s="9">
        <f>HYPERLINK("https://www.google.com/maps/search/?api=1&amp;query=36.71547458,-4.34377466", "https://www.google.com/maps/search/?api=1&amp;query=36.71547458,-4.34377466")</f>
      </c>
      <c r="P274" s="9" t="s">
        <v>1287</v>
      </c>
      <c r="Q274" s="9" t="s">
        <v>2247</v>
      </c>
    </row>
    <row r="275" spans="1:17" x14ac:dyDescent="0.25">
      <c r="A275" s="8" t="s">
        <v>2248</v>
      </c>
      <c r="B275" s="8" t="s">
        <v>2249</v>
      </c>
      <c r="C275" s="9" t="s">
        <v>2250</v>
      </c>
      <c r="D275" s="9" t="s">
        <v>83</v>
      </c>
      <c r="E275" s="9" t="s">
        <v>2251</v>
      </c>
      <c r="F275" s="10">
        <v>1.359</v>
      </c>
      <c r="G275" s="10">
        <v>1.495</v>
      </c>
      <c r="H275" s="10"/>
      <c r="I275" s="9" t="s">
        <v>83</v>
      </c>
      <c r="J275" s="9" t="s">
        <v>2252</v>
      </c>
      <c r="K275" s="9" t="s">
        <v>2253</v>
      </c>
      <c r="L275" s="8" t="s">
        <v>2254</v>
      </c>
      <c r="M275" s="9" t="s">
        <v>36</v>
      </c>
      <c r="N275" s="9" t="s">
        <v>37</v>
      </c>
      <c r="O275" s="9">
        <f>HYPERLINK("https://www.google.com/maps/search/?api=1&amp;query=40.4499566,-3.5237921", "https://www.google.com/maps/search/?api=1&amp;query=40.4499566,-3.5237921")</f>
      </c>
      <c r="P275" s="9" t="s">
        <v>2255</v>
      </c>
      <c r="Q275" s="9" t="s">
        <v>286</v>
      </c>
    </row>
    <row r="276" spans="1:17" x14ac:dyDescent="0.25">
      <c r="A276" s="8" t="s">
        <v>2256</v>
      </c>
      <c r="B276" s="8" t="s">
        <v>2257</v>
      </c>
      <c r="C276" s="9" t="s">
        <v>2258</v>
      </c>
      <c r="D276" s="9" t="s">
        <v>400</v>
      </c>
      <c r="E276" s="9" t="s">
        <v>400</v>
      </c>
      <c r="F276" s="10">
        <v>1.359</v>
      </c>
      <c r="G276" s="10">
        <v>1.495</v>
      </c>
      <c r="H276" s="10"/>
      <c r="I276" s="9" t="s">
        <v>400</v>
      </c>
      <c r="J276" s="9" t="s">
        <v>2259</v>
      </c>
      <c r="K276" s="9" t="s">
        <v>2260</v>
      </c>
      <c r="L276" s="8" t="s">
        <v>2261</v>
      </c>
      <c r="M276" s="9" t="s">
        <v>49</v>
      </c>
      <c r="N276" s="9" t="s">
        <v>37</v>
      </c>
      <c r="O276" s="9">
        <f>HYPERLINK("https://www.google.com/maps/search/?api=1&amp;query=39.48775016,-0.40410354", "https://www.google.com/maps/search/?api=1&amp;query=39.48775016,-0.40410354")</f>
      </c>
      <c r="P276" s="9" t="s">
        <v>2262</v>
      </c>
      <c r="Q276" s="9" t="s">
        <v>420</v>
      </c>
    </row>
    <row r="277" spans="1:17" x14ac:dyDescent="0.25">
      <c r="A277" s="8" t="s">
        <v>2263</v>
      </c>
      <c r="B277" s="8" t="s">
        <v>2264</v>
      </c>
      <c r="C277" s="9" t="s">
        <v>2265</v>
      </c>
      <c r="D277" s="9" t="s">
        <v>658</v>
      </c>
      <c r="E277" s="9" t="s">
        <v>2266</v>
      </c>
      <c r="F277" s="10">
        <v>1.359</v>
      </c>
      <c r="G277" s="10">
        <v>1.495</v>
      </c>
      <c r="H277" s="10"/>
      <c r="I277" s="9" t="s">
        <v>45</v>
      </c>
      <c r="J277" s="9" t="s">
        <v>2267</v>
      </c>
      <c r="K277" s="9" t="s">
        <v>2268</v>
      </c>
      <c r="L277" s="8" t="s">
        <v>2269</v>
      </c>
      <c r="M277" s="9" t="s">
        <v>49</v>
      </c>
      <c r="N277" s="9" t="s">
        <v>88</v>
      </c>
      <c r="O277" s="9">
        <f>HYPERLINK("https://www.google.com/maps/search/?api=1&amp;query=36.83501637,-2.4473459", "https://www.google.com/maps/search/?api=1&amp;query=36.83501637,-2.4473459")</f>
      </c>
      <c r="P277" s="9" t="s">
        <v>1287</v>
      </c>
      <c r="Q277" s="9" t="s">
        <v>857</v>
      </c>
    </row>
    <row r="278" spans="1:17" x14ac:dyDescent="0.25">
      <c r="A278" s="8" t="s">
        <v>2270</v>
      </c>
      <c r="B278" s="8" t="s">
        <v>2271</v>
      </c>
      <c r="C278" s="9" t="s">
        <v>2272</v>
      </c>
      <c r="D278" s="9" t="s">
        <v>187</v>
      </c>
      <c r="E278" s="9" t="s">
        <v>2273</v>
      </c>
      <c r="F278" s="10">
        <v>1.359</v>
      </c>
      <c r="G278" s="10">
        <v>1.495</v>
      </c>
      <c r="H278" s="10"/>
      <c r="I278" s="9" t="s">
        <v>74</v>
      </c>
      <c r="J278" s="9" t="s">
        <v>2274</v>
      </c>
      <c r="K278" s="9" t="s">
        <v>2275</v>
      </c>
      <c r="L278" s="8" t="s">
        <v>2276</v>
      </c>
      <c r="M278" s="9" t="s">
        <v>49</v>
      </c>
      <c r="N278" s="9" t="s">
        <v>37</v>
      </c>
      <c r="O278" s="9">
        <f>HYPERLINK("https://www.google.com/maps/search/?api=1&amp;query=42.58555891,-5.55940761", "https://www.google.com/maps/search/?api=1&amp;query=42.58555891,-5.55940761")</f>
      </c>
      <c r="P278" s="9" t="s">
        <v>2277</v>
      </c>
      <c r="Q278" s="9" t="s">
        <v>1506</v>
      </c>
    </row>
    <row r="279" spans="1:17" x14ac:dyDescent="0.25">
      <c r="A279" s="8" t="s">
        <v>2278</v>
      </c>
      <c r="B279" s="8" t="s">
        <v>2279</v>
      </c>
      <c r="C279" s="9" t="s">
        <v>2280</v>
      </c>
      <c r="D279" s="9" t="s">
        <v>1617</v>
      </c>
      <c r="E279" s="9" t="s">
        <v>1617</v>
      </c>
      <c r="F279" s="10">
        <v>1.359</v>
      </c>
      <c r="G279" s="10">
        <v>1.495</v>
      </c>
      <c r="H279" s="10"/>
      <c r="I279" s="9" t="s">
        <v>292</v>
      </c>
      <c r="J279" s="9" t="s">
        <v>2281</v>
      </c>
      <c r="K279" s="9" t="s">
        <v>2282</v>
      </c>
      <c r="L279" s="8" t="s">
        <v>2283</v>
      </c>
      <c r="M279" s="9" t="s">
        <v>36</v>
      </c>
      <c r="N279" s="9" t="s">
        <v>88</v>
      </c>
      <c r="O279" s="9">
        <f>HYPERLINK("https://www.google.com/maps/search/?api=1&amp;query=42.12510503,-0.42990314", "https://www.google.com/maps/search/?api=1&amp;query=42.12510503,-0.42990314")</f>
      </c>
      <c r="P279" s="9" t="s">
        <v>56</v>
      </c>
      <c r="Q279" s="9" t="s">
        <v>2284</v>
      </c>
    </row>
    <row r="280" spans="1:17" x14ac:dyDescent="0.25">
      <c r="A280" s="8" t="s">
        <v>2285</v>
      </c>
      <c r="B280" s="8" t="s">
        <v>2286</v>
      </c>
      <c r="C280" s="9" t="s">
        <v>2287</v>
      </c>
      <c r="D280" s="9" t="s">
        <v>2288</v>
      </c>
      <c r="E280" s="9" t="s">
        <v>2288</v>
      </c>
      <c r="F280" s="10">
        <v>1.359</v>
      </c>
      <c r="G280" s="10">
        <v>1.495</v>
      </c>
      <c r="H280" s="10"/>
      <c r="I280" s="9" t="s">
        <v>168</v>
      </c>
      <c r="J280" s="9" t="s">
        <v>2289</v>
      </c>
      <c r="K280" s="9" t="s">
        <v>2290</v>
      </c>
      <c r="L280" s="8" t="s">
        <v>2291</v>
      </c>
      <c r="M280" s="9" t="s">
        <v>49</v>
      </c>
      <c r="N280" s="9" t="s">
        <v>88</v>
      </c>
      <c r="O280" s="9">
        <f>HYPERLINK("https://www.google.com/maps/search/?api=1&amp;query=38.9994266,-1.8544934", "https://www.google.com/maps/search/?api=1&amp;query=38.9994266,-1.8544934")</f>
      </c>
      <c r="P280" s="9" t="s">
        <v>2292</v>
      </c>
      <c r="Q280" s="9" t="s">
        <v>2293</v>
      </c>
    </row>
    <row r="281" spans="1:17" x14ac:dyDescent="0.25">
      <c r="A281" s="8" t="s">
        <v>2294</v>
      </c>
      <c r="B281" s="8" t="s">
        <v>2295</v>
      </c>
      <c r="C281" s="9" t="s">
        <v>2296</v>
      </c>
      <c r="D281" s="9" t="s">
        <v>94</v>
      </c>
      <c r="E281" s="9" t="s">
        <v>2297</v>
      </c>
      <c r="F281" s="10">
        <v>1.359</v>
      </c>
      <c r="G281" s="10">
        <v>1.495</v>
      </c>
      <c r="H281" s="10"/>
      <c r="I281" s="9" t="s">
        <v>96</v>
      </c>
      <c r="J281" s="9" t="s">
        <v>2298</v>
      </c>
      <c r="K281" s="9" t="s">
        <v>2299</v>
      </c>
      <c r="L281" s="8" t="s">
        <v>2300</v>
      </c>
      <c r="M281" s="9" t="s">
        <v>49</v>
      </c>
      <c r="N281" s="9" t="s">
        <v>88</v>
      </c>
      <c r="O281" s="9">
        <f>HYPERLINK("https://www.google.com/maps/search/?api=1&amp;query=41.53687067,1.67960619", "https://www.google.com/maps/search/?api=1&amp;query=41.53687067,1.67960619")</f>
      </c>
      <c r="P281" s="9" t="s">
        <v>240</v>
      </c>
      <c r="Q281" s="9" t="s">
        <v>539</v>
      </c>
    </row>
    <row r="282" spans="1:17" x14ac:dyDescent="0.25">
      <c r="A282" s="8" t="s">
        <v>2301</v>
      </c>
      <c r="B282" s="8" t="s">
        <v>2302</v>
      </c>
      <c r="C282" s="9" t="s">
        <v>2303</v>
      </c>
      <c r="D282" s="9" t="s">
        <v>61</v>
      </c>
      <c r="E282" s="9" t="s">
        <v>2304</v>
      </c>
      <c r="F282" s="10">
        <v>1.359</v>
      </c>
      <c r="G282" s="10">
        <v>1.495</v>
      </c>
      <c r="H282" s="10"/>
      <c r="I282" s="9" t="s">
        <v>45</v>
      </c>
      <c r="J282" s="9" t="s">
        <v>2305</v>
      </c>
      <c r="K282" s="9" t="s">
        <v>2306</v>
      </c>
      <c r="L282" s="8" t="s">
        <v>2307</v>
      </c>
      <c r="M282" s="9" t="s">
        <v>49</v>
      </c>
      <c r="N282" s="9" t="s">
        <v>88</v>
      </c>
      <c r="O282" s="9">
        <f>HYPERLINK("https://www.google.com/maps/search/?api=1&amp;query=37.38147316,-6.02660189", "https://www.google.com/maps/search/?api=1&amp;query=37.38147316,-6.02660189")</f>
      </c>
      <c r="P282" s="9" t="s">
        <v>696</v>
      </c>
      <c r="Q282" s="9" t="s">
        <v>539</v>
      </c>
    </row>
    <row r="283" spans="1:17" x14ac:dyDescent="0.25">
      <c r="A283" s="8" t="s">
        <v>2308</v>
      </c>
      <c r="B283" s="8" t="s">
        <v>2309</v>
      </c>
      <c r="C283" s="9" t="s">
        <v>2310</v>
      </c>
      <c r="D283" s="9" t="s">
        <v>83</v>
      </c>
      <c r="E283" s="9" t="s">
        <v>83</v>
      </c>
      <c r="F283" s="10">
        <v>1.359</v>
      </c>
      <c r="G283" s="10">
        <v>1.495</v>
      </c>
      <c r="H283" s="10"/>
      <c r="I283" s="9" t="s">
        <v>83</v>
      </c>
      <c r="J283" s="9" t="s">
        <v>2311</v>
      </c>
      <c r="K283" s="9" t="s">
        <v>2312</v>
      </c>
      <c r="L283" s="8" t="s">
        <v>2313</v>
      </c>
      <c r="M283" s="9" t="s">
        <v>49</v>
      </c>
      <c r="N283" s="9" t="s">
        <v>211</v>
      </c>
      <c r="O283" s="9">
        <f>HYPERLINK("https://www.google.com/maps/search/?api=1&amp;query=40.4591625,-3.68136535", "https://www.google.com/maps/search/?api=1&amp;query=40.4591625,-3.68136535")</f>
      </c>
      <c r="P283" s="9" t="s">
        <v>172</v>
      </c>
      <c r="Q283" s="9" t="s">
        <v>2314</v>
      </c>
    </row>
    <row r="284" spans="1:17" x14ac:dyDescent="0.25">
      <c r="A284" s="8" t="s">
        <v>2315</v>
      </c>
      <c r="B284" s="8" t="s">
        <v>2316</v>
      </c>
      <c r="C284" s="9" t="s">
        <v>2317</v>
      </c>
      <c r="D284" s="9" t="s">
        <v>177</v>
      </c>
      <c r="E284" s="9" t="s">
        <v>177</v>
      </c>
      <c r="F284" s="10">
        <v>1.359</v>
      </c>
      <c r="G284" s="10">
        <v>1.495</v>
      </c>
      <c r="H284" s="10"/>
      <c r="I284" s="9" t="s">
        <v>74</v>
      </c>
      <c r="J284" s="9" t="s">
        <v>2318</v>
      </c>
      <c r="K284" s="9" t="s">
        <v>2319</v>
      </c>
      <c r="L284" s="8" t="s">
        <v>2320</v>
      </c>
      <c r="M284" s="9" t="s">
        <v>36</v>
      </c>
      <c r="N284" s="9" t="s">
        <v>211</v>
      </c>
      <c r="O284" s="9">
        <f>HYPERLINK("https://www.google.com/maps/search/?api=1&amp;query=41.67268993,-4.72430015", "https://www.google.com/maps/search/?api=1&amp;query=41.67268993,-4.72430015")</f>
      </c>
      <c r="P284" s="9" t="s">
        <v>608</v>
      </c>
      <c r="Q284" s="9" t="s">
        <v>124</v>
      </c>
    </row>
    <row r="285" spans="1:17" x14ac:dyDescent="0.25">
      <c r="A285" s="8" t="s">
        <v>2321</v>
      </c>
      <c r="B285" s="8" t="s">
        <v>2322</v>
      </c>
      <c r="C285" s="9" t="s">
        <v>2323</v>
      </c>
      <c r="D285" s="9" t="s">
        <v>83</v>
      </c>
      <c r="E285" s="9" t="s">
        <v>498</v>
      </c>
      <c r="F285" s="10">
        <v>1.359</v>
      </c>
      <c r="G285" s="10">
        <v>1.495</v>
      </c>
      <c r="H285" s="10"/>
      <c r="I285" s="9" t="s">
        <v>83</v>
      </c>
      <c r="J285" s="9" t="s">
        <v>2324</v>
      </c>
      <c r="K285" s="9" t="s">
        <v>2325</v>
      </c>
      <c r="L285" s="8" t="s">
        <v>501</v>
      </c>
      <c r="M285" s="9" t="s">
        <v>36</v>
      </c>
      <c r="N285" s="9" t="s">
        <v>66</v>
      </c>
      <c r="O285" s="9">
        <f>HYPERLINK("https://www.google.com/maps/search/?api=1&amp;query=40.27719855,-3.76501922", "https://www.google.com/maps/search/?api=1&amp;query=40.27719855,-3.76501922")</f>
      </c>
      <c r="P285" s="9" t="s">
        <v>2255</v>
      </c>
      <c r="Q285" s="9" t="s">
        <v>2326</v>
      </c>
    </row>
    <row r="286" spans="1:17" x14ac:dyDescent="0.25">
      <c r="A286" s="8" t="s">
        <v>2327</v>
      </c>
      <c r="B286" s="8" t="s">
        <v>2328</v>
      </c>
      <c r="C286" s="9" t="s">
        <v>2329</v>
      </c>
      <c r="D286" s="9" t="s">
        <v>808</v>
      </c>
      <c r="E286" s="9" t="s">
        <v>2330</v>
      </c>
      <c r="F286" s="10">
        <v>1.359</v>
      </c>
      <c r="G286" s="10">
        <v>1.495</v>
      </c>
      <c r="H286" s="10"/>
      <c r="I286" s="9" t="s">
        <v>808</v>
      </c>
      <c r="J286" s="9" t="s">
        <v>2331</v>
      </c>
      <c r="K286" s="9" t="s">
        <v>2332</v>
      </c>
      <c r="L286" s="8" t="s">
        <v>2333</v>
      </c>
      <c r="M286" s="9" t="s">
        <v>49</v>
      </c>
      <c r="N286" s="9" t="s">
        <v>66</v>
      </c>
      <c r="O286" s="9">
        <f>HYPERLINK("https://www.google.com/maps/search/?api=1&amp;query=43.43433221,-3.83650201", "https://www.google.com/maps/search/?api=1&amp;query=43.43433221,-3.83650201")</f>
      </c>
      <c r="P286" s="9" t="s">
        <v>1471</v>
      </c>
      <c r="Q286" s="9" t="s">
        <v>2334</v>
      </c>
    </row>
    <row r="287" spans="1:17" x14ac:dyDescent="0.25">
      <c r="A287" s="8" t="s">
        <v>2335</v>
      </c>
      <c r="B287" s="8" t="s">
        <v>2336</v>
      </c>
      <c r="C287" s="9" t="s">
        <v>2337</v>
      </c>
      <c r="D287" s="9" t="s">
        <v>94</v>
      </c>
      <c r="E287" s="9" t="s">
        <v>2338</v>
      </c>
      <c r="F287" s="10">
        <v>1.359</v>
      </c>
      <c r="G287" s="10">
        <v>1.495</v>
      </c>
      <c r="H287" s="10"/>
      <c r="I287" s="9" t="s">
        <v>96</v>
      </c>
      <c r="J287" s="9" t="s">
        <v>2339</v>
      </c>
      <c r="K287" s="9" t="s">
        <v>2340</v>
      </c>
      <c r="L287" s="8" t="s">
        <v>2341</v>
      </c>
      <c r="M287" s="9" t="s">
        <v>49</v>
      </c>
      <c r="N287" s="9" t="s">
        <v>37</v>
      </c>
      <c r="O287" s="9">
        <f>HYPERLINK("https://www.google.com/maps/search/?api=1&amp;query=41.54607743,2.09476191", "https://www.google.com/maps/search/?api=1&amp;query=41.54607743,2.09476191")</f>
      </c>
      <c r="P287" s="9" t="s">
        <v>2342</v>
      </c>
      <c r="Q287" s="9" t="s">
        <v>874</v>
      </c>
    </row>
    <row r="288" spans="1:17" x14ac:dyDescent="0.25">
      <c r="A288" s="8" t="s">
        <v>2343</v>
      </c>
      <c r="B288" s="8" t="s">
        <v>2344</v>
      </c>
      <c r="C288" s="9" t="s">
        <v>2345</v>
      </c>
      <c r="D288" s="9" t="s">
        <v>253</v>
      </c>
      <c r="E288" s="9" t="s">
        <v>2346</v>
      </c>
      <c r="F288" s="10">
        <v>1.359</v>
      </c>
      <c r="G288" s="10">
        <v>1.495</v>
      </c>
      <c r="H288" s="10"/>
      <c r="I288" s="9" t="s">
        <v>96</v>
      </c>
      <c r="J288" s="9" t="s">
        <v>2347</v>
      </c>
      <c r="K288" s="9" t="s">
        <v>2348</v>
      </c>
      <c r="L288" s="8" t="s">
        <v>2349</v>
      </c>
      <c r="M288" s="9" t="s">
        <v>36</v>
      </c>
      <c r="N288" s="9" t="s">
        <v>88</v>
      </c>
      <c r="O288" s="9">
        <f>HYPERLINK("https://www.google.com/maps/search/?api=1&amp;query=41.19740597,1.62438782", "https://www.google.com/maps/search/?api=1&amp;query=41.19740597,1.62438782")</f>
      </c>
      <c r="P288" s="9" t="s">
        <v>2350</v>
      </c>
      <c r="Q288" s="9" t="s">
        <v>731</v>
      </c>
    </row>
    <row r="289" spans="1:17" x14ac:dyDescent="0.25">
      <c r="A289" s="8" t="s">
        <v>2351</v>
      </c>
      <c r="B289" s="8" t="s">
        <v>2352</v>
      </c>
      <c r="C289" s="9" t="s">
        <v>2353</v>
      </c>
      <c r="D289" s="9" t="s">
        <v>1192</v>
      </c>
      <c r="E289" s="9" t="s">
        <v>2354</v>
      </c>
      <c r="F289" s="10">
        <v>1.359</v>
      </c>
      <c r="G289" s="10">
        <v>1.495</v>
      </c>
      <c r="H289" s="10"/>
      <c r="I289" s="9" t="s">
        <v>168</v>
      </c>
      <c r="J289" s="9" t="s">
        <v>2355</v>
      </c>
      <c r="K289" s="9" t="s">
        <v>2356</v>
      </c>
      <c r="L289" s="8" t="s">
        <v>2357</v>
      </c>
      <c r="M289" s="9" t="s">
        <v>36</v>
      </c>
      <c r="N289" s="9" t="s">
        <v>88</v>
      </c>
      <c r="O289" s="9">
        <f>HYPERLINK("https://www.google.com/maps/search/?api=1&amp;query=39.02305526,-3.37349406", "https://www.google.com/maps/search/?api=1&amp;query=39.02305526,-3.37349406")</f>
      </c>
      <c r="P289" s="9" t="s">
        <v>38</v>
      </c>
      <c r="Q289" s="9" t="s">
        <v>112</v>
      </c>
    </row>
    <row r="290" spans="1:17" x14ac:dyDescent="0.25">
      <c r="A290" s="8" t="s">
        <v>2358</v>
      </c>
      <c r="B290" s="8" t="s">
        <v>2359</v>
      </c>
      <c r="C290" s="9" t="s">
        <v>2360</v>
      </c>
      <c r="D290" s="9" t="s">
        <v>398</v>
      </c>
      <c r="E290" s="9" t="s">
        <v>2361</v>
      </c>
      <c r="F290" s="10">
        <v>1.359</v>
      </c>
      <c r="G290" s="10">
        <v>1.495</v>
      </c>
      <c r="H290" s="10"/>
      <c r="I290" s="9" t="s">
        <v>400</v>
      </c>
      <c r="J290" s="9" t="s">
        <v>2362</v>
      </c>
      <c r="K290" s="9" t="s">
        <v>2363</v>
      </c>
      <c r="L290" s="8" t="s">
        <v>2364</v>
      </c>
      <c r="M290" s="9" t="s">
        <v>36</v>
      </c>
      <c r="N290" s="9" t="s">
        <v>2365</v>
      </c>
      <c r="O290" s="9">
        <f>HYPERLINK("https://www.google.com/maps/search/?api=1&amp;query=37.99610657,-0.65607795", "https://www.google.com/maps/search/?api=1&amp;query=37.99610657,-0.65607795")</f>
      </c>
      <c r="P290" s="9" t="s">
        <v>2366</v>
      </c>
      <c r="Q290" s="9" t="s">
        <v>134</v>
      </c>
    </row>
    <row r="291" spans="1:17" x14ac:dyDescent="0.25">
      <c r="A291" s="8" t="s">
        <v>2367</v>
      </c>
      <c r="B291" s="8" t="s">
        <v>2368</v>
      </c>
      <c r="C291" s="9" t="s">
        <v>2369</v>
      </c>
      <c r="D291" s="9" t="s">
        <v>1282</v>
      </c>
      <c r="E291" s="9" t="s">
        <v>1282</v>
      </c>
      <c r="F291" s="10">
        <v>1.359</v>
      </c>
      <c r="G291" s="10">
        <v>1.495</v>
      </c>
      <c r="H291" s="10"/>
      <c r="I291" s="9" t="s">
        <v>45</v>
      </c>
      <c r="J291" s="9" t="s">
        <v>2370</v>
      </c>
      <c r="K291" s="9" t="s">
        <v>2371</v>
      </c>
      <c r="L291" s="8" t="s">
        <v>2372</v>
      </c>
      <c r="M291" s="9" t="s">
        <v>49</v>
      </c>
      <c r="N291" s="9" t="s">
        <v>211</v>
      </c>
      <c r="O291" s="9">
        <f>HYPERLINK("https://www.google.com/maps/search/?api=1&amp;query=37.195028,-3.603972", "https://www.google.com/maps/search/?api=1&amp;query=37.195028,-3.603972")</f>
      </c>
      <c r="P291" s="9" t="s">
        <v>2373</v>
      </c>
      <c r="Q291" s="9" t="s">
        <v>405</v>
      </c>
    </row>
    <row r="292" spans="1:17" x14ac:dyDescent="0.25">
      <c r="A292" s="8" t="s">
        <v>2374</v>
      </c>
      <c r="B292" s="8" t="s">
        <v>2375</v>
      </c>
      <c r="C292" s="9" t="s">
        <v>2376</v>
      </c>
      <c r="D292" s="9" t="s">
        <v>400</v>
      </c>
      <c r="E292" s="9" t="s">
        <v>2377</v>
      </c>
      <c r="F292" s="10">
        <v>1.359</v>
      </c>
      <c r="G292" s="10">
        <v>1.495</v>
      </c>
      <c r="H292" s="10"/>
      <c r="I292" s="9" t="s">
        <v>400</v>
      </c>
      <c r="J292" s="9" t="s">
        <v>2378</v>
      </c>
      <c r="K292" s="9" t="s">
        <v>2379</v>
      </c>
      <c r="L292" s="8" t="s">
        <v>2380</v>
      </c>
      <c r="M292" s="9" t="s">
        <v>36</v>
      </c>
      <c r="N292" s="9" t="s">
        <v>88</v>
      </c>
      <c r="O292" s="9">
        <f>HYPERLINK("https://www.google.com/maps/search/?api=1&amp;query=39.57217738,-0.62432969", "https://www.google.com/maps/search/?api=1&amp;query=39.57217738,-0.62432969")</f>
      </c>
      <c r="P292" s="9" t="s">
        <v>2381</v>
      </c>
      <c r="Q292" s="9" t="s">
        <v>2382</v>
      </c>
    </row>
    <row r="293" spans="1:17" x14ac:dyDescent="0.25">
      <c r="A293" s="8" t="s">
        <v>2383</v>
      </c>
      <c r="B293" s="8" t="s">
        <v>2384</v>
      </c>
      <c r="C293" s="9" t="s">
        <v>2385</v>
      </c>
      <c r="D293" s="9" t="s">
        <v>434</v>
      </c>
      <c r="E293" s="9" t="s">
        <v>2386</v>
      </c>
      <c r="F293" s="10">
        <v>1.359</v>
      </c>
      <c r="G293" s="10">
        <v>1.495</v>
      </c>
      <c r="H293" s="10"/>
      <c r="I293" s="9" t="s">
        <v>96</v>
      </c>
      <c r="J293" s="9" t="s">
        <v>2387</v>
      </c>
      <c r="K293" s="9" t="s">
        <v>2388</v>
      </c>
      <c r="L293" s="8" t="s">
        <v>2389</v>
      </c>
      <c r="M293" s="9" t="s">
        <v>49</v>
      </c>
      <c r="N293" s="9" t="s">
        <v>37</v>
      </c>
      <c r="O293" s="9">
        <f>HYPERLINK("https://www.google.com/maps/search/?api=1&amp;query=42.39837677,2.88266039", "https://www.google.com/maps/search/?api=1&amp;query=42.39837677,2.88266039")</f>
      </c>
      <c r="P293" s="9" t="s">
        <v>2010</v>
      </c>
      <c r="Q293" s="9" t="s">
        <v>2390</v>
      </c>
    </row>
    <row r="294" spans="1:17" x14ac:dyDescent="0.25">
      <c r="A294" s="8" t="s">
        <v>2391</v>
      </c>
      <c r="B294" s="8" t="s">
        <v>2392</v>
      </c>
      <c r="C294" s="9" t="s">
        <v>2393</v>
      </c>
      <c r="D294" s="9" t="s">
        <v>155</v>
      </c>
      <c r="E294" s="9" t="s">
        <v>2394</v>
      </c>
      <c r="F294" s="10">
        <v>1.359</v>
      </c>
      <c r="G294" s="10">
        <v>1.495</v>
      </c>
      <c r="H294" s="10"/>
      <c r="I294" s="9" t="s">
        <v>157</v>
      </c>
      <c r="J294" s="9" t="s">
        <v>2395</v>
      </c>
      <c r="K294" s="9" t="s">
        <v>2396</v>
      </c>
      <c r="L294" s="8" t="s">
        <v>2397</v>
      </c>
      <c r="M294" s="9" t="s">
        <v>36</v>
      </c>
      <c r="N294" s="9" t="s">
        <v>88</v>
      </c>
      <c r="O294" s="9">
        <f>HYPERLINK("https://www.google.com/maps/search/?api=1&amp;query=39.54784838,2.70317333", "https://www.google.com/maps/search/?api=1&amp;query=39.54784838,2.70317333")</f>
      </c>
      <c r="P294" s="9" t="s">
        <v>2398</v>
      </c>
      <c r="Q294" s="9" t="s">
        <v>565</v>
      </c>
    </row>
    <row r="295" spans="1:17" x14ac:dyDescent="0.25">
      <c r="A295" s="8" t="s">
        <v>2399</v>
      </c>
      <c r="B295" s="8" t="s">
        <v>2400</v>
      </c>
      <c r="C295" s="9" t="s">
        <v>2401</v>
      </c>
      <c r="D295" s="9" t="s">
        <v>138</v>
      </c>
      <c r="E295" s="9" t="s">
        <v>2402</v>
      </c>
      <c r="F295" s="10">
        <v>1.359</v>
      </c>
      <c r="G295" s="10">
        <v>1.495</v>
      </c>
      <c r="H295" s="10"/>
      <c r="I295" s="9" t="s">
        <v>140</v>
      </c>
      <c r="J295" s="9" t="s">
        <v>2403</v>
      </c>
      <c r="K295" s="9" t="s">
        <v>2404</v>
      </c>
      <c r="L295" s="8" t="s">
        <v>2405</v>
      </c>
      <c r="M295" s="9" t="s">
        <v>49</v>
      </c>
      <c r="N295" s="9" t="s">
        <v>88</v>
      </c>
      <c r="O295" s="9">
        <f>HYPERLINK("https://www.google.com/maps/search/?api=1&amp;query=42.17613712,-8.49544422", "https://www.google.com/maps/search/?api=1&amp;query=42.17613712,-8.49544422")</f>
      </c>
      <c r="P295" s="9" t="s">
        <v>880</v>
      </c>
      <c r="Q295" s="9" t="s">
        <v>1727</v>
      </c>
    </row>
    <row r="296" spans="1:17" x14ac:dyDescent="0.25">
      <c r="A296" s="8" t="s">
        <v>2406</v>
      </c>
      <c r="B296" s="8" t="s">
        <v>2407</v>
      </c>
      <c r="C296" s="9" t="s">
        <v>2408</v>
      </c>
      <c r="D296" s="9" t="s">
        <v>155</v>
      </c>
      <c r="E296" s="9" t="s">
        <v>2409</v>
      </c>
      <c r="F296" s="10">
        <v>1.359</v>
      </c>
      <c r="G296" s="10">
        <v>1.495</v>
      </c>
      <c r="H296" s="10"/>
      <c r="I296" s="9" t="s">
        <v>157</v>
      </c>
      <c r="J296" s="9" t="s">
        <v>2410</v>
      </c>
      <c r="K296" s="9" t="s">
        <v>2411</v>
      </c>
      <c r="L296" s="8" t="s">
        <v>2412</v>
      </c>
      <c r="M296" s="9" t="s">
        <v>49</v>
      </c>
      <c r="N296" s="9" t="s">
        <v>88</v>
      </c>
      <c r="O296" s="9">
        <f>HYPERLINK("https://www.google.com/maps/search/?api=1&amp;query=39.68982184,3.34692454", "https://www.google.com/maps/search/?api=1&amp;query=39.68982184,3.34692454")</f>
      </c>
      <c r="P296" s="9" t="s">
        <v>2413</v>
      </c>
      <c r="Q296" s="9" t="s">
        <v>151</v>
      </c>
    </row>
    <row r="297" spans="1:17" x14ac:dyDescent="0.25">
      <c r="A297" s="8" t="s">
        <v>2414</v>
      </c>
      <c r="B297" s="8" t="s">
        <v>2415</v>
      </c>
      <c r="C297" s="9" t="s">
        <v>2416</v>
      </c>
      <c r="D297" s="9" t="s">
        <v>409</v>
      </c>
      <c r="E297" s="9" t="s">
        <v>409</v>
      </c>
      <c r="F297" s="10">
        <v>1.359</v>
      </c>
      <c r="G297" s="10">
        <v>1.495</v>
      </c>
      <c r="H297" s="10"/>
      <c r="I297" s="9" t="s">
        <v>292</v>
      </c>
      <c r="J297" s="9" t="s">
        <v>2417</v>
      </c>
      <c r="K297" s="9" t="s">
        <v>2418</v>
      </c>
      <c r="L297" s="8" t="s">
        <v>2419</v>
      </c>
      <c r="M297" s="9" t="s">
        <v>49</v>
      </c>
      <c r="N297" s="9" t="s">
        <v>88</v>
      </c>
      <c r="O297" s="9">
        <f>HYPERLINK("https://www.google.com/maps/search/?api=1&amp;query=41.63450497,-0.86179473", "https://www.google.com/maps/search/?api=1&amp;query=41.63450497,-0.86179473")</f>
      </c>
      <c r="P297" s="9" t="s">
        <v>2420</v>
      </c>
      <c r="Q297" s="9" t="s">
        <v>151</v>
      </c>
    </row>
    <row r="298" spans="1:17" x14ac:dyDescent="0.25">
      <c r="A298" s="8" t="s">
        <v>2421</v>
      </c>
      <c r="B298" s="8" t="s">
        <v>2422</v>
      </c>
      <c r="C298" s="9" t="s">
        <v>2423</v>
      </c>
      <c r="D298" s="9" t="s">
        <v>106</v>
      </c>
      <c r="E298" s="9" t="s">
        <v>2424</v>
      </c>
      <c r="F298" s="10">
        <v>1.359</v>
      </c>
      <c r="G298" s="10">
        <v>1.495</v>
      </c>
      <c r="H298" s="10"/>
      <c r="I298" s="9" t="s">
        <v>106</v>
      </c>
      <c r="J298" s="9" t="s">
        <v>2425</v>
      </c>
      <c r="K298" s="9" t="s">
        <v>2426</v>
      </c>
      <c r="L298" s="8" t="s">
        <v>2427</v>
      </c>
      <c r="M298" s="9" t="s">
        <v>49</v>
      </c>
      <c r="N298" s="9" t="s">
        <v>211</v>
      </c>
      <c r="O298" s="9">
        <f>HYPERLINK("https://www.google.com/maps/search/?api=1&amp;query=37.61652403,-0.98408014", "https://www.google.com/maps/search/?api=1&amp;query=37.61652403,-0.98408014")</f>
      </c>
      <c r="P298" s="9" t="s">
        <v>2428</v>
      </c>
      <c r="Q298" s="9" t="s">
        <v>358</v>
      </c>
    </row>
    <row r="299" spans="1:17" x14ac:dyDescent="0.25">
      <c r="A299" s="8" t="s">
        <v>2429</v>
      </c>
      <c r="B299" s="8" t="s">
        <v>2430</v>
      </c>
      <c r="C299" s="9" t="s">
        <v>2431</v>
      </c>
      <c r="D299" s="9" t="s">
        <v>217</v>
      </c>
      <c r="E299" s="9" t="s">
        <v>1793</v>
      </c>
      <c r="F299" s="10">
        <v>1.359</v>
      </c>
      <c r="G299" s="10">
        <v>1.495</v>
      </c>
      <c r="H299" s="10"/>
      <c r="I299" s="9" t="s">
        <v>45</v>
      </c>
      <c r="J299" s="9" t="s">
        <v>2432</v>
      </c>
      <c r="K299" s="9" t="s">
        <v>2433</v>
      </c>
      <c r="L299" s="8" t="s">
        <v>1796</v>
      </c>
      <c r="M299" s="9" t="s">
        <v>49</v>
      </c>
      <c r="N299" s="9" t="s">
        <v>88</v>
      </c>
      <c r="O299" s="9">
        <f>HYPERLINK("https://www.google.com/maps/search/?api=1&amp;query=36.75900796,-4.0512413", "https://www.google.com/maps/search/?api=1&amp;query=36.75900796,-4.0512413")</f>
      </c>
      <c r="P299" s="9" t="s">
        <v>521</v>
      </c>
      <c r="Q299" s="9" t="s">
        <v>2434</v>
      </c>
    </row>
    <row r="300" spans="1:17" x14ac:dyDescent="0.25">
      <c r="A300" s="8" t="s">
        <v>2435</v>
      </c>
      <c r="B300" s="8" t="s">
        <v>2436</v>
      </c>
      <c r="C300" s="9" t="s">
        <v>2437</v>
      </c>
      <c r="D300" s="9" t="s">
        <v>30</v>
      </c>
      <c r="E300" s="9" t="s">
        <v>2438</v>
      </c>
      <c r="F300" s="10">
        <v>1.359</v>
      </c>
      <c r="G300" s="10">
        <v>1.495</v>
      </c>
      <c r="H300" s="10"/>
      <c r="I300" s="9" t="s">
        <v>32</v>
      </c>
      <c r="J300" s="9" t="s">
        <v>2439</v>
      </c>
      <c r="K300" s="9" t="s">
        <v>2440</v>
      </c>
      <c r="L300" s="8" t="s">
        <v>2441</v>
      </c>
      <c r="M300" s="9" t="s">
        <v>49</v>
      </c>
      <c r="N300" s="9" t="s">
        <v>357</v>
      </c>
      <c r="O300" s="9">
        <f>HYPERLINK("https://www.google.com/maps/search/?api=1&amp;query=38.984194,-5.795111", "https://www.google.com/maps/search/?api=1&amp;query=38.984194,-5.795111")</f>
      </c>
      <c r="P300" s="9" t="s">
        <v>2442</v>
      </c>
      <c r="Q300" s="9" t="s">
        <v>1278</v>
      </c>
    </row>
    <row r="301" spans="1:17" x14ac:dyDescent="0.25">
      <c r="A301" s="8" t="s">
        <v>2443</v>
      </c>
      <c r="B301" s="8" t="s">
        <v>2444</v>
      </c>
      <c r="C301" s="9" t="s">
        <v>2445</v>
      </c>
      <c r="D301" s="9" t="s">
        <v>43</v>
      </c>
      <c r="E301" s="9" t="s">
        <v>1292</v>
      </c>
      <c r="F301" s="10">
        <v>1.359</v>
      </c>
      <c r="G301" s="10">
        <v>1.495</v>
      </c>
      <c r="H301" s="10"/>
      <c r="I301" s="9" t="s">
        <v>45</v>
      </c>
      <c r="J301" s="9" t="s">
        <v>2446</v>
      </c>
      <c r="K301" s="9" t="s">
        <v>2447</v>
      </c>
      <c r="L301" s="8" t="s">
        <v>1295</v>
      </c>
      <c r="M301" s="9" t="s">
        <v>36</v>
      </c>
      <c r="N301" s="9" t="s">
        <v>88</v>
      </c>
      <c r="O301" s="9">
        <f>HYPERLINK("https://www.google.com/maps/search/?api=1&amp;query=37.22770872,-7.12624653", "https://www.google.com/maps/search/?api=1&amp;query=37.22770872,-7.12624653")</f>
      </c>
      <c r="P301" s="9" t="s">
        <v>1139</v>
      </c>
      <c r="Q301" s="9" t="s">
        <v>2448</v>
      </c>
    </row>
    <row r="302" spans="1:17" x14ac:dyDescent="0.25">
      <c r="A302" s="8" t="s">
        <v>2449</v>
      </c>
      <c r="B302" s="8" t="s">
        <v>2450</v>
      </c>
      <c r="C302" s="9" t="s">
        <v>2451</v>
      </c>
      <c r="D302" s="9" t="s">
        <v>253</v>
      </c>
      <c r="E302" s="9" t="s">
        <v>2452</v>
      </c>
      <c r="F302" s="10">
        <v>1.359</v>
      </c>
      <c r="G302" s="10">
        <v>1.495</v>
      </c>
      <c r="H302" s="10"/>
      <c r="I302" s="9" t="s">
        <v>96</v>
      </c>
      <c r="J302" s="9" t="s">
        <v>2453</v>
      </c>
      <c r="K302" s="9" t="s">
        <v>2454</v>
      </c>
      <c r="L302" s="8" t="s">
        <v>2455</v>
      </c>
      <c r="M302" s="9" t="s">
        <v>36</v>
      </c>
      <c r="N302" s="9" t="s">
        <v>88</v>
      </c>
      <c r="O302" s="9">
        <f>HYPERLINK("https://www.google.com/maps/search/?api=1&amp;query=41.00696971,0.93598035", "https://www.google.com/maps/search/?api=1&amp;query=41.00696971,0.93598035")</f>
      </c>
      <c r="P302" s="9" t="s">
        <v>2456</v>
      </c>
      <c r="Q302" s="9" t="s">
        <v>2457</v>
      </c>
    </row>
    <row r="303" spans="1:17" x14ac:dyDescent="0.25">
      <c r="A303" s="8" t="s">
        <v>2458</v>
      </c>
      <c r="B303" s="8" t="s">
        <v>2459</v>
      </c>
      <c r="C303" s="9" t="s">
        <v>2460</v>
      </c>
      <c r="D303" s="9" t="s">
        <v>83</v>
      </c>
      <c r="E303" s="9" t="s">
        <v>2461</v>
      </c>
      <c r="F303" s="10">
        <v>1.359</v>
      </c>
      <c r="G303" s="10">
        <v>1.495</v>
      </c>
      <c r="H303" s="10"/>
      <c r="I303" s="9" t="s">
        <v>83</v>
      </c>
      <c r="J303" s="9" t="s">
        <v>2462</v>
      </c>
      <c r="K303" s="9" t="s">
        <v>2463</v>
      </c>
      <c r="L303" s="8" t="s">
        <v>2464</v>
      </c>
      <c r="M303" s="9" t="s">
        <v>49</v>
      </c>
      <c r="N303" s="9" t="s">
        <v>88</v>
      </c>
      <c r="O303" s="9">
        <f>HYPERLINK("https://www.google.com/maps/search/?api=1&amp;query=40.6397436,-3.73070673", "https://www.google.com/maps/search/?api=1&amp;query=40.6397436,-3.73070673")</f>
      </c>
      <c r="P303" s="9" t="s">
        <v>2465</v>
      </c>
      <c r="Q303" s="9" t="s">
        <v>2466</v>
      </c>
    </row>
    <row r="304" spans="1:17" x14ac:dyDescent="0.25">
      <c r="A304" s="8" t="s">
        <v>2467</v>
      </c>
      <c r="B304" s="8" t="s">
        <v>2468</v>
      </c>
      <c r="C304" s="9" t="s">
        <v>2469</v>
      </c>
      <c r="D304" s="9" t="s">
        <v>469</v>
      </c>
      <c r="E304" s="9" t="s">
        <v>469</v>
      </c>
      <c r="F304" s="10">
        <v>1.359</v>
      </c>
      <c r="G304" s="10">
        <v>1.495</v>
      </c>
      <c r="H304" s="10"/>
      <c r="I304" s="9" t="s">
        <v>74</v>
      </c>
      <c r="J304" s="9" t="s">
        <v>2470</v>
      </c>
      <c r="K304" s="9" t="s">
        <v>2471</v>
      </c>
      <c r="L304" s="8" t="s">
        <v>2472</v>
      </c>
      <c r="M304" s="9" t="s">
        <v>49</v>
      </c>
      <c r="N304" s="9" t="s">
        <v>211</v>
      </c>
      <c r="O304" s="9">
        <f>HYPERLINK("https://www.google.com/maps/search/?api=1&amp;query=40.96223548,-5.69842707", "https://www.google.com/maps/search/?api=1&amp;query=40.96223548,-5.69842707")</f>
      </c>
      <c r="P304" s="9" t="s">
        <v>1894</v>
      </c>
      <c r="Q304" s="9" t="s">
        <v>512</v>
      </c>
    </row>
    <row r="305" spans="1:17" x14ac:dyDescent="0.25">
      <c r="A305" s="8" t="s">
        <v>2473</v>
      </c>
      <c r="B305" s="8" t="s">
        <v>2474</v>
      </c>
      <c r="C305" s="9" t="s">
        <v>2475</v>
      </c>
      <c r="D305" s="9" t="s">
        <v>1560</v>
      </c>
      <c r="E305" s="9" t="s">
        <v>2476</v>
      </c>
      <c r="F305" s="10">
        <v>1.359</v>
      </c>
      <c r="G305" s="10">
        <v>1.495</v>
      </c>
      <c r="H305" s="10"/>
      <c r="I305" s="9" t="s">
        <v>400</v>
      </c>
      <c r="J305" s="9" t="s">
        <v>2477</v>
      </c>
      <c r="K305" s="9" t="s">
        <v>2478</v>
      </c>
      <c r="L305" s="8" t="s">
        <v>2479</v>
      </c>
      <c r="M305" s="9" t="s">
        <v>49</v>
      </c>
      <c r="N305" s="9" t="s">
        <v>88</v>
      </c>
      <c r="O305" s="9">
        <f>HYPERLINK("https://www.google.com/maps/search/?api=1&amp;query=39.74261098,-0.23688535", "https://www.google.com/maps/search/?api=1&amp;query=39.74261098,-0.23688535")</f>
      </c>
      <c r="P305" s="9" t="s">
        <v>2480</v>
      </c>
      <c r="Q305" s="9" t="s">
        <v>2481</v>
      </c>
    </row>
    <row r="306" spans="1:17" x14ac:dyDescent="0.25">
      <c r="A306" s="8" t="s">
        <v>2482</v>
      </c>
      <c r="B306" s="8" t="s">
        <v>2483</v>
      </c>
      <c r="C306" s="9" t="s">
        <v>2484</v>
      </c>
      <c r="D306" s="9" t="s">
        <v>400</v>
      </c>
      <c r="E306" s="9" t="s">
        <v>2485</v>
      </c>
      <c r="F306" s="10">
        <v>1.359</v>
      </c>
      <c r="G306" s="10">
        <v>1.495</v>
      </c>
      <c r="H306" s="10"/>
      <c r="I306" s="9" t="s">
        <v>400</v>
      </c>
      <c r="J306" s="9" t="s">
        <v>2486</v>
      </c>
      <c r="K306" s="9" t="s">
        <v>2487</v>
      </c>
      <c r="L306" s="8" t="s">
        <v>721</v>
      </c>
      <c r="M306" s="9" t="s">
        <v>36</v>
      </c>
      <c r="N306" s="9" t="s">
        <v>88</v>
      </c>
      <c r="O306" s="9">
        <f>HYPERLINK("https://www.google.com/maps/search/?api=1&amp;query=39.41069546,-0.38115657", "https://www.google.com/maps/search/?api=1&amp;query=39.41069546,-0.38115657")</f>
      </c>
      <c r="P306" s="9" t="s">
        <v>2488</v>
      </c>
      <c r="Q306" s="9" t="s">
        <v>2489</v>
      </c>
    </row>
    <row r="307" spans="1:17" x14ac:dyDescent="0.25">
      <c r="A307" s="8" t="s">
        <v>2490</v>
      </c>
      <c r="B307" s="8" t="s">
        <v>2491</v>
      </c>
      <c r="C307" s="9" t="s">
        <v>2492</v>
      </c>
      <c r="D307" s="9" t="s">
        <v>444</v>
      </c>
      <c r="E307" s="9" t="s">
        <v>2493</v>
      </c>
      <c r="F307" s="10">
        <v>1.359</v>
      </c>
      <c r="G307" s="10">
        <v>1.495</v>
      </c>
      <c r="H307" s="10"/>
      <c r="I307" s="9" t="s">
        <v>444</v>
      </c>
      <c r="J307" s="9" t="s">
        <v>2494</v>
      </c>
      <c r="K307" s="9" t="s">
        <v>2495</v>
      </c>
      <c r="L307" s="8" t="s">
        <v>2496</v>
      </c>
      <c r="M307" s="9" t="s">
        <v>49</v>
      </c>
      <c r="N307" s="9" t="s">
        <v>37</v>
      </c>
      <c r="O307" s="9">
        <f>HYPERLINK("https://www.google.com/maps/search/?api=1&amp;query=43.43529912,-5.79903485", "https://www.google.com/maps/search/?api=1&amp;query=43.43529912,-5.79903485")</f>
      </c>
      <c r="P307" s="9" t="s">
        <v>321</v>
      </c>
      <c r="Q307" s="9" t="s">
        <v>1496</v>
      </c>
    </row>
    <row r="308" spans="1:17" x14ac:dyDescent="0.25">
      <c r="A308" s="8" t="s">
        <v>2497</v>
      </c>
      <c r="B308" s="8" t="s">
        <v>2498</v>
      </c>
      <c r="C308" s="9" t="s">
        <v>2499</v>
      </c>
      <c r="D308" s="9" t="s">
        <v>83</v>
      </c>
      <c r="E308" s="9" t="s">
        <v>2500</v>
      </c>
      <c r="F308" s="10">
        <v>1.359</v>
      </c>
      <c r="G308" s="10">
        <v>1.495</v>
      </c>
      <c r="H308" s="10"/>
      <c r="I308" s="9" t="s">
        <v>83</v>
      </c>
      <c r="J308" s="9" t="s">
        <v>2501</v>
      </c>
      <c r="K308" s="9" t="s">
        <v>2502</v>
      </c>
      <c r="L308" s="8" t="s">
        <v>2503</v>
      </c>
      <c r="M308" s="9" t="s">
        <v>49</v>
      </c>
      <c r="N308" s="9" t="s">
        <v>66</v>
      </c>
      <c r="O308" s="9">
        <f>HYPERLINK("https://www.google.com/maps/search/?api=1&amp;query=40.5245955,-3.65614427", "https://www.google.com/maps/search/?api=1&amp;query=40.5245955,-3.65614427")</f>
      </c>
      <c r="P308" s="9" t="s">
        <v>780</v>
      </c>
      <c r="Q308" s="9" t="s">
        <v>2504</v>
      </c>
    </row>
    <row r="309" spans="1:17" x14ac:dyDescent="0.25">
      <c r="A309" s="8" t="s">
        <v>2505</v>
      </c>
      <c r="B309" s="8" t="s">
        <v>2506</v>
      </c>
      <c r="C309" s="9" t="s">
        <v>2507</v>
      </c>
      <c r="D309" s="9" t="s">
        <v>197</v>
      </c>
      <c r="E309" s="9" t="s">
        <v>2106</v>
      </c>
      <c r="F309" s="10">
        <v>1.359</v>
      </c>
      <c r="G309" s="10">
        <v>1.495</v>
      </c>
      <c r="H309" s="10"/>
      <c r="I309" s="9" t="s">
        <v>168</v>
      </c>
      <c r="J309" s="9" t="s">
        <v>2508</v>
      </c>
      <c r="K309" s="9" t="s">
        <v>2509</v>
      </c>
      <c r="L309" s="8" t="s">
        <v>2109</v>
      </c>
      <c r="M309" s="9" t="s">
        <v>36</v>
      </c>
      <c r="N309" s="9" t="s">
        <v>37</v>
      </c>
      <c r="O309" s="9">
        <f>HYPERLINK("https://www.google.com/maps/search/?api=1&amp;query=39.98855492,-4.70347192", "https://www.google.com/maps/search/?api=1&amp;query=39.98855492,-4.70347192")</f>
      </c>
      <c r="P309" s="9" t="s">
        <v>1067</v>
      </c>
      <c r="Q309" s="9" t="s">
        <v>394</v>
      </c>
    </row>
    <row r="310" spans="1:17" x14ac:dyDescent="0.25">
      <c r="A310" s="8" t="s">
        <v>2510</v>
      </c>
      <c r="B310" s="8" t="s">
        <v>2511</v>
      </c>
      <c r="C310" s="9" t="s">
        <v>2512</v>
      </c>
      <c r="D310" s="9" t="s">
        <v>61</v>
      </c>
      <c r="E310" s="9" t="s">
        <v>61</v>
      </c>
      <c r="F310" s="10">
        <v>1.359</v>
      </c>
      <c r="G310" s="10">
        <v>1.495</v>
      </c>
      <c r="H310" s="10"/>
      <c r="I310" s="9" t="s">
        <v>45</v>
      </c>
      <c r="J310" s="9" t="s">
        <v>2513</v>
      </c>
      <c r="K310" s="9" t="s">
        <v>2514</v>
      </c>
      <c r="L310" s="8" t="s">
        <v>2515</v>
      </c>
      <c r="M310" s="9" t="s">
        <v>49</v>
      </c>
      <c r="N310" s="9" t="s">
        <v>37</v>
      </c>
      <c r="O310" s="9">
        <f>HYPERLINK("https://www.google.com/maps/search/?api=1&amp;query=37.35047538,-5.9771623", "https://www.google.com/maps/search/?api=1&amp;query=37.35047538,-5.9771623")</f>
      </c>
      <c r="P310" s="9" t="s">
        <v>2516</v>
      </c>
      <c r="Q310" s="9" t="s">
        <v>1122</v>
      </c>
    </row>
    <row r="311" spans="1:17" x14ac:dyDescent="0.25">
      <c r="A311" s="8" t="s">
        <v>2517</v>
      </c>
      <c r="B311" s="8" t="s">
        <v>2518</v>
      </c>
      <c r="C311" s="9" t="s">
        <v>2519</v>
      </c>
      <c r="D311" s="9" t="s">
        <v>469</v>
      </c>
      <c r="E311" s="9" t="s">
        <v>469</v>
      </c>
      <c r="F311" s="10">
        <v>1.359</v>
      </c>
      <c r="G311" s="10">
        <v>1.495</v>
      </c>
      <c r="H311" s="10"/>
      <c r="I311" s="9" t="s">
        <v>74</v>
      </c>
      <c r="J311" s="9" t="s">
        <v>2520</v>
      </c>
      <c r="K311" s="9" t="s">
        <v>2521</v>
      </c>
      <c r="L311" s="8" t="s">
        <v>2522</v>
      </c>
      <c r="M311" s="9" t="s">
        <v>36</v>
      </c>
      <c r="N311" s="9" t="s">
        <v>211</v>
      </c>
      <c r="O311" s="9">
        <f>HYPERLINK("https://www.google.com/maps/search/?api=1&amp;query=40.97877912,-5.65805462", "https://www.google.com/maps/search/?api=1&amp;query=40.97877912,-5.65805462")</f>
      </c>
      <c r="P311" s="9" t="s">
        <v>2017</v>
      </c>
      <c r="Q311" s="9" t="s">
        <v>1278</v>
      </c>
    </row>
    <row r="312" spans="1:17" x14ac:dyDescent="0.25">
      <c r="A312" s="8" t="s">
        <v>2523</v>
      </c>
      <c r="B312" s="8" t="s">
        <v>2524</v>
      </c>
      <c r="C312" s="9" t="s">
        <v>2525</v>
      </c>
      <c r="D312" s="9" t="s">
        <v>94</v>
      </c>
      <c r="E312" s="9" t="s">
        <v>2338</v>
      </c>
      <c r="F312" s="10">
        <v>1.359</v>
      </c>
      <c r="G312" s="10">
        <v>1.495</v>
      </c>
      <c r="H312" s="10"/>
      <c r="I312" s="9" t="s">
        <v>96</v>
      </c>
      <c r="J312" s="9" t="s">
        <v>2526</v>
      </c>
      <c r="K312" s="9" t="s">
        <v>2527</v>
      </c>
      <c r="L312" s="8" t="s">
        <v>2528</v>
      </c>
      <c r="M312" s="9" t="s">
        <v>36</v>
      </c>
      <c r="N312" s="9" t="s">
        <v>37</v>
      </c>
      <c r="O312" s="9">
        <f>HYPERLINK("https://www.google.com/maps/search/?api=1&amp;query=41.57230644,2.08035872", "https://www.google.com/maps/search/?api=1&amp;query=41.57230644,2.08035872")</f>
      </c>
      <c r="P312" s="9" t="s">
        <v>2529</v>
      </c>
      <c r="Q312" s="9" t="s">
        <v>2530</v>
      </c>
    </row>
    <row r="313" spans="1:17" x14ac:dyDescent="0.25">
      <c r="A313" s="8" t="s">
        <v>2531</v>
      </c>
      <c r="B313" s="8" t="s">
        <v>2532</v>
      </c>
      <c r="C313" s="9" t="s">
        <v>2533</v>
      </c>
      <c r="D313" s="9" t="s">
        <v>398</v>
      </c>
      <c r="E313" s="9" t="s">
        <v>2534</v>
      </c>
      <c r="F313" s="10">
        <v>1.359</v>
      </c>
      <c r="G313" s="10">
        <v>1.495</v>
      </c>
      <c r="H313" s="10"/>
      <c r="I313" s="9" t="s">
        <v>400</v>
      </c>
      <c r="J313" s="9" t="s">
        <v>2535</v>
      </c>
      <c r="K313" s="9" t="s">
        <v>2536</v>
      </c>
      <c r="L313" s="8" t="s">
        <v>2537</v>
      </c>
      <c r="M313" s="9" t="s">
        <v>49</v>
      </c>
      <c r="N313" s="9" t="s">
        <v>88</v>
      </c>
      <c r="O313" s="9">
        <f>HYPERLINK("https://www.google.com/maps/search/?api=1&amp;query=38.71444795,-0.46267635", "https://www.google.com/maps/search/?api=1&amp;query=38.71444795,-0.46267635")</f>
      </c>
      <c r="P313" s="9" t="s">
        <v>2538</v>
      </c>
      <c r="Q313" s="9" t="s">
        <v>2539</v>
      </c>
    </row>
    <row r="314" spans="1:17" x14ac:dyDescent="0.25">
      <c r="A314" s="8" t="s">
        <v>2540</v>
      </c>
      <c r="B314" s="8" t="s">
        <v>2541</v>
      </c>
      <c r="C314" s="9" t="s">
        <v>2542</v>
      </c>
      <c r="D314" s="9" t="s">
        <v>43</v>
      </c>
      <c r="E314" s="9" t="s">
        <v>2543</v>
      </c>
      <c r="F314" s="10">
        <v>1.359</v>
      </c>
      <c r="G314" s="10">
        <v>1.495</v>
      </c>
      <c r="H314" s="10"/>
      <c r="I314" s="9" t="s">
        <v>45</v>
      </c>
      <c r="J314" s="9" t="s">
        <v>2544</v>
      </c>
      <c r="K314" s="9" t="s">
        <v>2545</v>
      </c>
      <c r="L314" s="8" t="s">
        <v>2546</v>
      </c>
      <c r="M314" s="9" t="s">
        <v>36</v>
      </c>
      <c r="N314" s="9" t="s">
        <v>66</v>
      </c>
      <c r="O314" s="9">
        <f>HYPERLINK("https://www.google.com/maps/search/?api=1&amp;query=37.56784846,-6.75142045", "https://www.google.com/maps/search/?api=1&amp;query=37.56784846,-6.75142045")</f>
      </c>
      <c r="P314" s="9" t="s">
        <v>1203</v>
      </c>
      <c r="Q314" s="9" t="s">
        <v>966</v>
      </c>
    </row>
    <row r="315" spans="1:17" x14ac:dyDescent="0.25">
      <c r="A315" s="8" t="s">
        <v>2547</v>
      </c>
      <c r="B315" s="8" t="s">
        <v>2548</v>
      </c>
      <c r="C315" s="9" t="s">
        <v>2549</v>
      </c>
      <c r="D315" s="9" t="s">
        <v>344</v>
      </c>
      <c r="E315" s="9" t="s">
        <v>2550</v>
      </c>
      <c r="F315" s="10">
        <v>1.359</v>
      </c>
      <c r="G315" s="10">
        <v>1.495</v>
      </c>
      <c r="H315" s="10"/>
      <c r="I315" s="9" t="s">
        <v>140</v>
      </c>
      <c r="J315" s="9" t="s">
        <v>2551</v>
      </c>
      <c r="K315" s="9" t="s">
        <v>2552</v>
      </c>
      <c r="L315" s="8" t="s">
        <v>2553</v>
      </c>
      <c r="M315" s="9" t="s">
        <v>49</v>
      </c>
      <c r="N315" s="9" t="s">
        <v>211</v>
      </c>
      <c r="O315" s="9">
        <f>HYPERLINK("https://www.google.com/maps/search/?api=1&amp;query=42.85496694,-8.57127416", "https://www.google.com/maps/search/?api=1&amp;query=42.85496694,-8.57127416")</f>
      </c>
      <c r="P315" s="9" t="s">
        <v>2442</v>
      </c>
      <c r="Q315" s="9" t="s">
        <v>2554</v>
      </c>
    </row>
    <row r="316" spans="1:17" x14ac:dyDescent="0.25">
      <c r="A316" s="8" t="s">
        <v>2555</v>
      </c>
      <c r="B316" s="8" t="s">
        <v>2556</v>
      </c>
      <c r="C316" s="9" t="s">
        <v>2557</v>
      </c>
      <c r="D316" s="9" t="s">
        <v>398</v>
      </c>
      <c r="E316" s="9" t="s">
        <v>2361</v>
      </c>
      <c r="F316" s="10">
        <v>1.359</v>
      </c>
      <c r="G316" s="10">
        <v>1.495</v>
      </c>
      <c r="H316" s="10"/>
      <c r="I316" s="9" t="s">
        <v>400</v>
      </c>
      <c r="J316" s="9" t="s">
        <v>2558</v>
      </c>
      <c r="K316" s="9" t="s">
        <v>2559</v>
      </c>
      <c r="L316" s="8" t="s">
        <v>2560</v>
      </c>
      <c r="M316" s="9" t="s">
        <v>36</v>
      </c>
      <c r="N316" s="9" t="s">
        <v>339</v>
      </c>
      <c r="O316" s="9">
        <f>HYPERLINK("https://www.google.com/maps/search/?api=1&amp;query=37.96206266,-0.71867452", "https://www.google.com/maps/search/?api=1&amp;query=37.96206266,-0.71867452")</f>
      </c>
      <c r="P316" s="9" t="s">
        <v>2529</v>
      </c>
      <c r="Q316" s="9" t="s">
        <v>2561</v>
      </c>
    </row>
    <row r="317" spans="1:17" x14ac:dyDescent="0.25">
      <c r="A317" s="8" t="s">
        <v>2562</v>
      </c>
      <c r="B317" s="8" t="s">
        <v>2563</v>
      </c>
      <c r="C317" s="9" t="s">
        <v>2564</v>
      </c>
      <c r="D317" s="9" t="s">
        <v>166</v>
      </c>
      <c r="E317" s="9" t="s">
        <v>167</v>
      </c>
      <c r="F317" s="10">
        <v>1.359</v>
      </c>
      <c r="G317" s="10">
        <v>1.495</v>
      </c>
      <c r="H317" s="10"/>
      <c r="I317" s="9" t="s">
        <v>168</v>
      </c>
      <c r="J317" s="9" t="s">
        <v>2565</v>
      </c>
      <c r="K317" s="9" t="s">
        <v>2566</v>
      </c>
      <c r="L317" s="8" t="s">
        <v>171</v>
      </c>
      <c r="M317" s="9" t="s">
        <v>49</v>
      </c>
      <c r="N317" s="9" t="s">
        <v>88</v>
      </c>
      <c r="O317" s="9">
        <f>HYPERLINK("https://www.google.com/maps/search/?api=1&amp;query=40.55615395,-3.27739504", "https://www.google.com/maps/search/?api=1&amp;query=40.55615395,-3.27739504")</f>
      </c>
      <c r="P317" s="9" t="s">
        <v>2567</v>
      </c>
      <c r="Q317" s="9" t="s">
        <v>2568</v>
      </c>
    </row>
    <row r="318" spans="1:17" x14ac:dyDescent="0.25">
      <c r="A318" s="8" t="s">
        <v>2569</v>
      </c>
      <c r="B318" s="8" t="s">
        <v>2570</v>
      </c>
      <c r="C318" s="9" t="s">
        <v>2571</v>
      </c>
      <c r="D318" s="9" t="s">
        <v>344</v>
      </c>
      <c r="E318" s="9" t="s">
        <v>2572</v>
      </c>
      <c r="F318" s="10">
        <v>1.359</v>
      </c>
      <c r="G318" s="10">
        <v>1.495</v>
      </c>
      <c r="H318" s="10"/>
      <c r="I318" s="9" t="s">
        <v>140</v>
      </c>
      <c r="J318" s="9" t="s">
        <v>2573</v>
      </c>
      <c r="K318" s="9" t="s">
        <v>2574</v>
      </c>
      <c r="L318" s="8" t="s">
        <v>2575</v>
      </c>
      <c r="M318" s="9" t="s">
        <v>36</v>
      </c>
      <c r="N318" s="9" t="s">
        <v>211</v>
      </c>
      <c r="O318" s="9">
        <f>HYPERLINK("https://www.google.com/maps/search/?api=1&amp;query=42.89214568,-8.53288704", "https://www.google.com/maps/search/?api=1&amp;query=42.89214568,-8.53288704")</f>
      </c>
      <c r="P318" s="9" t="s">
        <v>2576</v>
      </c>
      <c r="Q318" s="9" t="s">
        <v>2554</v>
      </c>
    </row>
    <row r="319" spans="1:17" x14ac:dyDescent="0.25">
      <c r="A319" s="8" t="s">
        <v>2577</v>
      </c>
      <c r="B319" s="8" t="s">
        <v>2578</v>
      </c>
      <c r="C319" s="9" t="s">
        <v>2579</v>
      </c>
      <c r="D319" s="9" t="s">
        <v>307</v>
      </c>
      <c r="E319" s="9" t="s">
        <v>526</v>
      </c>
      <c r="F319" s="10">
        <v>1.359</v>
      </c>
      <c r="G319" s="10">
        <v>1.495</v>
      </c>
      <c r="H319" s="10"/>
      <c r="I319" s="9" t="s">
        <v>74</v>
      </c>
      <c r="J319" s="9" t="s">
        <v>2580</v>
      </c>
      <c r="K319" s="9" t="s">
        <v>2581</v>
      </c>
      <c r="L319" s="8" t="s">
        <v>529</v>
      </c>
      <c r="M319" s="9" t="s">
        <v>36</v>
      </c>
      <c r="N319" s="9" t="s">
        <v>37</v>
      </c>
      <c r="O319" s="9">
        <f>HYPERLINK("https://www.google.com/maps/search/?api=1&amp;query=41.798614,-5.75532713", "https://www.google.com/maps/search/?api=1&amp;query=41.798614,-5.75532713")</f>
      </c>
      <c r="P319" s="9" t="s">
        <v>38</v>
      </c>
      <c r="Q319" s="9" t="s">
        <v>112</v>
      </c>
    </row>
    <row r="320" spans="1:17" x14ac:dyDescent="0.25">
      <c r="A320" s="8" t="s">
        <v>2582</v>
      </c>
      <c r="B320" s="8" t="s">
        <v>2583</v>
      </c>
      <c r="C320" s="9" t="s">
        <v>2584</v>
      </c>
      <c r="D320" s="9" t="s">
        <v>83</v>
      </c>
      <c r="E320" s="9" t="s">
        <v>83</v>
      </c>
      <c r="F320" s="10">
        <v>1.359</v>
      </c>
      <c r="G320" s="10">
        <v>1.495</v>
      </c>
      <c r="H320" s="10"/>
      <c r="I320" s="9" t="s">
        <v>83</v>
      </c>
      <c r="J320" s="9" t="s">
        <v>2585</v>
      </c>
      <c r="K320" s="9" t="s">
        <v>2586</v>
      </c>
      <c r="L320" s="8" t="s">
        <v>2587</v>
      </c>
      <c r="M320" s="9" t="s">
        <v>49</v>
      </c>
      <c r="N320" s="9" t="s">
        <v>37</v>
      </c>
      <c r="O320" s="9">
        <f>HYPERLINK("https://www.google.com/maps/search/?api=1&amp;query=40.40981505,-3.6694097", "https://www.google.com/maps/search/?api=1&amp;query=40.40981505,-3.6694097")</f>
      </c>
      <c r="P320" s="9" t="s">
        <v>689</v>
      </c>
      <c r="Q320" s="9" t="s">
        <v>102</v>
      </c>
    </row>
    <row r="321" spans="1:17" x14ac:dyDescent="0.25">
      <c r="A321" s="8" t="s">
        <v>2588</v>
      </c>
      <c r="B321" s="8" t="s">
        <v>2589</v>
      </c>
      <c r="C321" s="9" t="s">
        <v>2590</v>
      </c>
      <c r="D321" s="9" t="s">
        <v>83</v>
      </c>
      <c r="E321" s="9" t="s">
        <v>83</v>
      </c>
      <c r="F321" s="10">
        <v>1.359</v>
      </c>
      <c r="G321" s="10">
        <v>1.495</v>
      </c>
      <c r="H321" s="10"/>
      <c r="I321" s="9" t="s">
        <v>83</v>
      </c>
      <c r="J321" s="9" t="s">
        <v>2591</v>
      </c>
      <c r="K321" s="9" t="s">
        <v>2592</v>
      </c>
      <c r="L321" s="8" t="s">
        <v>2593</v>
      </c>
      <c r="M321" s="9" t="s">
        <v>49</v>
      </c>
      <c r="N321" s="9" t="s">
        <v>37</v>
      </c>
      <c r="O321" s="9">
        <f>HYPERLINK("https://www.google.com/maps/search/?api=1&amp;query=40.38801182,-3.73076943", "https://www.google.com/maps/search/?api=1&amp;query=40.38801182,-3.73076943")</f>
      </c>
      <c r="P321" s="9" t="s">
        <v>2594</v>
      </c>
      <c r="Q321" s="9" t="s">
        <v>565</v>
      </c>
    </row>
    <row r="322" spans="1:17" x14ac:dyDescent="0.25">
      <c r="A322" s="8" t="s">
        <v>2595</v>
      </c>
      <c r="B322" s="8" t="s">
        <v>2596</v>
      </c>
      <c r="C322" s="9" t="s">
        <v>2597</v>
      </c>
      <c r="D322" s="9" t="s">
        <v>83</v>
      </c>
      <c r="E322" s="9" t="s">
        <v>498</v>
      </c>
      <c r="F322" s="10">
        <v>1.359</v>
      </c>
      <c r="G322" s="10">
        <v>1.495</v>
      </c>
      <c r="H322" s="10"/>
      <c r="I322" s="9" t="s">
        <v>83</v>
      </c>
      <c r="J322" s="9" t="s">
        <v>2598</v>
      </c>
      <c r="K322" s="9" t="s">
        <v>2599</v>
      </c>
      <c r="L322" s="8" t="s">
        <v>2600</v>
      </c>
      <c r="M322" s="9" t="s">
        <v>49</v>
      </c>
      <c r="N322" s="9" t="s">
        <v>2601</v>
      </c>
      <c r="O322" s="9">
        <f>HYPERLINK("https://www.google.com/maps/search/?api=1&amp;query=40.26599468,-3.74268673", "https://www.google.com/maps/search/?api=1&amp;query=40.26599468,-3.74268673")</f>
      </c>
      <c r="P322" s="9" t="s">
        <v>572</v>
      </c>
      <c r="Q322" s="9" t="s">
        <v>2602</v>
      </c>
    </row>
    <row r="323" spans="1:17" x14ac:dyDescent="0.25">
      <c r="A323" s="8" t="s">
        <v>2603</v>
      </c>
      <c r="B323" s="8" t="s">
        <v>2604</v>
      </c>
      <c r="C323" s="9" t="s">
        <v>2605</v>
      </c>
      <c r="D323" s="9" t="s">
        <v>280</v>
      </c>
      <c r="E323" s="9" t="s">
        <v>2606</v>
      </c>
      <c r="F323" s="10">
        <v>1.359</v>
      </c>
      <c r="G323" s="10">
        <v>1.495</v>
      </c>
      <c r="H323" s="10"/>
      <c r="I323" s="9" t="s">
        <v>118</v>
      </c>
      <c r="J323" s="9" t="s">
        <v>2607</v>
      </c>
      <c r="K323" s="9" t="s">
        <v>2608</v>
      </c>
      <c r="L323" s="8" t="s">
        <v>2609</v>
      </c>
      <c r="M323" s="9" t="s">
        <v>49</v>
      </c>
      <c r="N323" s="9" t="s">
        <v>37</v>
      </c>
      <c r="O323" s="9">
        <f>HYPERLINK("https://www.google.com/maps/search/?api=1&amp;query=43.27974549,-1.98264119", "https://www.google.com/maps/search/?api=1&amp;query=43.27974549,-1.98264119")</f>
      </c>
      <c r="P323" s="9" t="s">
        <v>2610</v>
      </c>
      <c r="Q323" s="9" t="s">
        <v>183</v>
      </c>
    </row>
    <row r="324" spans="1:17" x14ac:dyDescent="0.25">
      <c r="A324" s="8" t="s">
        <v>2611</v>
      </c>
      <c r="B324" s="8" t="s">
        <v>2612</v>
      </c>
      <c r="C324" s="9" t="s">
        <v>2613</v>
      </c>
      <c r="D324" s="9" t="s">
        <v>138</v>
      </c>
      <c r="E324" s="9" t="s">
        <v>2163</v>
      </c>
      <c r="F324" s="10">
        <v>1.359</v>
      </c>
      <c r="G324" s="10">
        <v>1.495</v>
      </c>
      <c r="H324" s="10"/>
      <c r="I324" s="9" t="s">
        <v>140</v>
      </c>
      <c r="J324" s="9" t="s">
        <v>2614</v>
      </c>
      <c r="K324" s="9" t="s">
        <v>2615</v>
      </c>
      <c r="L324" s="8" t="s">
        <v>2616</v>
      </c>
      <c r="M324" s="9" t="s">
        <v>49</v>
      </c>
      <c r="N324" s="9" t="s">
        <v>2617</v>
      </c>
      <c r="O324" s="9">
        <f>HYPERLINK("https://www.google.com/maps/search/?api=1&amp;query=42.19433037,-8.71881898", "https://www.google.com/maps/search/?api=1&amp;query=42.19433037,-8.71881898")</f>
      </c>
      <c r="P324" s="9" t="s">
        <v>133</v>
      </c>
      <c r="Q324" s="9" t="s">
        <v>1629</v>
      </c>
    </row>
    <row r="325" spans="1:17" x14ac:dyDescent="0.25">
      <c r="A325" s="8" t="s">
        <v>2618</v>
      </c>
      <c r="B325" s="8" t="s">
        <v>2619</v>
      </c>
      <c r="C325" s="9" t="s">
        <v>2620</v>
      </c>
      <c r="D325" s="9" t="s">
        <v>398</v>
      </c>
      <c r="E325" s="9" t="s">
        <v>2621</v>
      </c>
      <c r="F325" s="10">
        <v>1.359</v>
      </c>
      <c r="G325" s="10">
        <v>1.495</v>
      </c>
      <c r="H325" s="10"/>
      <c r="I325" s="9" t="s">
        <v>400</v>
      </c>
      <c r="J325" s="9" t="s">
        <v>2622</v>
      </c>
      <c r="K325" s="9" t="s">
        <v>2623</v>
      </c>
      <c r="L325" s="8" t="s">
        <v>2624</v>
      </c>
      <c r="M325" s="9" t="s">
        <v>49</v>
      </c>
      <c r="N325" s="9" t="s">
        <v>37</v>
      </c>
      <c r="O325" s="9">
        <f>HYPERLINK("https://www.google.com/maps/search/?api=1&amp;query=38.50700558,-0.22927977", "https://www.google.com/maps/search/?api=1&amp;query=38.50700558,-0.22927977")</f>
      </c>
      <c r="P325" s="9" t="s">
        <v>2625</v>
      </c>
      <c r="Q325" s="9" t="s">
        <v>112</v>
      </c>
    </row>
    <row r="326" spans="1:17" x14ac:dyDescent="0.25">
      <c r="A326" s="8" t="s">
        <v>2626</v>
      </c>
      <c r="B326" s="8" t="s">
        <v>2627</v>
      </c>
      <c r="C326" s="9" t="s">
        <v>2628</v>
      </c>
      <c r="D326" s="9" t="s">
        <v>253</v>
      </c>
      <c r="E326" s="9" t="s">
        <v>253</v>
      </c>
      <c r="F326" s="10">
        <v>1.359</v>
      </c>
      <c r="G326" s="10">
        <v>1.495</v>
      </c>
      <c r="H326" s="10"/>
      <c r="I326" s="9" t="s">
        <v>96</v>
      </c>
      <c r="J326" s="9" t="s">
        <v>2629</v>
      </c>
      <c r="K326" s="9" t="s">
        <v>2630</v>
      </c>
      <c r="L326" s="8" t="s">
        <v>2631</v>
      </c>
      <c r="M326" s="9" t="s">
        <v>36</v>
      </c>
      <c r="N326" s="9" t="s">
        <v>88</v>
      </c>
      <c r="O326" s="9">
        <f>HYPERLINK("https://www.google.com/maps/search/?api=1&amp;query=41.11655068,1.22808773", "https://www.google.com/maps/search/?api=1&amp;query=41.11655068,1.22808773")</f>
      </c>
      <c r="P326" s="9" t="s">
        <v>2625</v>
      </c>
      <c r="Q326" s="9" t="s">
        <v>2632</v>
      </c>
    </row>
    <row r="327" spans="1:17" x14ac:dyDescent="0.25">
      <c r="A327" s="8" t="s">
        <v>2633</v>
      </c>
      <c r="B327" s="8" t="s">
        <v>2634</v>
      </c>
      <c r="C327" s="9" t="s">
        <v>2635</v>
      </c>
      <c r="D327" s="9" t="s">
        <v>469</v>
      </c>
      <c r="E327" s="9" t="s">
        <v>2636</v>
      </c>
      <c r="F327" s="10">
        <v>1.359</v>
      </c>
      <c r="G327" s="10">
        <v>1.495</v>
      </c>
      <c r="H327" s="10"/>
      <c r="I327" s="9" t="s">
        <v>74</v>
      </c>
      <c r="J327" s="9" t="s">
        <v>2637</v>
      </c>
      <c r="K327" s="9" t="s">
        <v>2638</v>
      </c>
      <c r="L327" s="8" t="s">
        <v>2639</v>
      </c>
      <c r="M327" s="9" t="s">
        <v>49</v>
      </c>
      <c r="N327" s="9" t="s">
        <v>2640</v>
      </c>
      <c r="O327" s="9">
        <f>HYPERLINK("https://www.google.com/maps/search/?api=1&amp;query=40.93739887,-6.71055646", "https://www.google.com/maps/search/?api=1&amp;query=40.93739887,-6.71055646")</f>
      </c>
      <c r="P327" s="9" t="s">
        <v>1927</v>
      </c>
      <c r="Q327" s="9" t="s">
        <v>2641</v>
      </c>
    </row>
    <row r="328" spans="1:17" x14ac:dyDescent="0.25">
      <c r="A328" s="8" t="s">
        <v>2642</v>
      </c>
      <c r="B328" s="8" t="s">
        <v>2643</v>
      </c>
      <c r="C328" s="9" t="s">
        <v>2644</v>
      </c>
      <c r="D328" s="9" t="s">
        <v>94</v>
      </c>
      <c r="E328" s="9" t="s">
        <v>2645</v>
      </c>
      <c r="F328" s="10">
        <v>1.359</v>
      </c>
      <c r="G328" s="10">
        <v>1.495</v>
      </c>
      <c r="H328" s="10"/>
      <c r="I328" s="9" t="s">
        <v>96</v>
      </c>
      <c r="J328" s="9" t="s">
        <v>2646</v>
      </c>
      <c r="K328" s="9" t="s">
        <v>2647</v>
      </c>
      <c r="L328" s="8" t="s">
        <v>2648</v>
      </c>
      <c r="M328" s="9" t="s">
        <v>49</v>
      </c>
      <c r="N328" s="9" t="s">
        <v>37</v>
      </c>
      <c r="O328" s="9">
        <f>HYPERLINK("https://www.google.com/maps/search/?api=1&amp;query=41.53215698,2.19389891", "https://www.google.com/maps/search/?api=1&amp;query=41.53215698,2.19389891")</f>
      </c>
      <c r="P328" s="9" t="s">
        <v>275</v>
      </c>
      <c r="Q328" s="9" t="s">
        <v>420</v>
      </c>
    </row>
    <row r="329" spans="1:17" x14ac:dyDescent="0.25">
      <c r="A329" s="8" t="s">
        <v>2649</v>
      </c>
      <c r="B329" s="8" t="s">
        <v>2650</v>
      </c>
      <c r="C329" s="9" t="s">
        <v>2651</v>
      </c>
      <c r="D329" s="9" t="s">
        <v>488</v>
      </c>
      <c r="E329" s="9" t="s">
        <v>2652</v>
      </c>
      <c r="F329" s="10">
        <v>1.359</v>
      </c>
      <c r="G329" s="10">
        <v>1.495</v>
      </c>
      <c r="H329" s="10"/>
      <c r="I329" s="9" t="s">
        <v>45</v>
      </c>
      <c r="J329" s="9" t="s">
        <v>2653</v>
      </c>
      <c r="K329" s="9" t="s">
        <v>2654</v>
      </c>
      <c r="L329" s="8" t="s">
        <v>2655</v>
      </c>
      <c r="M329" s="9" t="s">
        <v>100</v>
      </c>
      <c r="N329" s="9" t="s">
        <v>88</v>
      </c>
      <c r="O329" s="9">
        <f>HYPERLINK("https://www.google.com/maps/search/?api=1&amp;query=37.9888408,-4.26061529", "https://www.google.com/maps/search/?api=1&amp;query=37.9888408,-4.26061529")</f>
      </c>
      <c r="P329" s="9" t="s">
        <v>38</v>
      </c>
      <c r="Q329" s="9" t="s">
        <v>2112</v>
      </c>
    </row>
    <row r="330" spans="1:17" x14ac:dyDescent="0.25">
      <c r="A330" s="8" t="s">
        <v>2656</v>
      </c>
      <c r="B330" s="8" t="s">
        <v>2657</v>
      </c>
      <c r="C330" s="9" t="s">
        <v>2658</v>
      </c>
      <c r="D330" s="9" t="s">
        <v>409</v>
      </c>
      <c r="E330" s="9" t="s">
        <v>2659</v>
      </c>
      <c r="F330" s="10">
        <v>1.359</v>
      </c>
      <c r="G330" s="10">
        <v>1.495</v>
      </c>
      <c r="H330" s="10"/>
      <c r="I330" s="9" t="s">
        <v>292</v>
      </c>
      <c r="J330" s="9" t="s">
        <v>2660</v>
      </c>
      <c r="K330" s="9" t="s">
        <v>2661</v>
      </c>
      <c r="L330" s="8" t="s">
        <v>2662</v>
      </c>
      <c r="M330" s="9" t="s">
        <v>49</v>
      </c>
      <c r="N330" s="9" t="s">
        <v>37</v>
      </c>
      <c r="O330" s="9">
        <f>HYPERLINK("https://www.google.com/maps/search/?api=1&amp;query=41.5165,-1.288111", "https://www.google.com/maps/search/?api=1&amp;query=41.5165,-1.288111")</f>
      </c>
      <c r="P330" s="9" t="s">
        <v>56</v>
      </c>
      <c r="Q330" s="9" t="s">
        <v>183</v>
      </c>
    </row>
    <row r="331" spans="1:17" x14ac:dyDescent="0.25">
      <c r="A331" s="8" t="s">
        <v>2663</v>
      </c>
      <c r="B331" s="8" t="s">
        <v>2664</v>
      </c>
      <c r="C331" s="9" t="s">
        <v>2665</v>
      </c>
      <c r="D331" s="9" t="s">
        <v>808</v>
      </c>
      <c r="E331" s="9" t="s">
        <v>2330</v>
      </c>
      <c r="F331" s="10">
        <v>1.359</v>
      </c>
      <c r="G331" s="10">
        <v>1.495</v>
      </c>
      <c r="H331" s="10"/>
      <c r="I331" s="9" t="s">
        <v>808</v>
      </c>
      <c r="J331" s="9" t="s">
        <v>2666</v>
      </c>
      <c r="K331" s="9" t="s">
        <v>2667</v>
      </c>
      <c r="L331" s="8" t="s">
        <v>2333</v>
      </c>
      <c r="M331" s="9" t="s">
        <v>36</v>
      </c>
      <c r="N331" s="9" t="s">
        <v>88</v>
      </c>
      <c r="O331" s="9">
        <f>HYPERLINK("https://www.google.com/maps/search/?api=1&amp;query=43.44277072,-3.87770784", "https://www.google.com/maps/search/?api=1&amp;query=43.44277072,-3.87770784")</f>
      </c>
      <c r="P331" s="9" t="s">
        <v>2668</v>
      </c>
      <c r="Q331" s="9" t="s">
        <v>2669</v>
      </c>
    </row>
    <row r="332" spans="1:17" x14ac:dyDescent="0.25">
      <c r="A332" s="8" t="s">
        <v>2670</v>
      </c>
      <c r="B332" s="8" t="s">
        <v>2671</v>
      </c>
      <c r="C332" s="9" t="s">
        <v>2672</v>
      </c>
      <c r="D332" s="9" t="s">
        <v>94</v>
      </c>
      <c r="E332" s="9" t="s">
        <v>2673</v>
      </c>
      <c r="F332" s="10">
        <v>1.359</v>
      </c>
      <c r="G332" s="10">
        <v>1.495</v>
      </c>
      <c r="H332" s="10"/>
      <c r="I332" s="9" t="s">
        <v>96</v>
      </c>
      <c r="J332" s="9" t="s">
        <v>2674</v>
      </c>
      <c r="K332" s="9" t="s">
        <v>2675</v>
      </c>
      <c r="L332" s="8" t="s">
        <v>2676</v>
      </c>
      <c r="M332" s="9" t="s">
        <v>36</v>
      </c>
      <c r="N332" s="9" t="s">
        <v>37</v>
      </c>
      <c r="O332" s="9">
        <f>HYPERLINK("https://www.google.com/maps/search/?api=1&amp;query=41.3829358,2.01734194", "https://www.google.com/maps/search/?api=1&amp;query=41.3829358,2.01734194")</f>
      </c>
      <c r="P332" s="9" t="s">
        <v>493</v>
      </c>
      <c r="Q332" s="9" t="s">
        <v>2677</v>
      </c>
    </row>
    <row r="333" spans="1:17" x14ac:dyDescent="0.25">
      <c r="A333" s="8" t="s">
        <v>2678</v>
      </c>
      <c r="B333" s="8" t="s">
        <v>2679</v>
      </c>
      <c r="C333" s="9" t="s">
        <v>2680</v>
      </c>
      <c r="D333" s="9" t="s">
        <v>1192</v>
      </c>
      <c r="E333" s="9" t="s">
        <v>1192</v>
      </c>
      <c r="F333" s="10">
        <v>1.359</v>
      </c>
      <c r="G333" s="10">
        <v>1.495</v>
      </c>
      <c r="H333" s="10"/>
      <c r="I333" s="9" t="s">
        <v>168</v>
      </c>
      <c r="J333" s="9" t="s">
        <v>2681</v>
      </c>
      <c r="K333" s="9" t="s">
        <v>2682</v>
      </c>
      <c r="L333" s="8" t="s">
        <v>2683</v>
      </c>
      <c r="M333" s="9" t="s">
        <v>49</v>
      </c>
      <c r="N333" s="9" t="s">
        <v>645</v>
      </c>
      <c r="O333" s="9">
        <f>HYPERLINK("https://www.google.com/maps/search/?api=1&amp;query=38.97068921,-3.92580738", "https://www.google.com/maps/search/?api=1&amp;query=38.97068921,-3.92580738")</f>
      </c>
      <c r="P333" s="9" t="s">
        <v>78</v>
      </c>
      <c r="Q333" s="9" t="s">
        <v>539</v>
      </c>
    </row>
    <row r="334" spans="1:17" x14ac:dyDescent="0.25">
      <c r="A334" s="8" t="s">
        <v>2684</v>
      </c>
      <c r="B334" s="8" t="s">
        <v>2685</v>
      </c>
      <c r="C334" s="9" t="s">
        <v>2686</v>
      </c>
      <c r="D334" s="9" t="s">
        <v>155</v>
      </c>
      <c r="E334" s="9" t="s">
        <v>2394</v>
      </c>
      <c r="F334" s="10">
        <v>1.359</v>
      </c>
      <c r="G334" s="10">
        <v>1.495</v>
      </c>
      <c r="H334" s="10"/>
      <c r="I334" s="9" t="s">
        <v>157</v>
      </c>
      <c r="J334" s="9" t="s">
        <v>2687</v>
      </c>
      <c r="K334" s="9" t="s">
        <v>2688</v>
      </c>
      <c r="L334" s="8" t="s">
        <v>2397</v>
      </c>
      <c r="M334" s="9" t="s">
        <v>49</v>
      </c>
      <c r="N334" s="9" t="s">
        <v>483</v>
      </c>
      <c r="O334" s="9">
        <f>HYPERLINK("https://www.google.com/maps/search/?api=1&amp;query=39.55779831,2.68252852", "https://www.google.com/maps/search/?api=1&amp;query=39.55779831,2.68252852")</f>
      </c>
      <c r="P334" s="9" t="s">
        <v>2689</v>
      </c>
      <c r="Q334" s="9" t="s">
        <v>2175</v>
      </c>
    </row>
    <row r="335" spans="1:17" x14ac:dyDescent="0.25">
      <c r="A335" s="8" t="s">
        <v>2690</v>
      </c>
      <c r="B335" s="8" t="s">
        <v>2691</v>
      </c>
      <c r="C335" s="9" t="s">
        <v>2692</v>
      </c>
      <c r="D335" s="9" t="s">
        <v>83</v>
      </c>
      <c r="E335" s="9" t="s">
        <v>83</v>
      </c>
      <c r="F335" s="10">
        <v>1.359</v>
      </c>
      <c r="G335" s="10">
        <v>1.495</v>
      </c>
      <c r="H335" s="10"/>
      <c r="I335" s="9" t="s">
        <v>83</v>
      </c>
      <c r="J335" s="9" t="s">
        <v>2693</v>
      </c>
      <c r="K335" s="9" t="s">
        <v>2694</v>
      </c>
      <c r="L335" s="8" t="s">
        <v>2695</v>
      </c>
      <c r="M335" s="9" t="s">
        <v>100</v>
      </c>
      <c r="N335" s="9" t="s">
        <v>37</v>
      </c>
      <c r="O335" s="9">
        <f>HYPERLINK("https://www.google.com/maps/search/?api=1&amp;query=40.36642744,-3.69452892", "https://www.google.com/maps/search/?api=1&amp;query=40.36642744,-3.69452892")</f>
      </c>
      <c r="P335" s="9" t="s">
        <v>2696</v>
      </c>
      <c r="Q335" s="9" t="s">
        <v>102</v>
      </c>
    </row>
    <row r="336" spans="1:17" x14ac:dyDescent="0.25">
      <c r="A336" s="8" t="s">
        <v>2697</v>
      </c>
      <c r="B336" s="8" t="s">
        <v>2698</v>
      </c>
      <c r="C336" s="9" t="s">
        <v>2699</v>
      </c>
      <c r="D336" s="9" t="s">
        <v>344</v>
      </c>
      <c r="E336" s="9" t="s">
        <v>2700</v>
      </c>
      <c r="F336" s="10">
        <v>1.359</v>
      </c>
      <c r="G336" s="10">
        <v>1.495</v>
      </c>
      <c r="H336" s="10"/>
      <c r="I336" s="9" t="s">
        <v>140</v>
      </c>
      <c r="J336" s="9" t="s">
        <v>2701</v>
      </c>
      <c r="K336" s="9" t="s">
        <v>2702</v>
      </c>
      <c r="L336" s="8" t="s">
        <v>2703</v>
      </c>
      <c r="M336" s="9" t="s">
        <v>49</v>
      </c>
      <c r="N336" s="9" t="s">
        <v>211</v>
      </c>
      <c r="O336" s="9">
        <f>HYPERLINK("https://www.google.com/maps/search/?api=1&amp;query=43.11401346,-8.14795451", "https://www.google.com/maps/search/?api=1&amp;query=43.11401346,-8.14795451")</f>
      </c>
      <c r="P336" s="9" t="s">
        <v>2704</v>
      </c>
      <c r="Q336" s="9" t="s">
        <v>1278</v>
      </c>
    </row>
    <row r="337" spans="1:17" x14ac:dyDescent="0.25">
      <c r="A337" s="8" t="s">
        <v>2705</v>
      </c>
      <c r="B337" s="8" t="s">
        <v>2706</v>
      </c>
      <c r="C337" s="9" t="s">
        <v>2707</v>
      </c>
      <c r="D337" s="9" t="s">
        <v>400</v>
      </c>
      <c r="E337" s="9" t="s">
        <v>2708</v>
      </c>
      <c r="F337" s="10">
        <v>1.359</v>
      </c>
      <c r="G337" s="10">
        <v>1.495</v>
      </c>
      <c r="H337" s="10"/>
      <c r="I337" s="9" t="s">
        <v>400</v>
      </c>
      <c r="J337" s="9" t="s">
        <v>2709</v>
      </c>
      <c r="K337" s="9" t="s">
        <v>2710</v>
      </c>
      <c r="L337" s="8" t="s">
        <v>2711</v>
      </c>
      <c r="M337" s="9" t="s">
        <v>49</v>
      </c>
      <c r="N337" s="9" t="s">
        <v>88</v>
      </c>
      <c r="O337" s="9">
        <f>HYPERLINK("https://www.google.com/maps/search/?api=1&amp;query=39.50024291,-0.34585115", "https://www.google.com/maps/search/?api=1&amp;query=39.50024291,-0.34585115")</f>
      </c>
      <c r="P337" s="9" t="s">
        <v>2712</v>
      </c>
      <c r="Q337" s="9" t="s">
        <v>2713</v>
      </c>
    </row>
    <row r="338" spans="1:17" x14ac:dyDescent="0.25">
      <c r="A338" s="8" t="s">
        <v>2714</v>
      </c>
      <c r="B338" s="8" t="s">
        <v>2715</v>
      </c>
      <c r="C338" s="9" t="s">
        <v>2716</v>
      </c>
      <c r="D338" s="9" t="s">
        <v>94</v>
      </c>
      <c r="E338" s="9" t="s">
        <v>1174</v>
      </c>
      <c r="F338" s="10">
        <v>1.359</v>
      </c>
      <c r="G338" s="10">
        <v>1.495</v>
      </c>
      <c r="H338" s="10"/>
      <c r="I338" s="9" t="s">
        <v>96</v>
      </c>
      <c r="J338" s="9" t="s">
        <v>2717</v>
      </c>
      <c r="K338" s="9" t="s">
        <v>2718</v>
      </c>
      <c r="L338" s="8" t="s">
        <v>1177</v>
      </c>
      <c r="M338" s="9" t="s">
        <v>36</v>
      </c>
      <c r="N338" s="9" t="s">
        <v>88</v>
      </c>
      <c r="O338" s="9">
        <f>HYPERLINK("https://www.google.com/maps/search/?api=1&amp;query=41.5953809,2.08730084", "https://www.google.com/maps/search/?api=1&amp;query=41.5953809,2.08730084")</f>
      </c>
      <c r="P338" s="9" t="s">
        <v>2233</v>
      </c>
      <c r="Q338" s="9" t="s">
        <v>2719</v>
      </c>
    </row>
    <row r="339" spans="1:17" x14ac:dyDescent="0.25">
      <c r="A339" s="8" t="s">
        <v>2720</v>
      </c>
      <c r="B339" s="8" t="s">
        <v>2721</v>
      </c>
      <c r="C339" s="9" t="s">
        <v>2722</v>
      </c>
      <c r="D339" s="9" t="s">
        <v>166</v>
      </c>
      <c r="E339" s="9" t="s">
        <v>2723</v>
      </c>
      <c r="F339" s="10">
        <v>1.359</v>
      </c>
      <c r="G339" s="10">
        <v>1.495</v>
      </c>
      <c r="H339" s="10"/>
      <c r="I339" s="9" t="s">
        <v>168</v>
      </c>
      <c r="J339" s="9" t="s">
        <v>2724</v>
      </c>
      <c r="K339" s="9" t="s">
        <v>2725</v>
      </c>
      <c r="L339" s="8" t="s">
        <v>2726</v>
      </c>
      <c r="M339" s="9" t="s">
        <v>49</v>
      </c>
      <c r="N339" s="9" t="s">
        <v>88</v>
      </c>
      <c r="O339" s="9">
        <f>HYPERLINK("https://www.google.com/maps/search/?api=1&amp;query=40.92805182,-2.71392271", "https://www.google.com/maps/search/?api=1&amp;query=40.92805182,-2.71392271")</f>
      </c>
      <c r="P339" s="9" t="s">
        <v>2727</v>
      </c>
      <c r="Q339" s="9" t="s">
        <v>2728</v>
      </c>
    </row>
    <row r="340" spans="1:17" x14ac:dyDescent="0.25">
      <c r="A340" s="8" t="s">
        <v>2729</v>
      </c>
      <c r="B340" s="8" t="s">
        <v>2730</v>
      </c>
      <c r="C340" s="9" t="s">
        <v>2731</v>
      </c>
      <c r="D340" s="9" t="s">
        <v>94</v>
      </c>
      <c r="E340" s="9" t="s">
        <v>2732</v>
      </c>
      <c r="F340" s="10">
        <v>1.359</v>
      </c>
      <c r="G340" s="10">
        <v>1.495</v>
      </c>
      <c r="H340" s="10"/>
      <c r="I340" s="9" t="s">
        <v>96</v>
      </c>
      <c r="J340" s="9" t="s">
        <v>2733</v>
      </c>
      <c r="K340" s="9" t="s">
        <v>2734</v>
      </c>
      <c r="L340" s="8" t="s">
        <v>2735</v>
      </c>
      <c r="M340" s="9" t="s">
        <v>36</v>
      </c>
      <c r="N340" s="9" t="s">
        <v>88</v>
      </c>
      <c r="O340" s="9">
        <f>HYPERLINK("https://www.google.com/maps/search/?api=1&amp;query=41.65023984,2.29735642", "https://www.google.com/maps/search/?api=1&amp;query=41.65023984,2.29735642")</f>
      </c>
      <c r="P340" s="9" t="s">
        <v>413</v>
      </c>
      <c r="Q340" s="9" t="s">
        <v>2736</v>
      </c>
    </row>
    <row r="341" spans="1:17" x14ac:dyDescent="0.25">
      <c r="A341" s="8" t="s">
        <v>2737</v>
      </c>
      <c r="B341" s="8" t="s">
        <v>2738</v>
      </c>
      <c r="C341" s="9" t="s">
        <v>2739</v>
      </c>
      <c r="D341" s="9" t="s">
        <v>177</v>
      </c>
      <c r="E341" s="9" t="s">
        <v>177</v>
      </c>
      <c r="F341" s="10">
        <v>1.359</v>
      </c>
      <c r="G341" s="10">
        <v>1.495</v>
      </c>
      <c r="H341" s="10"/>
      <c r="I341" s="9" t="s">
        <v>74</v>
      </c>
      <c r="J341" s="9" t="s">
        <v>2740</v>
      </c>
      <c r="K341" s="9" t="s">
        <v>2741</v>
      </c>
      <c r="L341" s="8" t="s">
        <v>1380</v>
      </c>
      <c r="M341" s="9" t="s">
        <v>36</v>
      </c>
      <c r="N341" s="9" t="s">
        <v>37</v>
      </c>
      <c r="O341" s="9">
        <f>HYPERLINK("https://www.google.com/maps/search/?api=1&amp;query=41.61876474,-4.72661545", "https://www.google.com/maps/search/?api=1&amp;query=41.61876474,-4.72661545")</f>
      </c>
      <c r="P341" s="9" t="s">
        <v>2742</v>
      </c>
      <c r="Q341" s="9" t="s">
        <v>2743</v>
      </c>
    </row>
    <row r="342" spans="1:17" x14ac:dyDescent="0.25">
      <c r="A342" s="8" t="s">
        <v>2744</v>
      </c>
      <c r="B342" s="8" t="s">
        <v>2745</v>
      </c>
      <c r="C342" s="9" t="s">
        <v>2746</v>
      </c>
      <c r="D342" s="9" t="s">
        <v>83</v>
      </c>
      <c r="E342" s="9" t="s">
        <v>2747</v>
      </c>
      <c r="F342" s="10">
        <v>1.359</v>
      </c>
      <c r="G342" s="10">
        <v>1.495</v>
      </c>
      <c r="H342" s="10"/>
      <c r="I342" s="9" t="s">
        <v>83</v>
      </c>
      <c r="J342" s="9" t="s">
        <v>2748</v>
      </c>
      <c r="K342" s="9" t="s">
        <v>2749</v>
      </c>
      <c r="L342" s="8" t="s">
        <v>2750</v>
      </c>
      <c r="M342" s="9" t="s">
        <v>49</v>
      </c>
      <c r="N342" s="9" t="s">
        <v>88</v>
      </c>
      <c r="O342" s="9">
        <f>HYPERLINK("https://www.google.com/maps/search/?api=1&amp;query=40.62530964,-4.02798656", "https://www.google.com/maps/search/?api=1&amp;query=40.62530964,-4.02798656")</f>
      </c>
      <c r="P342" s="9" t="s">
        <v>275</v>
      </c>
      <c r="Q342" s="9" t="s">
        <v>2751</v>
      </c>
    </row>
    <row r="343" spans="1:17" x14ac:dyDescent="0.25">
      <c r="A343" s="8" t="s">
        <v>2752</v>
      </c>
      <c r="B343" s="8" t="s">
        <v>2753</v>
      </c>
      <c r="C343" s="9" t="s">
        <v>2754</v>
      </c>
      <c r="D343" s="9" t="s">
        <v>187</v>
      </c>
      <c r="E343" s="9" t="s">
        <v>2273</v>
      </c>
      <c r="F343" s="10">
        <v>1.359</v>
      </c>
      <c r="G343" s="10">
        <v>1.495</v>
      </c>
      <c r="H343" s="10"/>
      <c r="I343" s="9" t="s">
        <v>74</v>
      </c>
      <c r="J343" s="9" t="s">
        <v>2755</v>
      </c>
      <c r="K343" s="9" t="s">
        <v>2756</v>
      </c>
      <c r="L343" s="8" t="s">
        <v>2757</v>
      </c>
      <c r="M343" s="9" t="s">
        <v>49</v>
      </c>
      <c r="N343" s="9" t="s">
        <v>37</v>
      </c>
      <c r="O343" s="9">
        <f>HYPERLINK("https://www.google.com/maps/search/?api=1&amp;query=42.60431323,-5.57883434", "https://www.google.com/maps/search/?api=1&amp;query=42.60431323,-5.57883434")</f>
      </c>
      <c r="P343" s="9" t="s">
        <v>1414</v>
      </c>
      <c r="Q343" s="9" t="s">
        <v>420</v>
      </c>
    </row>
    <row r="344" spans="1:17" x14ac:dyDescent="0.25">
      <c r="A344" s="8" t="s">
        <v>2758</v>
      </c>
      <c r="B344" s="8" t="s">
        <v>2759</v>
      </c>
      <c r="C344" s="9" t="s">
        <v>2760</v>
      </c>
      <c r="D344" s="9" t="s">
        <v>344</v>
      </c>
      <c r="E344" s="9" t="s">
        <v>2572</v>
      </c>
      <c r="F344" s="10">
        <v>1.359</v>
      </c>
      <c r="G344" s="10">
        <v>1.495</v>
      </c>
      <c r="H344" s="10"/>
      <c r="I344" s="9" t="s">
        <v>140</v>
      </c>
      <c r="J344" s="9" t="s">
        <v>2761</v>
      </c>
      <c r="K344" s="9" t="s">
        <v>2762</v>
      </c>
      <c r="L344" s="8" t="s">
        <v>2763</v>
      </c>
      <c r="M344" s="9" t="s">
        <v>49</v>
      </c>
      <c r="N344" s="9" t="s">
        <v>37</v>
      </c>
      <c r="O344" s="9">
        <f>HYPERLINK("https://www.google.com/maps/search/?api=1&amp;query=42.87000198,-8.54824351", "https://www.google.com/maps/search/?api=1&amp;query=42.87000198,-8.54824351")</f>
      </c>
      <c r="P344" s="9" t="s">
        <v>2213</v>
      </c>
      <c r="Q344" s="9" t="s">
        <v>2764</v>
      </c>
    </row>
    <row r="345" spans="1:17" x14ac:dyDescent="0.25">
      <c r="A345" s="8" t="s">
        <v>2765</v>
      </c>
      <c r="B345" s="8" t="s">
        <v>2766</v>
      </c>
      <c r="C345" s="9" t="s">
        <v>2767</v>
      </c>
      <c r="D345" s="9" t="s">
        <v>177</v>
      </c>
      <c r="E345" s="9" t="s">
        <v>2768</v>
      </c>
      <c r="F345" s="10">
        <v>1.359</v>
      </c>
      <c r="G345" s="10">
        <v>1.495</v>
      </c>
      <c r="H345" s="10"/>
      <c r="I345" s="9" t="s">
        <v>74</v>
      </c>
      <c r="J345" s="9" t="s">
        <v>2769</v>
      </c>
      <c r="K345" s="9" t="s">
        <v>2770</v>
      </c>
      <c r="L345" s="8" t="s">
        <v>2771</v>
      </c>
      <c r="M345" s="9" t="s">
        <v>49</v>
      </c>
      <c r="N345" s="9" t="s">
        <v>645</v>
      </c>
      <c r="O345" s="9">
        <f>HYPERLINK("https://www.google.com/maps/search/?api=1&amp;query=41.47570379,-4.59828376", "https://www.google.com/maps/search/?api=1&amp;query=41.47570379,-4.59828376")</f>
      </c>
      <c r="P345" s="9" t="s">
        <v>992</v>
      </c>
      <c r="Q345" s="9" t="s">
        <v>2772</v>
      </c>
    </row>
    <row r="346" spans="1:17" x14ac:dyDescent="0.25">
      <c r="A346" s="8" t="s">
        <v>2773</v>
      </c>
      <c r="B346" s="8" t="s">
        <v>2774</v>
      </c>
      <c r="C346" s="9" t="s">
        <v>2775</v>
      </c>
      <c r="D346" s="9" t="s">
        <v>94</v>
      </c>
      <c r="E346" s="9" t="s">
        <v>2776</v>
      </c>
      <c r="F346" s="10">
        <v>1.359</v>
      </c>
      <c r="G346" s="10">
        <v>1.495</v>
      </c>
      <c r="H346" s="10"/>
      <c r="I346" s="9" t="s">
        <v>96</v>
      </c>
      <c r="J346" s="9" t="s">
        <v>2777</v>
      </c>
      <c r="K346" s="9" t="s">
        <v>2778</v>
      </c>
      <c r="L346" s="8" t="s">
        <v>2779</v>
      </c>
      <c r="M346" s="9" t="s">
        <v>36</v>
      </c>
      <c r="N346" s="9" t="s">
        <v>37</v>
      </c>
      <c r="O346" s="9">
        <f>HYPERLINK("https://www.google.com/maps/search/?api=1&amp;query=41.59660106,2.30916678", "https://www.google.com/maps/search/?api=1&amp;query=41.59660106,2.30916678")</f>
      </c>
      <c r="P346" s="9" t="s">
        <v>2780</v>
      </c>
      <c r="Q346" s="9" t="s">
        <v>102</v>
      </c>
    </row>
    <row r="347" spans="1:17" x14ac:dyDescent="0.25">
      <c r="A347" s="8" t="s">
        <v>2781</v>
      </c>
      <c r="B347" s="8" t="s">
        <v>2782</v>
      </c>
      <c r="C347" s="9" t="s">
        <v>2783</v>
      </c>
      <c r="D347" s="9" t="s">
        <v>1192</v>
      </c>
      <c r="E347" s="9" t="s">
        <v>2354</v>
      </c>
      <c r="F347" s="10">
        <v>1.359</v>
      </c>
      <c r="G347" s="10">
        <v>1.495</v>
      </c>
      <c r="H347" s="10"/>
      <c r="I347" s="9" t="s">
        <v>168</v>
      </c>
      <c r="J347" s="9" t="s">
        <v>2784</v>
      </c>
      <c r="K347" s="9" t="s">
        <v>2785</v>
      </c>
      <c r="L347" s="8" t="s">
        <v>2357</v>
      </c>
      <c r="M347" s="9" t="s">
        <v>36</v>
      </c>
      <c r="N347" s="9" t="s">
        <v>645</v>
      </c>
      <c r="O347" s="9">
        <f>HYPERLINK("https://www.google.com/maps/search/?api=1&amp;query=38.99791695,-3.36339047", "https://www.google.com/maps/search/?api=1&amp;query=38.99791695,-3.36339047")</f>
      </c>
      <c r="P347" s="9" t="s">
        <v>2786</v>
      </c>
      <c r="Q347" s="9" t="s">
        <v>2787</v>
      </c>
    </row>
    <row r="348" spans="1:17" x14ac:dyDescent="0.25">
      <c r="A348" s="8" t="s">
        <v>2788</v>
      </c>
      <c r="B348" s="8" t="s">
        <v>2789</v>
      </c>
      <c r="C348" s="9" t="s">
        <v>2790</v>
      </c>
      <c r="D348" s="9" t="s">
        <v>83</v>
      </c>
      <c r="E348" s="9" t="s">
        <v>83</v>
      </c>
      <c r="F348" s="10">
        <v>1.359</v>
      </c>
      <c r="G348" s="10">
        <v>1.495</v>
      </c>
      <c r="H348" s="10"/>
      <c r="I348" s="9" t="s">
        <v>83</v>
      </c>
      <c r="J348" s="9" t="s">
        <v>2791</v>
      </c>
      <c r="K348" s="9" t="s">
        <v>2792</v>
      </c>
      <c r="L348" s="8" t="s">
        <v>931</v>
      </c>
      <c r="M348" s="9" t="s">
        <v>49</v>
      </c>
      <c r="N348" s="9" t="s">
        <v>2793</v>
      </c>
      <c r="O348" s="9">
        <f>HYPERLINK("https://www.google.com/maps/search/?api=1&amp;query=40.35820041,-3.65986715", "https://www.google.com/maps/search/?api=1&amp;query=40.35820041,-3.65986715")</f>
      </c>
      <c r="P348" s="9" t="s">
        <v>50</v>
      </c>
      <c r="Q348" s="9" t="s">
        <v>2794</v>
      </c>
    </row>
    <row r="349" spans="1:17" x14ac:dyDescent="0.25">
      <c r="A349" s="8" t="s">
        <v>2795</v>
      </c>
      <c r="B349" s="8" t="s">
        <v>2796</v>
      </c>
      <c r="C349" s="9" t="s">
        <v>2797</v>
      </c>
      <c r="D349" s="9" t="s">
        <v>434</v>
      </c>
      <c r="E349" s="9" t="s">
        <v>2798</v>
      </c>
      <c r="F349" s="10">
        <v>1.359</v>
      </c>
      <c r="G349" s="10">
        <v>1.495</v>
      </c>
      <c r="H349" s="10"/>
      <c r="I349" s="9" t="s">
        <v>96</v>
      </c>
      <c r="J349" s="9" t="s">
        <v>2799</v>
      </c>
      <c r="K349" s="9" t="s">
        <v>2800</v>
      </c>
      <c r="L349" s="8" t="s">
        <v>2801</v>
      </c>
      <c r="M349" s="9" t="s">
        <v>49</v>
      </c>
      <c r="N349" s="9" t="s">
        <v>88</v>
      </c>
      <c r="O349" s="9">
        <f>HYPERLINK("https://www.google.com/maps/search/?api=1&amp;query=41.70950238,2.83426327", "https://www.google.com/maps/search/?api=1&amp;query=41.70950238,2.83426327")</f>
      </c>
      <c r="P349" s="9" t="s">
        <v>831</v>
      </c>
      <c r="Q349" s="9" t="s">
        <v>2713</v>
      </c>
    </row>
    <row r="350" spans="1:17" x14ac:dyDescent="0.25">
      <c r="A350" s="8" t="s">
        <v>2802</v>
      </c>
      <c r="B350" s="8" t="s">
        <v>2803</v>
      </c>
      <c r="C350" s="9" t="s">
        <v>2804</v>
      </c>
      <c r="D350" s="9" t="s">
        <v>398</v>
      </c>
      <c r="E350" s="9" t="s">
        <v>2805</v>
      </c>
      <c r="F350" s="10">
        <v>1.359</v>
      </c>
      <c r="G350" s="10">
        <v>1.495</v>
      </c>
      <c r="H350" s="10"/>
      <c r="I350" s="9" t="s">
        <v>400</v>
      </c>
      <c r="J350" s="9" t="s">
        <v>2806</v>
      </c>
      <c r="K350" s="9" t="s">
        <v>2807</v>
      </c>
      <c r="L350" s="8" t="s">
        <v>2808</v>
      </c>
      <c r="M350" s="9" t="s">
        <v>49</v>
      </c>
      <c r="N350" s="9" t="s">
        <v>88</v>
      </c>
      <c r="O350" s="9">
        <f>HYPERLINK("https://www.google.com/maps/search/?api=1&amp;query=38.40147036,-0.5341281", "https://www.google.com/maps/search/?api=1&amp;query=38.40147036,-0.5341281")</f>
      </c>
      <c r="P350" s="9" t="s">
        <v>2809</v>
      </c>
      <c r="Q350" s="9" t="s">
        <v>286</v>
      </c>
    </row>
    <row r="351" spans="1:17" x14ac:dyDescent="0.25">
      <c r="A351" s="8" t="s">
        <v>2810</v>
      </c>
      <c r="B351" s="8" t="s">
        <v>2811</v>
      </c>
      <c r="C351" s="9" t="s">
        <v>2812</v>
      </c>
      <c r="D351" s="9" t="s">
        <v>61</v>
      </c>
      <c r="E351" s="9" t="s">
        <v>2813</v>
      </c>
      <c r="F351" s="10">
        <v>1.359</v>
      </c>
      <c r="G351" s="10">
        <v>1.495</v>
      </c>
      <c r="H351" s="10"/>
      <c r="I351" s="9" t="s">
        <v>45</v>
      </c>
      <c r="J351" s="9" t="s">
        <v>2814</v>
      </c>
      <c r="K351" s="9" t="s">
        <v>2815</v>
      </c>
      <c r="L351" s="8" t="s">
        <v>2816</v>
      </c>
      <c r="M351" s="9" t="s">
        <v>49</v>
      </c>
      <c r="N351" s="9" t="s">
        <v>88</v>
      </c>
      <c r="O351" s="9">
        <f>HYPERLINK("https://www.google.com/maps/search/?api=1&amp;query=37.45116124,-5.7691292", "https://www.google.com/maps/search/?api=1&amp;query=37.45116124,-5.7691292")</f>
      </c>
      <c r="P351" s="9" t="s">
        <v>2817</v>
      </c>
      <c r="Q351" s="9" t="s">
        <v>2818</v>
      </c>
    </row>
    <row r="352" spans="1:17" x14ac:dyDescent="0.25">
      <c r="A352" s="8" t="s">
        <v>2819</v>
      </c>
      <c r="B352" s="8" t="s">
        <v>2820</v>
      </c>
      <c r="C352" s="9" t="s">
        <v>2821</v>
      </c>
      <c r="D352" s="9" t="s">
        <v>892</v>
      </c>
      <c r="E352" s="9" t="s">
        <v>2822</v>
      </c>
      <c r="F352" s="10">
        <v>1.359</v>
      </c>
      <c r="G352" s="10">
        <v>1.495</v>
      </c>
      <c r="H352" s="10"/>
      <c r="I352" s="9" t="s">
        <v>32</v>
      </c>
      <c r="J352" s="9" t="s">
        <v>2823</v>
      </c>
      <c r="K352" s="9" t="s">
        <v>2824</v>
      </c>
      <c r="L352" s="8" t="s">
        <v>2825</v>
      </c>
      <c r="M352" s="9" t="s">
        <v>49</v>
      </c>
      <c r="N352" s="9" t="s">
        <v>37</v>
      </c>
      <c r="O352" s="9">
        <f>HYPERLINK("https://www.google.com/maps/search/?api=1&amp;query=39.91986833,-5.75925595", "https://www.google.com/maps/search/?api=1&amp;query=39.91986833,-5.75925595")</f>
      </c>
      <c r="P352" s="9" t="s">
        <v>2826</v>
      </c>
      <c r="Q352" s="9" t="s">
        <v>2827</v>
      </c>
    </row>
    <row r="353" spans="1:17" x14ac:dyDescent="0.25">
      <c r="A353" s="8" t="s">
        <v>2828</v>
      </c>
      <c r="B353" s="8" t="s">
        <v>2829</v>
      </c>
      <c r="C353" s="9" t="s">
        <v>2830</v>
      </c>
      <c r="D353" s="9" t="s">
        <v>61</v>
      </c>
      <c r="E353" s="9" t="s">
        <v>2831</v>
      </c>
      <c r="F353" s="10">
        <v>1.359</v>
      </c>
      <c r="G353" s="10">
        <v>1.495</v>
      </c>
      <c r="H353" s="10"/>
      <c r="I353" s="9" t="s">
        <v>45</v>
      </c>
      <c r="J353" s="9" t="s">
        <v>2832</v>
      </c>
      <c r="K353" s="9" t="s">
        <v>2833</v>
      </c>
      <c r="L353" s="8" t="s">
        <v>2834</v>
      </c>
      <c r="M353" s="9" t="s">
        <v>36</v>
      </c>
      <c r="N353" s="9" t="s">
        <v>66</v>
      </c>
      <c r="O353" s="9">
        <f>HYPERLINK("https://www.google.com/maps/search/?api=1&amp;query=37.2779179,-6.05820387", "https://www.google.com/maps/search/?api=1&amp;query=37.2779179,-6.05820387")</f>
      </c>
      <c r="P353" s="9" t="s">
        <v>1268</v>
      </c>
      <c r="Q353" s="9" t="s">
        <v>1760</v>
      </c>
    </row>
    <row r="354" spans="1:17" x14ac:dyDescent="0.25">
      <c r="A354" s="8" t="s">
        <v>2835</v>
      </c>
      <c r="B354" s="8" t="s">
        <v>2836</v>
      </c>
      <c r="C354" s="9" t="s">
        <v>2837</v>
      </c>
      <c r="D354" s="9" t="s">
        <v>197</v>
      </c>
      <c r="E354" s="9" t="s">
        <v>2838</v>
      </c>
      <c r="F354" s="10">
        <v>1.359</v>
      </c>
      <c r="G354" s="10">
        <v>1.495</v>
      </c>
      <c r="H354" s="10"/>
      <c r="I354" s="9" t="s">
        <v>168</v>
      </c>
      <c r="J354" s="9" t="s">
        <v>2839</v>
      </c>
      <c r="K354" s="9" t="s">
        <v>2840</v>
      </c>
      <c r="L354" s="8" t="s">
        <v>2841</v>
      </c>
      <c r="M354" s="9" t="s">
        <v>36</v>
      </c>
      <c r="N354" s="9" t="s">
        <v>645</v>
      </c>
      <c r="O354" s="9">
        <f>HYPERLINK("https://www.google.com/maps/search/?api=1&amp;query=40.05592391,-3.86445164", "https://www.google.com/maps/search/?api=1&amp;query=40.05592391,-3.86445164")</f>
      </c>
      <c r="P354" s="9" t="s">
        <v>1250</v>
      </c>
      <c r="Q354" s="9" t="s">
        <v>2842</v>
      </c>
    </row>
    <row r="355" spans="1:17" x14ac:dyDescent="0.25">
      <c r="A355" s="8" t="s">
        <v>2843</v>
      </c>
      <c r="B355" s="8" t="s">
        <v>2844</v>
      </c>
      <c r="C355" s="9" t="s">
        <v>2845</v>
      </c>
      <c r="D355" s="9" t="s">
        <v>658</v>
      </c>
      <c r="E355" s="9" t="s">
        <v>2846</v>
      </c>
      <c r="F355" s="10">
        <v>1.359</v>
      </c>
      <c r="G355" s="10">
        <v>1.495</v>
      </c>
      <c r="H355" s="10"/>
      <c r="I355" s="9" t="s">
        <v>45</v>
      </c>
      <c r="J355" s="9" t="s">
        <v>2847</v>
      </c>
      <c r="K355" s="9" t="s">
        <v>2848</v>
      </c>
      <c r="L355" s="8" t="s">
        <v>2849</v>
      </c>
      <c r="M355" s="9" t="s">
        <v>36</v>
      </c>
      <c r="N355" s="9" t="s">
        <v>88</v>
      </c>
      <c r="O355" s="9">
        <f>HYPERLINK("https://www.google.com/maps/search/?api=1&amp;query=36.85363523,-2.42079235", "https://www.google.com/maps/search/?api=1&amp;query=36.85363523,-2.42079235")</f>
      </c>
      <c r="P355" s="9" t="s">
        <v>2850</v>
      </c>
      <c r="Q355" s="9" t="s">
        <v>1982</v>
      </c>
    </row>
    <row r="356" spans="1:17" x14ac:dyDescent="0.25">
      <c r="A356" s="8" t="s">
        <v>2851</v>
      </c>
      <c r="B356" s="8" t="s">
        <v>2852</v>
      </c>
      <c r="C356" s="9" t="s">
        <v>2853</v>
      </c>
      <c r="D356" s="9" t="s">
        <v>94</v>
      </c>
      <c r="E356" s="9" t="s">
        <v>94</v>
      </c>
      <c r="F356" s="10">
        <v>1.359</v>
      </c>
      <c r="G356" s="10">
        <v>1.495</v>
      </c>
      <c r="H356" s="10"/>
      <c r="I356" s="9" t="s">
        <v>96</v>
      </c>
      <c r="J356" s="9" t="s">
        <v>2854</v>
      </c>
      <c r="K356" s="9" t="s">
        <v>2855</v>
      </c>
      <c r="L356" s="8" t="s">
        <v>2149</v>
      </c>
      <c r="M356" s="9" t="s">
        <v>49</v>
      </c>
      <c r="N356" s="9" t="s">
        <v>2856</v>
      </c>
      <c r="O356" s="9">
        <f>HYPERLINK("https://www.google.com/maps/search/?api=1&amp;query=41.39262974,2.19292599", "https://www.google.com/maps/search/?api=1&amp;query=41.39262974,2.19292599")</f>
      </c>
      <c r="P356" s="9" t="s">
        <v>1311</v>
      </c>
      <c r="Q356" s="9" t="s">
        <v>112</v>
      </c>
    </row>
    <row r="357" spans="1:17" x14ac:dyDescent="0.25">
      <c r="A357" s="8" t="s">
        <v>2857</v>
      </c>
      <c r="B357" s="8" t="s">
        <v>2858</v>
      </c>
      <c r="C357" s="9" t="s">
        <v>2859</v>
      </c>
      <c r="D357" s="9" t="s">
        <v>631</v>
      </c>
      <c r="E357" s="9" t="s">
        <v>2860</v>
      </c>
      <c r="F357" s="10">
        <v>1.359</v>
      </c>
      <c r="G357" s="10">
        <v>1.495</v>
      </c>
      <c r="H357" s="10"/>
      <c r="I357" s="9" t="s">
        <v>45</v>
      </c>
      <c r="J357" s="9" t="s">
        <v>2861</v>
      </c>
      <c r="K357" s="9" t="s">
        <v>2862</v>
      </c>
      <c r="L357" s="8" t="s">
        <v>2863</v>
      </c>
      <c r="M357" s="9" t="s">
        <v>49</v>
      </c>
      <c r="N357" s="9" t="s">
        <v>2864</v>
      </c>
      <c r="O357" s="9">
        <f>HYPERLINK("https://www.google.com/maps/search/?api=1&amp;query=38.4800301,-4.95398271", "https://www.google.com/maps/search/?api=1&amp;query=38.4800301,-4.95398271")</f>
      </c>
      <c r="P357" s="9" t="s">
        <v>2865</v>
      </c>
      <c r="Q357" s="9" t="s">
        <v>1204</v>
      </c>
    </row>
    <row r="358" spans="1:17" x14ac:dyDescent="0.25">
      <c r="A358" s="8" t="s">
        <v>2866</v>
      </c>
      <c r="B358" s="8" t="s">
        <v>2867</v>
      </c>
      <c r="C358" s="9" t="s">
        <v>2868</v>
      </c>
      <c r="D358" s="9" t="s">
        <v>177</v>
      </c>
      <c r="E358" s="9" t="s">
        <v>177</v>
      </c>
      <c r="F358" s="10">
        <v>1.359</v>
      </c>
      <c r="G358" s="10">
        <v>1.495</v>
      </c>
      <c r="H358" s="10"/>
      <c r="I358" s="9" t="s">
        <v>74</v>
      </c>
      <c r="J358" s="9" t="s">
        <v>2869</v>
      </c>
      <c r="K358" s="9" t="s">
        <v>2870</v>
      </c>
      <c r="L358" s="8" t="s">
        <v>2871</v>
      </c>
      <c r="M358" s="9" t="s">
        <v>49</v>
      </c>
      <c r="N358" s="9" t="s">
        <v>211</v>
      </c>
      <c r="O358" s="9">
        <f>HYPERLINK("https://www.google.com/maps/search/?api=1&amp;query=41.64117441,-4.73420692", "https://www.google.com/maps/search/?api=1&amp;query=41.64117441,-4.73420692")</f>
      </c>
      <c r="P358" s="9" t="s">
        <v>2872</v>
      </c>
      <c r="Q358" s="9" t="s">
        <v>804</v>
      </c>
    </row>
    <row r="359" spans="1:17" x14ac:dyDescent="0.25">
      <c r="A359" s="8" t="s">
        <v>2873</v>
      </c>
      <c r="B359" s="8" t="s">
        <v>2874</v>
      </c>
      <c r="C359" s="9" t="s">
        <v>2875</v>
      </c>
      <c r="D359" s="9" t="s">
        <v>128</v>
      </c>
      <c r="E359" s="9" t="s">
        <v>2876</v>
      </c>
      <c r="F359" s="10">
        <v>1.359</v>
      </c>
      <c r="G359" s="10">
        <v>1.495</v>
      </c>
      <c r="H359" s="10"/>
      <c r="I359" s="9" t="s">
        <v>45</v>
      </c>
      <c r="J359" s="9" t="s">
        <v>2877</v>
      </c>
      <c r="K359" s="9" t="s">
        <v>2878</v>
      </c>
      <c r="L359" s="8" t="s">
        <v>2879</v>
      </c>
      <c r="M359" s="9" t="s">
        <v>36</v>
      </c>
      <c r="N359" s="9" t="s">
        <v>37</v>
      </c>
      <c r="O359" s="9">
        <f>HYPERLINK("https://www.google.com/maps/search/?api=1&amp;query=36.11705599,-5.44467017", "https://www.google.com/maps/search/?api=1&amp;query=36.11705599,-5.44467017")</f>
      </c>
      <c r="P359" s="9" t="s">
        <v>275</v>
      </c>
      <c r="Q359" s="9" t="s">
        <v>565</v>
      </c>
    </row>
    <row r="360" spans="1:17" x14ac:dyDescent="0.25">
      <c r="A360" s="8" t="s">
        <v>2880</v>
      </c>
      <c r="B360" s="8" t="s">
        <v>2881</v>
      </c>
      <c r="C360" s="9" t="s">
        <v>2882</v>
      </c>
      <c r="D360" s="9" t="s">
        <v>2050</v>
      </c>
      <c r="E360" s="9" t="s">
        <v>2883</v>
      </c>
      <c r="F360" s="10">
        <v>1.359</v>
      </c>
      <c r="G360" s="10">
        <v>1.495</v>
      </c>
      <c r="H360" s="10"/>
      <c r="I360" s="9" t="s">
        <v>140</v>
      </c>
      <c r="J360" s="9" t="s">
        <v>2884</v>
      </c>
      <c r="K360" s="9" t="s">
        <v>2885</v>
      </c>
      <c r="L360" s="8" t="s">
        <v>2886</v>
      </c>
      <c r="M360" s="9" t="s">
        <v>36</v>
      </c>
      <c r="N360" s="9" t="s">
        <v>211</v>
      </c>
      <c r="O360" s="9">
        <f>HYPERLINK("https://www.google.com/maps/search/?api=1&amp;query=42.24859176,-7.86414536", "https://www.google.com/maps/search/?api=1&amp;query=42.24859176,-7.86414536")</f>
      </c>
      <c r="P360" s="9" t="s">
        <v>1287</v>
      </c>
      <c r="Q360" s="9" t="s">
        <v>2887</v>
      </c>
    </row>
    <row r="361" spans="1:17" x14ac:dyDescent="0.25">
      <c r="A361" s="8" t="s">
        <v>2888</v>
      </c>
      <c r="B361" s="8" t="s">
        <v>2889</v>
      </c>
      <c r="C361" s="9" t="s">
        <v>2890</v>
      </c>
      <c r="D361" s="9" t="s">
        <v>83</v>
      </c>
      <c r="E361" s="9" t="s">
        <v>2891</v>
      </c>
      <c r="F361" s="10">
        <v>1.359</v>
      </c>
      <c r="G361" s="10">
        <v>1.495</v>
      </c>
      <c r="H361" s="10"/>
      <c r="I361" s="9" t="s">
        <v>83</v>
      </c>
      <c r="J361" s="9" t="s">
        <v>2892</v>
      </c>
      <c r="K361" s="9" t="s">
        <v>2893</v>
      </c>
      <c r="L361" s="8" t="s">
        <v>2894</v>
      </c>
      <c r="M361" s="9" t="s">
        <v>49</v>
      </c>
      <c r="N361" s="9" t="s">
        <v>37</v>
      </c>
      <c r="O361" s="9">
        <f>HYPERLINK("https://www.google.com/maps/search/?api=1&amp;query=40.48619946,-3.36225268", "https://www.google.com/maps/search/?api=1&amp;query=40.48619946,-3.36225268")</f>
      </c>
      <c r="P361" s="9" t="s">
        <v>38</v>
      </c>
      <c r="Q361" s="9" t="s">
        <v>2895</v>
      </c>
    </row>
    <row r="362" spans="1:17" x14ac:dyDescent="0.25">
      <c r="A362" s="8" t="s">
        <v>2896</v>
      </c>
      <c r="B362" s="8" t="s">
        <v>2897</v>
      </c>
      <c r="C362" s="9" t="s">
        <v>2898</v>
      </c>
      <c r="D362" s="9" t="s">
        <v>1434</v>
      </c>
      <c r="E362" s="9" t="s">
        <v>2899</v>
      </c>
      <c r="F362" s="10">
        <v>1.359</v>
      </c>
      <c r="G362" s="10">
        <v>1.495</v>
      </c>
      <c r="H362" s="10"/>
      <c r="I362" s="9" t="s">
        <v>1434</v>
      </c>
      <c r="J362" s="9" t="s">
        <v>2900</v>
      </c>
      <c r="K362" s="9" t="s">
        <v>2901</v>
      </c>
      <c r="L362" s="8" t="s">
        <v>2902</v>
      </c>
      <c r="M362" s="9" t="s">
        <v>100</v>
      </c>
      <c r="N362" s="9" t="s">
        <v>88</v>
      </c>
      <c r="O362" s="9">
        <f>HYPERLINK("https://www.google.com/maps/search/?api=1&amp;query=42.45425386,-2.50413234", "https://www.google.com/maps/search/?api=1&amp;query=42.45425386,-2.50413234")</f>
      </c>
      <c r="P362" s="9" t="s">
        <v>680</v>
      </c>
      <c r="Q362" s="9" t="s">
        <v>2903</v>
      </c>
    </row>
    <row r="363" spans="1:17" x14ac:dyDescent="0.25">
      <c r="A363" s="8" t="s">
        <v>2904</v>
      </c>
      <c r="B363" s="8" t="s">
        <v>2905</v>
      </c>
      <c r="C363" s="9" t="s">
        <v>2906</v>
      </c>
      <c r="D363" s="9" t="s">
        <v>409</v>
      </c>
      <c r="E363" s="9" t="s">
        <v>668</v>
      </c>
      <c r="F363" s="10">
        <v>1.359</v>
      </c>
      <c r="G363" s="10">
        <v>1.495</v>
      </c>
      <c r="H363" s="10"/>
      <c r="I363" s="9" t="s">
        <v>292</v>
      </c>
      <c r="J363" s="9" t="s">
        <v>669</v>
      </c>
      <c r="K363" s="9" t="s">
        <v>2907</v>
      </c>
      <c r="L363" s="8" t="s">
        <v>671</v>
      </c>
      <c r="M363" s="9" t="s">
        <v>100</v>
      </c>
      <c r="N363" s="9" t="s">
        <v>37</v>
      </c>
      <c r="O363" s="9">
        <f>HYPERLINK("https://www.google.com/maps/search/?api=1&amp;query=41.64069259,-0.75678312", "https://www.google.com/maps/search/?api=1&amp;query=41.64069259,-0.75678312")</f>
      </c>
      <c r="P363" s="9" t="s">
        <v>2908</v>
      </c>
      <c r="Q363" s="9" t="s">
        <v>2909</v>
      </c>
    </row>
    <row r="364" spans="1:17" x14ac:dyDescent="0.25">
      <c r="A364" s="8" t="s">
        <v>2910</v>
      </c>
      <c r="B364" s="8" t="s">
        <v>2911</v>
      </c>
      <c r="C364" s="9" t="s">
        <v>2912</v>
      </c>
      <c r="D364" s="9" t="s">
        <v>344</v>
      </c>
      <c r="E364" s="9" t="s">
        <v>2913</v>
      </c>
      <c r="F364" s="10">
        <v>1.359</v>
      </c>
      <c r="G364" s="10">
        <v>1.495</v>
      </c>
      <c r="H364" s="10"/>
      <c r="I364" s="9" t="s">
        <v>140</v>
      </c>
      <c r="J364" s="9" t="s">
        <v>2914</v>
      </c>
      <c r="K364" s="9" t="s">
        <v>2915</v>
      </c>
      <c r="L364" s="8" t="s">
        <v>2916</v>
      </c>
      <c r="M364" s="9" t="s">
        <v>36</v>
      </c>
      <c r="N364" s="9" t="s">
        <v>122</v>
      </c>
      <c r="O364" s="9">
        <f>HYPERLINK("https://www.google.com/maps/search/?api=1&amp;query=42.92598527,-8.39196571", "https://www.google.com/maps/search/?api=1&amp;query=42.92598527,-8.39196571")</f>
      </c>
      <c r="P364" s="9" t="s">
        <v>1423</v>
      </c>
      <c r="Q364" s="9" t="s">
        <v>2917</v>
      </c>
    </row>
    <row r="365" spans="1:17" x14ac:dyDescent="0.25">
      <c r="A365" s="8" t="s">
        <v>2918</v>
      </c>
      <c r="B365" s="8" t="s">
        <v>2919</v>
      </c>
      <c r="C365" s="9" t="s">
        <v>2920</v>
      </c>
      <c r="D365" s="9" t="s">
        <v>1560</v>
      </c>
      <c r="E365" s="9" t="s">
        <v>1561</v>
      </c>
      <c r="F365" s="10">
        <v>1.359</v>
      </c>
      <c r="G365" s="10">
        <v>1.495</v>
      </c>
      <c r="H365" s="10"/>
      <c r="I365" s="9" t="s">
        <v>400</v>
      </c>
      <c r="J365" s="9" t="s">
        <v>2921</v>
      </c>
      <c r="K365" s="9" t="s">
        <v>2922</v>
      </c>
      <c r="L365" s="8" t="s">
        <v>2923</v>
      </c>
      <c r="M365" s="9" t="s">
        <v>49</v>
      </c>
      <c r="N365" s="9" t="s">
        <v>88</v>
      </c>
      <c r="O365" s="9">
        <f>HYPERLINK("https://www.google.com/maps/search/?api=1&amp;query=40.03108523,0.01296928", "https://www.google.com/maps/search/?api=1&amp;query=40.03108523,0.01296928")</f>
      </c>
      <c r="P365" s="9" t="s">
        <v>1471</v>
      </c>
      <c r="Q365" s="9" t="s">
        <v>2924</v>
      </c>
    </row>
    <row r="366" spans="1:17" x14ac:dyDescent="0.25">
      <c r="A366" s="8" t="s">
        <v>2925</v>
      </c>
      <c r="B366" s="8" t="s">
        <v>2926</v>
      </c>
      <c r="C366" s="9" t="s">
        <v>2927</v>
      </c>
      <c r="D366" s="9" t="s">
        <v>83</v>
      </c>
      <c r="E366" s="9" t="s">
        <v>2747</v>
      </c>
      <c r="F366" s="10">
        <v>1.359</v>
      </c>
      <c r="G366" s="10">
        <v>1.495</v>
      </c>
      <c r="H366" s="10"/>
      <c r="I366" s="9" t="s">
        <v>83</v>
      </c>
      <c r="J366" s="9" t="s">
        <v>2928</v>
      </c>
      <c r="K366" s="9" t="s">
        <v>2929</v>
      </c>
      <c r="L366" s="8" t="s">
        <v>2750</v>
      </c>
      <c r="M366" s="9" t="s">
        <v>36</v>
      </c>
      <c r="N366" s="9" t="s">
        <v>211</v>
      </c>
      <c r="O366" s="9">
        <f>HYPERLINK("https://www.google.com/maps/search/?api=1&amp;query=40.57597869,-4.01543574", "https://www.google.com/maps/search/?api=1&amp;query=40.57597869,-4.01543574")</f>
      </c>
      <c r="P366" s="9" t="s">
        <v>2930</v>
      </c>
      <c r="Q366" s="9" t="s">
        <v>2931</v>
      </c>
    </row>
    <row r="367" spans="1:17" x14ac:dyDescent="0.25">
      <c r="A367" s="8" t="s">
        <v>2932</v>
      </c>
      <c r="B367" s="8" t="s">
        <v>2933</v>
      </c>
      <c r="C367" s="9" t="s">
        <v>2934</v>
      </c>
      <c r="D367" s="9" t="s">
        <v>155</v>
      </c>
      <c r="E367" s="9" t="s">
        <v>2935</v>
      </c>
      <c r="F367" s="10">
        <v>1.359</v>
      </c>
      <c r="G367" s="10">
        <v>1.495</v>
      </c>
      <c r="H367" s="10"/>
      <c r="I367" s="9" t="s">
        <v>157</v>
      </c>
      <c r="J367" s="9" t="s">
        <v>2936</v>
      </c>
      <c r="K367" s="9" t="s">
        <v>2937</v>
      </c>
      <c r="L367" s="8" t="s">
        <v>2938</v>
      </c>
      <c r="M367" s="9" t="s">
        <v>49</v>
      </c>
      <c r="N367" s="9" t="s">
        <v>88</v>
      </c>
      <c r="O367" s="9">
        <f>HYPERLINK("https://www.google.com/maps/search/?api=1&amp;query=39.64607723,3.00604045", "https://www.google.com/maps/search/?api=1&amp;query=39.64607723,3.00604045")</f>
      </c>
      <c r="P367" s="9" t="s">
        <v>2939</v>
      </c>
      <c r="Q367" s="9" t="s">
        <v>565</v>
      </c>
    </row>
    <row r="368" spans="1:17" x14ac:dyDescent="0.25">
      <c r="A368" s="8" t="s">
        <v>2940</v>
      </c>
      <c r="B368" s="8" t="s">
        <v>2941</v>
      </c>
      <c r="C368" s="9" t="s">
        <v>2942</v>
      </c>
      <c r="D368" s="9" t="s">
        <v>177</v>
      </c>
      <c r="E368" s="9" t="s">
        <v>177</v>
      </c>
      <c r="F368" s="10">
        <v>1.359</v>
      </c>
      <c r="G368" s="10">
        <v>1.495</v>
      </c>
      <c r="H368" s="10"/>
      <c r="I368" s="9" t="s">
        <v>74</v>
      </c>
      <c r="J368" s="9" t="s">
        <v>2943</v>
      </c>
      <c r="K368" s="9" t="s">
        <v>2944</v>
      </c>
      <c r="L368" s="8" t="s">
        <v>2320</v>
      </c>
      <c r="M368" s="9" t="s">
        <v>49</v>
      </c>
      <c r="N368" s="9" t="s">
        <v>211</v>
      </c>
      <c r="O368" s="9">
        <f>HYPERLINK("https://www.google.com/maps/search/?api=1&amp;query=41.68069132,-4.74216753", "https://www.google.com/maps/search/?api=1&amp;query=41.68069132,-4.74216753")</f>
      </c>
      <c r="P368" s="9" t="s">
        <v>321</v>
      </c>
      <c r="Q368" s="9" t="s">
        <v>966</v>
      </c>
    </row>
    <row r="369" spans="1:17" x14ac:dyDescent="0.25">
      <c r="A369" s="8" t="s">
        <v>2945</v>
      </c>
      <c r="B369" s="8" t="s">
        <v>2946</v>
      </c>
      <c r="C369" s="9" t="s">
        <v>2947</v>
      </c>
      <c r="D369" s="9" t="s">
        <v>469</v>
      </c>
      <c r="E369" s="9" t="s">
        <v>2948</v>
      </c>
      <c r="F369" s="10">
        <v>1.359</v>
      </c>
      <c r="G369" s="10">
        <v>1.495</v>
      </c>
      <c r="H369" s="10"/>
      <c r="I369" s="9" t="s">
        <v>74</v>
      </c>
      <c r="J369" s="9" t="s">
        <v>2949</v>
      </c>
      <c r="K369" s="9" t="s">
        <v>2950</v>
      </c>
      <c r="L369" s="8" t="s">
        <v>2951</v>
      </c>
      <c r="M369" s="9" t="s">
        <v>49</v>
      </c>
      <c r="N369" s="9" t="s">
        <v>37</v>
      </c>
      <c r="O369" s="9">
        <f>HYPERLINK("https://www.google.com/maps/search/?api=1&amp;query=40.38419946,-5.76269046", "https://www.google.com/maps/search/?api=1&amp;query=40.38419946,-5.76269046")</f>
      </c>
      <c r="P369" s="9" t="s">
        <v>992</v>
      </c>
      <c r="Q369" s="9" t="s">
        <v>151</v>
      </c>
    </row>
    <row r="370" spans="1:17" x14ac:dyDescent="0.25">
      <c r="A370" s="8" t="s">
        <v>2952</v>
      </c>
      <c r="B370" s="8" t="s">
        <v>2953</v>
      </c>
      <c r="C370" s="9" t="s">
        <v>2954</v>
      </c>
      <c r="D370" s="9" t="s">
        <v>444</v>
      </c>
      <c r="E370" s="9" t="s">
        <v>2955</v>
      </c>
      <c r="F370" s="10">
        <v>1.359</v>
      </c>
      <c r="G370" s="10">
        <v>1.495</v>
      </c>
      <c r="H370" s="10"/>
      <c r="I370" s="9" t="s">
        <v>444</v>
      </c>
      <c r="J370" s="9" t="s">
        <v>2956</v>
      </c>
      <c r="K370" s="9" t="s">
        <v>2957</v>
      </c>
      <c r="L370" s="8" t="s">
        <v>2958</v>
      </c>
      <c r="M370" s="9" t="s">
        <v>49</v>
      </c>
      <c r="N370" s="9" t="s">
        <v>66</v>
      </c>
      <c r="O370" s="9">
        <f>HYPERLINK("https://www.google.com/maps/search/?api=1&amp;query=43.39399061,-5.77996739", "https://www.google.com/maps/search/?api=1&amp;query=43.39399061,-5.77996739")</f>
      </c>
      <c r="P370" s="9" t="s">
        <v>2480</v>
      </c>
      <c r="Q370" s="9" t="s">
        <v>2959</v>
      </c>
    </row>
    <row r="371" spans="1:17" x14ac:dyDescent="0.25">
      <c r="A371" s="8" t="s">
        <v>2960</v>
      </c>
      <c r="B371" s="8" t="s">
        <v>2961</v>
      </c>
      <c r="C371" s="9" t="s">
        <v>2962</v>
      </c>
      <c r="D371" s="9" t="s">
        <v>400</v>
      </c>
      <c r="E371" s="9" t="s">
        <v>2963</v>
      </c>
      <c r="F371" s="10">
        <v>1.359</v>
      </c>
      <c r="G371" s="10">
        <v>1.495</v>
      </c>
      <c r="H371" s="10"/>
      <c r="I371" s="9" t="s">
        <v>400</v>
      </c>
      <c r="J371" s="9" t="s">
        <v>2964</v>
      </c>
      <c r="K371" s="9" t="s">
        <v>2965</v>
      </c>
      <c r="L371" s="8" t="s">
        <v>2966</v>
      </c>
      <c r="M371" s="9" t="s">
        <v>36</v>
      </c>
      <c r="N371" s="9" t="s">
        <v>556</v>
      </c>
      <c r="O371" s="9">
        <f>HYPERLINK("https://www.google.com/maps/search/?api=1&amp;query=39.47202349,-1.01055807", "https://www.google.com/maps/search/?api=1&amp;query=39.47202349,-1.01055807")</f>
      </c>
      <c r="P371" s="9" t="s">
        <v>2967</v>
      </c>
      <c r="Q371" s="9" t="s">
        <v>2968</v>
      </c>
    </row>
    <row r="372" spans="1:17" x14ac:dyDescent="0.25">
      <c r="A372" s="8" t="s">
        <v>2969</v>
      </c>
      <c r="B372" s="8" t="s">
        <v>2970</v>
      </c>
      <c r="C372" s="9" t="s">
        <v>2971</v>
      </c>
      <c r="D372" s="9" t="s">
        <v>253</v>
      </c>
      <c r="E372" s="9" t="s">
        <v>2972</v>
      </c>
      <c r="F372" s="10">
        <v>1.359</v>
      </c>
      <c r="G372" s="10">
        <v>1.495</v>
      </c>
      <c r="H372" s="10"/>
      <c r="I372" s="9" t="s">
        <v>96</v>
      </c>
      <c r="J372" s="9" t="s">
        <v>2973</v>
      </c>
      <c r="K372" s="9" t="s">
        <v>2974</v>
      </c>
      <c r="L372" s="8" t="s">
        <v>2975</v>
      </c>
      <c r="M372" s="9" t="s">
        <v>49</v>
      </c>
      <c r="N372" s="9" t="s">
        <v>37</v>
      </c>
      <c r="O372" s="9">
        <f>HYPERLINK("https://www.google.com/maps/search/?api=1&amp;query=41.28874773,1.58963845", "https://www.google.com/maps/search/?api=1&amp;query=41.28874773,1.58963845")</f>
      </c>
      <c r="P372" s="9" t="s">
        <v>822</v>
      </c>
      <c r="Q372" s="9" t="s">
        <v>2976</v>
      </c>
    </row>
    <row r="373" spans="1:17" x14ac:dyDescent="0.25">
      <c r="A373" s="8" t="s">
        <v>2977</v>
      </c>
      <c r="B373" s="8" t="s">
        <v>2978</v>
      </c>
      <c r="C373" s="9" t="s">
        <v>2979</v>
      </c>
      <c r="D373" s="9" t="s">
        <v>1483</v>
      </c>
      <c r="E373" s="9" t="s">
        <v>2980</v>
      </c>
      <c r="F373" s="10">
        <v>1.359</v>
      </c>
      <c r="G373" s="10">
        <v>1.495</v>
      </c>
      <c r="H373" s="10"/>
      <c r="I373" s="9" t="s">
        <v>74</v>
      </c>
      <c r="J373" s="9" t="s">
        <v>2981</v>
      </c>
      <c r="K373" s="9" t="s">
        <v>2982</v>
      </c>
      <c r="L373" s="8" t="s">
        <v>2983</v>
      </c>
      <c r="M373" s="9" t="s">
        <v>49</v>
      </c>
      <c r="N373" s="9" t="s">
        <v>37</v>
      </c>
      <c r="O373" s="9">
        <f>HYPERLINK("https://www.google.com/maps/search/?api=1&amp;query=41.66267808,-3.69185346", "https://www.google.com/maps/search/?api=1&amp;query=41.66267808,-3.69185346")</f>
      </c>
      <c r="P373" s="9" t="s">
        <v>2984</v>
      </c>
      <c r="Q373" s="9" t="s">
        <v>512</v>
      </c>
    </row>
    <row r="374" spans="1:17" x14ac:dyDescent="0.25">
      <c r="A374" s="8" t="s">
        <v>2985</v>
      </c>
      <c r="B374" s="8" t="s">
        <v>2986</v>
      </c>
      <c r="C374" s="9" t="s">
        <v>2987</v>
      </c>
      <c r="D374" s="9" t="s">
        <v>409</v>
      </c>
      <c r="E374" s="9" t="s">
        <v>2988</v>
      </c>
      <c r="F374" s="10">
        <v>1.359</v>
      </c>
      <c r="G374" s="10">
        <v>1.495</v>
      </c>
      <c r="H374" s="10"/>
      <c r="I374" s="9" t="s">
        <v>292</v>
      </c>
      <c r="J374" s="9" t="s">
        <v>2989</v>
      </c>
      <c r="K374" s="9" t="s">
        <v>2990</v>
      </c>
      <c r="L374" s="8" t="s">
        <v>2991</v>
      </c>
      <c r="M374" s="9" t="s">
        <v>36</v>
      </c>
      <c r="N374" s="9" t="s">
        <v>211</v>
      </c>
      <c r="O374" s="9">
        <f>HYPERLINK("https://www.google.com/maps/search/?api=1&amp;query=41.11723612,-1.40619762", "https://www.google.com/maps/search/?api=1&amp;query=41.11723612,-1.40619762")</f>
      </c>
      <c r="P374" s="9" t="s">
        <v>493</v>
      </c>
      <c r="Q374" s="9" t="s">
        <v>2787</v>
      </c>
    </row>
    <row r="375" spans="1:17" x14ac:dyDescent="0.25">
      <c r="A375" s="8" t="s">
        <v>2992</v>
      </c>
      <c r="B375" s="8" t="s">
        <v>2993</v>
      </c>
      <c r="C375" s="9" t="s">
        <v>2994</v>
      </c>
      <c r="D375" s="9" t="s">
        <v>30</v>
      </c>
      <c r="E375" s="9" t="s">
        <v>30</v>
      </c>
      <c r="F375" s="10">
        <v>1.359</v>
      </c>
      <c r="G375" s="10">
        <v>1.495</v>
      </c>
      <c r="H375" s="10"/>
      <c r="I375" s="9" t="s">
        <v>32</v>
      </c>
      <c r="J375" s="9" t="s">
        <v>2995</v>
      </c>
      <c r="K375" s="9" t="s">
        <v>2996</v>
      </c>
      <c r="L375" s="8" t="s">
        <v>2997</v>
      </c>
      <c r="M375" s="9" t="s">
        <v>36</v>
      </c>
      <c r="N375" s="9" t="s">
        <v>88</v>
      </c>
      <c r="O375" s="9">
        <f>HYPERLINK("https://www.google.com/maps/search/?api=1&amp;query=38.90615124,-6.96610729", "https://www.google.com/maps/search/?api=1&amp;query=38.90615124,-6.96610729")</f>
      </c>
      <c r="P375" s="9" t="s">
        <v>182</v>
      </c>
      <c r="Q375" s="9" t="s">
        <v>2998</v>
      </c>
    </row>
    <row r="376" spans="1:17" x14ac:dyDescent="0.25">
      <c r="A376" s="8" t="s">
        <v>2999</v>
      </c>
      <c r="B376" s="8" t="s">
        <v>3000</v>
      </c>
      <c r="C376" s="9" t="s">
        <v>3001</v>
      </c>
      <c r="D376" s="9" t="s">
        <v>280</v>
      </c>
      <c r="E376" s="9" t="s">
        <v>2606</v>
      </c>
      <c r="F376" s="10">
        <v>1.359</v>
      </c>
      <c r="G376" s="10">
        <v>1.495</v>
      </c>
      <c r="H376" s="10"/>
      <c r="I376" s="9" t="s">
        <v>118</v>
      </c>
      <c r="J376" s="9" t="s">
        <v>3002</v>
      </c>
      <c r="K376" s="9" t="s">
        <v>3003</v>
      </c>
      <c r="L376" s="8" t="s">
        <v>2609</v>
      </c>
      <c r="M376" s="9" t="s">
        <v>36</v>
      </c>
      <c r="N376" s="9" t="s">
        <v>37</v>
      </c>
      <c r="O376" s="9">
        <f>HYPERLINK("https://www.google.com/maps/search/?api=1&amp;query=43.27799459,-1.97892417", "https://www.google.com/maps/search/?api=1&amp;query=43.27799459,-1.97892417")</f>
      </c>
      <c r="P376" s="9" t="s">
        <v>3004</v>
      </c>
      <c r="Q376" s="9" t="s">
        <v>3005</v>
      </c>
    </row>
    <row r="377" spans="1:17" x14ac:dyDescent="0.25">
      <c r="A377" s="8" t="s">
        <v>3006</v>
      </c>
      <c r="B377" s="8" t="s">
        <v>3007</v>
      </c>
      <c r="C377" s="9" t="s">
        <v>3008</v>
      </c>
      <c r="D377" s="9" t="s">
        <v>434</v>
      </c>
      <c r="E377" s="9" t="s">
        <v>3009</v>
      </c>
      <c r="F377" s="10">
        <v>1.359</v>
      </c>
      <c r="G377" s="10">
        <v>1.495</v>
      </c>
      <c r="H377" s="10"/>
      <c r="I377" s="9" t="s">
        <v>96</v>
      </c>
      <c r="J377" s="9" t="s">
        <v>3010</v>
      </c>
      <c r="K377" s="9" t="s">
        <v>3011</v>
      </c>
      <c r="L377" s="8" t="s">
        <v>3012</v>
      </c>
      <c r="M377" s="9" t="s">
        <v>49</v>
      </c>
      <c r="N377" s="9" t="s">
        <v>88</v>
      </c>
      <c r="O377" s="9">
        <f>HYPERLINK("https://www.google.com/maps/search/?api=1&amp;query=42.17192374,2.47871292", "https://www.google.com/maps/search/?api=1&amp;query=42.17192374,2.47871292")</f>
      </c>
      <c r="P377" s="9" t="s">
        <v>3013</v>
      </c>
      <c r="Q377" s="9" t="s">
        <v>1463</v>
      </c>
    </row>
    <row r="378" spans="1:17" x14ac:dyDescent="0.25">
      <c r="A378" s="8" t="s">
        <v>3014</v>
      </c>
      <c r="B378" s="8" t="s">
        <v>3015</v>
      </c>
      <c r="C378" s="9" t="s">
        <v>3016</v>
      </c>
      <c r="D378" s="9" t="s">
        <v>106</v>
      </c>
      <c r="E378" s="9" t="s">
        <v>1993</v>
      </c>
      <c r="F378" s="10">
        <v>1.359</v>
      </c>
      <c r="G378" s="10">
        <v>1.495</v>
      </c>
      <c r="H378" s="10"/>
      <c r="I378" s="9" t="s">
        <v>106</v>
      </c>
      <c r="J378" s="9" t="s">
        <v>3017</v>
      </c>
      <c r="K378" s="9" t="s">
        <v>3018</v>
      </c>
      <c r="L378" s="8" t="s">
        <v>1996</v>
      </c>
      <c r="M378" s="9" t="s">
        <v>36</v>
      </c>
      <c r="N378" s="9" t="s">
        <v>37</v>
      </c>
      <c r="O378" s="9">
        <f>HYPERLINK("https://www.google.com/maps/search/?api=1&amp;query=37.79465694,-1.42772429", "https://www.google.com/maps/search/?api=1&amp;query=37.79465694,-1.42772429")</f>
      </c>
      <c r="P378" s="9" t="s">
        <v>56</v>
      </c>
      <c r="Q378" s="9" t="s">
        <v>3019</v>
      </c>
    </row>
    <row r="379" spans="1:17" x14ac:dyDescent="0.25">
      <c r="A379" s="8" t="s">
        <v>3020</v>
      </c>
      <c r="B379" s="8" t="s">
        <v>3021</v>
      </c>
      <c r="C379" s="9" t="s">
        <v>3022</v>
      </c>
      <c r="D379" s="9" t="s">
        <v>94</v>
      </c>
      <c r="E379" s="9" t="s">
        <v>3023</v>
      </c>
      <c r="F379" s="10">
        <v>1.359</v>
      </c>
      <c r="G379" s="10">
        <v>1.495</v>
      </c>
      <c r="H379" s="10"/>
      <c r="I379" s="9" t="s">
        <v>96</v>
      </c>
      <c r="J379" s="9" t="s">
        <v>3024</v>
      </c>
      <c r="K379" s="9" t="s">
        <v>3025</v>
      </c>
      <c r="L379" s="8" t="s">
        <v>3026</v>
      </c>
      <c r="M379" s="9" t="s">
        <v>36</v>
      </c>
      <c r="N379" s="9" t="s">
        <v>88</v>
      </c>
      <c r="O379" s="9">
        <f>HYPERLINK("https://www.google.com/maps/search/?api=1&amp;query=41.80067099,1.89795676", "https://www.google.com/maps/search/?api=1&amp;query=41.80067099,1.89795676")</f>
      </c>
      <c r="P379" s="9" t="s">
        <v>1414</v>
      </c>
      <c r="Q379" s="9" t="s">
        <v>3027</v>
      </c>
    </row>
    <row r="380" spans="1:17" x14ac:dyDescent="0.25">
      <c r="A380" s="8" t="s">
        <v>3028</v>
      </c>
      <c r="B380" s="8" t="s">
        <v>3029</v>
      </c>
      <c r="C380" s="9" t="s">
        <v>3030</v>
      </c>
      <c r="D380" s="9" t="s">
        <v>116</v>
      </c>
      <c r="E380" s="9" t="s">
        <v>3031</v>
      </c>
      <c r="F380" s="10">
        <v>1.359</v>
      </c>
      <c r="G380" s="10">
        <v>1.495</v>
      </c>
      <c r="H380" s="10"/>
      <c r="I380" s="9" t="s">
        <v>118</v>
      </c>
      <c r="J380" s="9" t="s">
        <v>3032</v>
      </c>
      <c r="K380" s="9" t="s">
        <v>3033</v>
      </c>
      <c r="L380" s="8" t="s">
        <v>247</v>
      </c>
      <c r="M380" s="9" t="s">
        <v>49</v>
      </c>
      <c r="N380" s="9" t="s">
        <v>3034</v>
      </c>
      <c r="O380" s="9">
        <f>HYPERLINK("https://www.google.com/maps/search/?api=1&amp;query=43.2289276,-2.75325471", "https://www.google.com/maps/search/?api=1&amp;query=43.2289276,-2.75325471")</f>
      </c>
      <c r="P380" s="9" t="s">
        <v>3035</v>
      </c>
      <c r="Q380" s="9" t="s">
        <v>3036</v>
      </c>
    </row>
    <row r="381" spans="1:17" x14ac:dyDescent="0.25">
      <c r="A381" s="8" t="s">
        <v>3037</v>
      </c>
      <c r="B381" s="8" t="s">
        <v>3038</v>
      </c>
      <c r="C381" s="9" t="s">
        <v>3039</v>
      </c>
      <c r="D381" s="9" t="s">
        <v>1282</v>
      </c>
      <c r="E381" s="9" t="s">
        <v>1282</v>
      </c>
      <c r="F381" s="10">
        <v>1.359</v>
      </c>
      <c r="G381" s="10">
        <v>1.495</v>
      </c>
      <c r="H381" s="10"/>
      <c r="I381" s="9" t="s">
        <v>45</v>
      </c>
      <c r="J381" s="9" t="s">
        <v>3040</v>
      </c>
      <c r="K381" s="9" t="s">
        <v>3041</v>
      </c>
      <c r="L381" s="8" t="s">
        <v>3042</v>
      </c>
      <c r="M381" s="9" t="s">
        <v>36</v>
      </c>
      <c r="N381" s="9" t="s">
        <v>88</v>
      </c>
      <c r="O381" s="9">
        <f>HYPERLINK("https://www.google.com/maps/search/?api=1&amp;query=37.15105483,-3.59228099", "https://www.google.com/maps/search/?api=1&amp;query=37.15105483,-3.59228099")</f>
      </c>
      <c r="P381" s="9" t="s">
        <v>1479</v>
      </c>
      <c r="Q381" s="9" t="s">
        <v>286</v>
      </c>
    </row>
    <row r="382" spans="1:17" x14ac:dyDescent="0.25">
      <c r="A382" s="8" t="s">
        <v>3043</v>
      </c>
      <c r="B382" s="8" t="s">
        <v>3044</v>
      </c>
      <c r="C382" s="9" t="s">
        <v>3045</v>
      </c>
      <c r="D382" s="9" t="s">
        <v>197</v>
      </c>
      <c r="E382" s="9" t="s">
        <v>3046</v>
      </c>
      <c r="F382" s="10">
        <v>1.359</v>
      </c>
      <c r="G382" s="10">
        <v>1.495</v>
      </c>
      <c r="H382" s="10"/>
      <c r="I382" s="9" t="s">
        <v>168</v>
      </c>
      <c r="J382" s="9" t="s">
        <v>3047</v>
      </c>
      <c r="K382" s="9" t="s">
        <v>3048</v>
      </c>
      <c r="L382" s="8" t="s">
        <v>3049</v>
      </c>
      <c r="M382" s="9" t="s">
        <v>49</v>
      </c>
      <c r="N382" s="9" t="s">
        <v>3050</v>
      </c>
      <c r="O382" s="9">
        <f>HYPERLINK("https://www.google.com/maps/search/?api=1&amp;query=39.63908079,-4.46302294", "https://www.google.com/maps/search/?api=1&amp;query=39.63908079,-4.46302294")</f>
      </c>
      <c r="P382" s="9" t="s">
        <v>296</v>
      </c>
      <c r="Q382" s="9" t="s">
        <v>3051</v>
      </c>
    </row>
    <row r="383" spans="1:17" x14ac:dyDescent="0.25">
      <c r="A383" s="8" t="s">
        <v>3052</v>
      </c>
      <c r="B383" s="8" t="s">
        <v>3053</v>
      </c>
      <c r="C383" s="9" t="s">
        <v>3054</v>
      </c>
      <c r="D383" s="9" t="s">
        <v>1483</v>
      </c>
      <c r="E383" s="9" t="s">
        <v>3055</v>
      </c>
      <c r="F383" s="10">
        <v>1.359</v>
      </c>
      <c r="G383" s="10">
        <v>1.495</v>
      </c>
      <c r="H383" s="10"/>
      <c r="I383" s="9" t="s">
        <v>74</v>
      </c>
      <c r="J383" s="9" t="s">
        <v>3056</v>
      </c>
      <c r="K383" s="9" t="s">
        <v>3057</v>
      </c>
      <c r="L383" s="8" t="s">
        <v>3058</v>
      </c>
      <c r="M383" s="9" t="s">
        <v>36</v>
      </c>
      <c r="N383" s="9" t="s">
        <v>88</v>
      </c>
      <c r="O383" s="9">
        <f>HYPERLINK("https://www.google.com/maps/search/?api=1&amp;query=42.34124718,-3.61225858", "https://www.google.com/maps/search/?api=1&amp;query=42.34124718,-3.61225858")</f>
      </c>
      <c r="P383" s="9" t="s">
        <v>89</v>
      </c>
      <c r="Q383" s="9" t="s">
        <v>151</v>
      </c>
    </row>
    <row r="384" spans="1:17" x14ac:dyDescent="0.25">
      <c r="A384" s="8" t="s">
        <v>3059</v>
      </c>
      <c r="B384" s="8" t="s">
        <v>3060</v>
      </c>
      <c r="C384" s="9" t="s">
        <v>3061</v>
      </c>
      <c r="D384" s="9" t="s">
        <v>434</v>
      </c>
      <c r="E384" s="9" t="s">
        <v>3062</v>
      </c>
      <c r="F384" s="10">
        <v>1.359</v>
      </c>
      <c r="G384" s="10">
        <v>1.495</v>
      </c>
      <c r="H384" s="10"/>
      <c r="I384" s="9" t="s">
        <v>96</v>
      </c>
      <c r="J384" s="9" t="s">
        <v>3063</v>
      </c>
      <c r="K384" s="9" t="s">
        <v>3064</v>
      </c>
      <c r="L384" s="8" t="s">
        <v>3065</v>
      </c>
      <c r="M384" s="9" t="s">
        <v>49</v>
      </c>
      <c r="N384" s="9" t="s">
        <v>37</v>
      </c>
      <c r="O384" s="9">
        <f>HYPERLINK("https://www.google.com/maps/search/?api=1&amp;query=42.17345261,2.93016499", "https://www.google.com/maps/search/?api=1&amp;query=42.17345261,2.93016499")</f>
      </c>
      <c r="P384" s="9" t="s">
        <v>50</v>
      </c>
      <c r="Q384" s="9" t="s">
        <v>2976</v>
      </c>
    </row>
    <row r="385" spans="1:17" x14ac:dyDescent="0.25">
      <c r="A385" s="8" t="s">
        <v>3066</v>
      </c>
      <c r="B385" s="8" t="s">
        <v>3067</v>
      </c>
      <c r="C385" s="9" t="s">
        <v>3068</v>
      </c>
      <c r="D385" s="9" t="s">
        <v>344</v>
      </c>
      <c r="E385" s="9" t="s">
        <v>3069</v>
      </c>
      <c r="F385" s="10">
        <v>1.359</v>
      </c>
      <c r="G385" s="10">
        <v>1.495</v>
      </c>
      <c r="H385" s="10"/>
      <c r="I385" s="9" t="s">
        <v>140</v>
      </c>
      <c r="J385" s="9" t="s">
        <v>3070</v>
      </c>
      <c r="K385" s="9" t="s">
        <v>3071</v>
      </c>
      <c r="L385" s="8" t="s">
        <v>3072</v>
      </c>
      <c r="M385" s="9" t="s">
        <v>49</v>
      </c>
      <c r="N385" s="9" t="s">
        <v>37</v>
      </c>
      <c r="O385" s="9">
        <f>HYPERLINK("https://www.google.com/maps/search/?api=1&amp;query=43.24045245,-8.13495702", "https://www.google.com/maps/search/?api=1&amp;query=43.24045245,-8.13495702")</f>
      </c>
      <c r="P385" s="9" t="s">
        <v>172</v>
      </c>
      <c r="Q385" s="9" t="s">
        <v>3073</v>
      </c>
    </row>
    <row r="386" spans="1:17" x14ac:dyDescent="0.25">
      <c r="A386" s="8" t="s">
        <v>3074</v>
      </c>
      <c r="B386" s="8" t="s">
        <v>3075</v>
      </c>
      <c r="C386" s="9" t="s">
        <v>3076</v>
      </c>
      <c r="D386" s="9" t="s">
        <v>94</v>
      </c>
      <c r="E386" s="9" t="s">
        <v>3077</v>
      </c>
      <c r="F386" s="10">
        <v>1.359</v>
      </c>
      <c r="G386" s="10">
        <v>1.495</v>
      </c>
      <c r="H386" s="10"/>
      <c r="I386" s="9" t="s">
        <v>96</v>
      </c>
      <c r="J386" s="9" t="s">
        <v>3078</v>
      </c>
      <c r="K386" s="9" t="s">
        <v>3079</v>
      </c>
      <c r="L386" s="8" t="s">
        <v>3080</v>
      </c>
      <c r="M386" s="9" t="s">
        <v>36</v>
      </c>
      <c r="N386" s="9" t="s">
        <v>88</v>
      </c>
      <c r="O386" s="9">
        <f>HYPERLINK("https://www.google.com/maps/search/?api=1&amp;query=41.92908038,2.29881781", "https://www.google.com/maps/search/?api=1&amp;query=41.92908038,2.29881781")</f>
      </c>
      <c r="P386" s="9" t="s">
        <v>3081</v>
      </c>
      <c r="Q386" s="9" t="s">
        <v>3027</v>
      </c>
    </row>
    <row r="387" spans="1:17" x14ac:dyDescent="0.25">
      <c r="A387" s="8" t="s">
        <v>3082</v>
      </c>
      <c r="B387" s="8" t="s">
        <v>3083</v>
      </c>
      <c r="C387" s="9" t="s">
        <v>3084</v>
      </c>
      <c r="D387" s="9" t="s">
        <v>83</v>
      </c>
      <c r="E387" s="9" t="s">
        <v>3085</v>
      </c>
      <c r="F387" s="10">
        <v>1.359</v>
      </c>
      <c r="G387" s="10">
        <v>1.495</v>
      </c>
      <c r="H387" s="10"/>
      <c r="I387" s="9" t="s">
        <v>83</v>
      </c>
      <c r="J387" s="9" t="s">
        <v>3086</v>
      </c>
      <c r="K387" s="9" t="s">
        <v>3087</v>
      </c>
      <c r="L387" s="8" t="s">
        <v>3088</v>
      </c>
      <c r="M387" s="9" t="s">
        <v>100</v>
      </c>
      <c r="N387" s="9" t="s">
        <v>37</v>
      </c>
      <c r="O387" s="9">
        <f>HYPERLINK("https://www.google.com/maps/search/?api=1&amp;query=40.2460834,-3.6905277", "https://www.google.com/maps/search/?api=1&amp;query=40.2460834,-3.6905277")</f>
      </c>
      <c r="P387" s="9" t="s">
        <v>3089</v>
      </c>
      <c r="Q387" s="9" t="s">
        <v>3090</v>
      </c>
    </row>
    <row r="388" spans="1:17" x14ac:dyDescent="0.25">
      <c r="A388" s="8" t="s">
        <v>3091</v>
      </c>
      <c r="B388" s="8" t="s">
        <v>3092</v>
      </c>
      <c r="C388" s="9" t="s">
        <v>3093</v>
      </c>
      <c r="D388" s="9" t="s">
        <v>434</v>
      </c>
      <c r="E388" s="9" t="s">
        <v>3094</v>
      </c>
      <c r="F388" s="10">
        <v>1.359</v>
      </c>
      <c r="G388" s="10">
        <v>1.495</v>
      </c>
      <c r="H388" s="10"/>
      <c r="I388" s="9" t="s">
        <v>96</v>
      </c>
      <c r="J388" s="9" t="s">
        <v>3095</v>
      </c>
      <c r="K388" s="9" t="s">
        <v>3096</v>
      </c>
      <c r="L388" s="8" t="s">
        <v>3097</v>
      </c>
      <c r="M388" s="9" t="s">
        <v>49</v>
      </c>
      <c r="N388" s="9" t="s">
        <v>88</v>
      </c>
      <c r="O388" s="9">
        <f>HYPERLINK("https://www.google.com/maps/search/?api=1&amp;query=41.81337163,2.73818835", "https://www.google.com/maps/search/?api=1&amp;query=41.81337163,2.73818835")</f>
      </c>
      <c r="P388" s="9" t="s">
        <v>349</v>
      </c>
      <c r="Q388" s="9" t="s">
        <v>3098</v>
      </c>
    </row>
    <row r="389" spans="1:17" x14ac:dyDescent="0.25">
      <c r="A389" s="8" t="s">
        <v>3099</v>
      </c>
      <c r="B389" s="8" t="s">
        <v>3100</v>
      </c>
      <c r="C389" s="9" t="s">
        <v>3101</v>
      </c>
      <c r="D389" s="9" t="s">
        <v>280</v>
      </c>
      <c r="E389" s="9" t="s">
        <v>3102</v>
      </c>
      <c r="F389" s="10">
        <v>1.359</v>
      </c>
      <c r="G389" s="10">
        <v>1.495</v>
      </c>
      <c r="H389" s="10"/>
      <c r="I389" s="9" t="s">
        <v>118</v>
      </c>
      <c r="J389" s="9" t="s">
        <v>3103</v>
      </c>
      <c r="K389" s="9" t="s">
        <v>3104</v>
      </c>
      <c r="L389" s="8" t="s">
        <v>3105</v>
      </c>
      <c r="M389" s="9" t="s">
        <v>36</v>
      </c>
      <c r="N389" s="9" t="s">
        <v>37</v>
      </c>
      <c r="O389" s="9">
        <f>HYPERLINK("https://www.google.com/maps/search/?api=1&amp;query=43.01703491,-2.53534957", "https://www.google.com/maps/search/?api=1&amp;query=43.01703491,-2.53534957")</f>
      </c>
      <c r="P389" s="9" t="s">
        <v>1590</v>
      </c>
      <c r="Q389" s="9" t="s">
        <v>3106</v>
      </c>
    </row>
    <row r="390" spans="1:17" x14ac:dyDescent="0.25">
      <c r="A390" s="8" t="s">
        <v>3107</v>
      </c>
      <c r="B390" s="8" t="s">
        <v>3108</v>
      </c>
      <c r="C390" s="9" t="s">
        <v>3109</v>
      </c>
      <c r="D390" s="9" t="s">
        <v>94</v>
      </c>
      <c r="E390" s="9" t="s">
        <v>2776</v>
      </c>
      <c r="F390" s="10">
        <v>1.359</v>
      </c>
      <c r="G390" s="10">
        <v>1.495</v>
      </c>
      <c r="H390" s="10"/>
      <c r="I390" s="9" t="s">
        <v>96</v>
      </c>
      <c r="J390" s="9" t="s">
        <v>3110</v>
      </c>
      <c r="K390" s="9" t="s">
        <v>3111</v>
      </c>
      <c r="L390" s="8" t="s">
        <v>2779</v>
      </c>
      <c r="M390" s="9" t="s">
        <v>36</v>
      </c>
      <c r="N390" s="9" t="s">
        <v>88</v>
      </c>
      <c r="O390" s="9">
        <f>HYPERLINK("https://www.google.com/maps/search/?api=1&amp;query=41.59194944,2.34183097", "https://www.google.com/maps/search/?api=1&amp;query=41.59194944,2.34183097")</f>
      </c>
      <c r="P390" s="9" t="s">
        <v>3112</v>
      </c>
      <c r="Q390" s="9" t="s">
        <v>1496</v>
      </c>
    </row>
    <row r="391" spans="1:17" x14ac:dyDescent="0.25">
      <c r="A391" s="8" t="s">
        <v>3113</v>
      </c>
      <c r="B391" s="8" t="s">
        <v>3114</v>
      </c>
      <c r="C391" s="9" t="s">
        <v>3115</v>
      </c>
      <c r="D391" s="9" t="s">
        <v>488</v>
      </c>
      <c r="E391" s="9" t="s">
        <v>1609</v>
      </c>
      <c r="F391" s="10">
        <v>1.359</v>
      </c>
      <c r="G391" s="10">
        <v>1.495</v>
      </c>
      <c r="H391" s="10"/>
      <c r="I391" s="9" t="s">
        <v>45</v>
      </c>
      <c r="J391" s="9" t="s">
        <v>3116</v>
      </c>
      <c r="K391" s="9" t="s">
        <v>3117</v>
      </c>
      <c r="L391" s="8" t="s">
        <v>1612</v>
      </c>
      <c r="M391" s="9" t="s">
        <v>36</v>
      </c>
      <c r="N391" s="9" t="s">
        <v>37</v>
      </c>
      <c r="O391" s="9">
        <f>HYPERLINK("https://www.google.com/maps/search/?api=1&amp;query=38.02946759,-4.07976244", "https://www.google.com/maps/search/?api=1&amp;query=38.02946759,-4.07976244")</f>
      </c>
      <c r="P391" s="9" t="s">
        <v>3118</v>
      </c>
      <c r="Q391" s="9" t="s">
        <v>2827</v>
      </c>
    </row>
    <row r="392" spans="1:17" x14ac:dyDescent="0.25">
      <c r="A392" s="8" t="s">
        <v>3119</v>
      </c>
      <c r="B392" s="8" t="s">
        <v>3120</v>
      </c>
      <c r="C392" s="9" t="s">
        <v>3121</v>
      </c>
      <c r="D392" s="9" t="s">
        <v>919</v>
      </c>
      <c r="E392" s="9" t="s">
        <v>3122</v>
      </c>
      <c r="F392" s="10">
        <v>1.359</v>
      </c>
      <c r="G392" s="10">
        <v>1.495</v>
      </c>
      <c r="H392" s="10"/>
      <c r="I392" s="9" t="s">
        <v>118</v>
      </c>
      <c r="J392" s="9" t="s">
        <v>3123</v>
      </c>
      <c r="K392" s="9" t="s">
        <v>3124</v>
      </c>
      <c r="L392" s="8" t="s">
        <v>3125</v>
      </c>
      <c r="M392" s="9" t="s">
        <v>49</v>
      </c>
      <c r="N392" s="9" t="s">
        <v>645</v>
      </c>
      <c r="O392" s="9">
        <f>HYPERLINK("https://www.google.com/maps/search/?api=1&amp;query=42.84291758,-2.68217955", "https://www.google.com/maps/search/?api=1&amp;query=42.84291758,-2.68217955")</f>
      </c>
      <c r="P392" s="9" t="s">
        <v>3126</v>
      </c>
      <c r="Q392" s="9" t="s">
        <v>102</v>
      </c>
    </row>
    <row r="393" spans="1:17" x14ac:dyDescent="0.25">
      <c r="A393" s="8" t="s">
        <v>3127</v>
      </c>
      <c r="B393" s="8" t="s">
        <v>3128</v>
      </c>
      <c r="C393" s="9" t="s">
        <v>3129</v>
      </c>
      <c r="D393" s="9" t="s">
        <v>434</v>
      </c>
      <c r="E393" s="9" t="s">
        <v>3130</v>
      </c>
      <c r="F393" s="10">
        <v>1.359</v>
      </c>
      <c r="G393" s="10">
        <v>1.495</v>
      </c>
      <c r="H393" s="10"/>
      <c r="I393" s="9" t="s">
        <v>96</v>
      </c>
      <c r="J393" s="9" t="s">
        <v>3131</v>
      </c>
      <c r="K393" s="9" t="s">
        <v>3132</v>
      </c>
      <c r="L393" s="8" t="s">
        <v>3133</v>
      </c>
      <c r="M393" s="9" t="s">
        <v>36</v>
      </c>
      <c r="N393" s="9" t="s">
        <v>88</v>
      </c>
      <c r="O393" s="9">
        <f>HYPERLINK("https://www.google.com/maps/search/?api=1&amp;query=41.81619657,3.05090204", "https://www.google.com/maps/search/?api=1&amp;query=41.81619657,3.05090204")</f>
      </c>
      <c r="P393" s="9" t="s">
        <v>3134</v>
      </c>
      <c r="Q393" s="9" t="s">
        <v>2787</v>
      </c>
    </row>
    <row r="394" spans="1:17" x14ac:dyDescent="0.25">
      <c r="A394" s="8" t="s">
        <v>3135</v>
      </c>
      <c r="B394" s="8" t="s">
        <v>3136</v>
      </c>
      <c r="C394" s="9" t="s">
        <v>3137</v>
      </c>
      <c r="D394" s="9" t="s">
        <v>106</v>
      </c>
      <c r="E394" s="9" t="s">
        <v>1096</v>
      </c>
      <c r="F394" s="10">
        <v>1.359</v>
      </c>
      <c r="G394" s="10">
        <v>1.495</v>
      </c>
      <c r="H394" s="10"/>
      <c r="I394" s="9" t="s">
        <v>106</v>
      </c>
      <c r="J394" s="9" t="s">
        <v>3138</v>
      </c>
      <c r="K394" s="9" t="s">
        <v>3139</v>
      </c>
      <c r="L394" s="8" t="s">
        <v>1099</v>
      </c>
      <c r="M394" s="9" t="s">
        <v>49</v>
      </c>
      <c r="N394" s="9" t="s">
        <v>37</v>
      </c>
      <c r="O394" s="9">
        <f>HYPERLINK("https://www.google.com/maps/search/?api=1&amp;query=38.2364325,-1.39509964", "https://www.google.com/maps/search/?api=1&amp;query=38.2364325,-1.39509964")</f>
      </c>
      <c r="P394" s="9" t="s">
        <v>3140</v>
      </c>
      <c r="Q394" s="9" t="s">
        <v>2539</v>
      </c>
    </row>
    <row r="395" spans="1:17" x14ac:dyDescent="0.25">
      <c r="A395" s="8" t="s">
        <v>3141</v>
      </c>
      <c r="B395" s="8" t="s">
        <v>3142</v>
      </c>
      <c r="C395" s="9" t="s">
        <v>3143</v>
      </c>
      <c r="D395" s="9" t="s">
        <v>61</v>
      </c>
      <c r="E395" s="9" t="s">
        <v>61</v>
      </c>
      <c r="F395" s="10">
        <v>1.359</v>
      </c>
      <c r="G395" s="10">
        <v>1.495</v>
      </c>
      <c r="H395" s="10"/>
      <c r="I395" s="9" t="s">
        <v>45</v>
      </c>
      <c r="J395" s="9" t="s">
        <v>3144</v>
      </c>
      <c r="K395" s="9" t="s">
        <v>3145</v>
      </c>
      <c r="L395" s="8" t="s">
        <v>3146</v>
      </c>
      <c r="M395" s="9" t="s">
        <v>49</v>
      </c>
      <c r="N395" s="9" t="s">
        <v>37</v>
      </c>
      <c r="O395" s="9">
        <f>HYPERLINK("https://www.google.com/maps/search/?api=1&amp;query=37.41659272,-5.95526347", "https://www.google.com/maps/search/?api=1&amp;query=37.41659272,-5.95526347")</f>
      </c>
      <c r="P395" s="9" t="s">
        <v>3147</v>
      </c>
      <c r="Q395" s="9" t="s">
        <v>3148</v>
      </c>
    </row>
    <row r="396" spans="1:17" x14ac:dyDescent="0.25">
      <c r="A396" s="8" t="s">
        <v>3149</v>
      </c>
      <c r="B396" s="8" t="s">
        <v>3150</v>
      </c>
      <c r="C396" s="9" t="s">
        <v>3151</v>
      </c>
      <c r="D396" s="9" t="s">
        <v>344</v>
      </c>
      <c r="E396" s="9" t="s">
        <v>3152</v>
      </c>
      <c r="F396" s="10">
        <v>1.359</v>
      </c>
      <c r="G396" s="10">
        <v>1.495</v>
      </c>
      <c r="H396" s="10"/>
      <c r="I396" s="9" t="s">
        <v>140</v>
      </c>
      <c r="J396" s="9" t="s">
        <v>3153</v>
      </c>
      <c r="K396" s="9" t="s">
        <v>3154</v>
      </c>
      <c r="L396" s="8" t="s">
        <v>3155</v>
      </c>
      <c r="M396" s="9" t="s">
        <v>49</v>
      </c>
      <c r="N396" s="9" t="s">
        <v>211</v>
      </c>
      <c r="O396" s="9">
        <f>HYPERLINK("https://www.google.com/maps/search/?api=1&amp;query=43.335806,-8.423444", "https://www.google.com/maps/search/?api=1&amp;query=43.335806,-8.423444")</f>
      </c>
      <c r="P396" s="9" t="s">
        <v>880</v>
      </c>
      <c r="Q396" s="9" t="s">
        <v>3156</v>
      </c>
    </row>
    <row r="397" spans="1:17" x14ac:dyDescent="0.25">
      <c r="A397" s="8" t="s">
        <v>3157</v>
      </c>
      <c r="B397" s="8" t="s">
        <v>3158</v>
      </c>
      <c r="C397" s="9" t="s">
        <v>3159</v>
      </c>
      <c r="D397" s="9" t="s">
        <v>577</v>
      </c>
      <c r="E397" s="9" t="s">
        <v>3160</v>
      </c>
      <c r="F397" s="10">
        <v>1.359</v>
      </c>
      <c r="G397" s="10">
        <v>1.495</v>
      </c>
      <c r="H397" s="10"/>
      <c r="I397" s="9" t="s">
        <v>74</v>
      </c>
      <c r="J397" s="9" t="s">
        <v>3161</v>
      </c>
      <c r="K397" s="9" t="s">
        <v>3162</v>
      </c>
      <c r="L397" s="8" t="s">
        <v>3163</v>
      </c>
      <c r="M397" s="9" t="s">
        <v>36</v>
      </c>
      <c r="N397" s="9" t="s">
        <v>3164</v>
      </c>
      <c r="O397" s="9">
        <f>HYPERLINK("https://www.google.com/maps/search/?api=1&amp;query=40.66774404,-4.66011636", "https://www.google.com/maps/search/?api=1&amp;query=40.66774404,-4.66011636")</f>
      </c>
      <c r="P397" s="9" t="s">
        <v>3165</v>
      </c>
      <c r="Q397" s="9" t="s">
        <v>3166</v>
      </c>
    </row>
    <row r="398" spans="1:17" x14ac:dyDescent="0.25">
      <c r="A398" s="8" t="s">
        <v>3167</v>
      </c>
      <c r="B398" s="8" t="s">
        <v>3168</v>
      </c>
      <c r="C398" s="9" t="s">
        <v>3169</v>
      </c>
      <c r="D398" s="9" t="s">
        <v>116</v>
      </c>
      <c r="E398" s="9" t="s">
        <v>3170</v>
      </c>
      <c r="F398" s="10">
        <v>1.359</v>
      </c>
      <c r="G398" s="10">
        <v>1.495</v>
      </c>
      <c r="H398" s="10"/>
      <c r="I398" s="9" t="s">
        <v>118</v>
      </c>
      <c r="J398" s="9" t="s">
        <v>3171</v>
      </c>
      <c r="K398" s="9" t="s">
        <v>3172</v>
      </c>
      <c r="L398" s="8" t="s">
        <v>3173</v>
      </c>
      <c r="M398" s="9" t="s">
        <v>36</v>
      </c>
      <c r="N398" s="9" t="s">
        <v>88</v>
      </c>
      <c r="O398" s="9">
        <f>HYPERLINK("https://www.google.com/maps/search/?api=1&amp;query=43.41242388,-2.70305805", "https://www.google.com/maps/search/?api=1&amp;query=43.41242388,-2.70305805")</f>
      </c>
      <c r="P398" s="9" t="s">
        <v>3174</v>
      </c>
      <c r="Q398" s="9" t="s">
        <v>966</v>
      </c>
    </row>
    <row r="399" spans="1:17" x14ac:dyDescent="0.25">
      <c r="A399" s="8" t="s">
        <v>3175</v>
      </c>
      <c r="B399" s="8" t="s">
        <v>3176</v>
      </c>
      <c r="C399" s="9" t="s">
        <v>3177</v>
      </c>
      <c r="D399" s="9" t="s">
        <v>94</v>
      </c>
      <c r="E399" s="9" t="s">
        <v>1458</v>
      </c>
      <c r="F399" s="10">
        <v>1.359</v>
      </c>
      <c r="G399" s="10">
        <v>1.495</v>
      </c>
      <c r="H399" s="10"/>
      <c r="I399" s="9" t="s">
        <v>96</v>
      </c>
      <c r="J399" s="9" t="s">
        <v>3178</v>
      </c>
      <c r="K399" s="9" t="s">
        <v>3179</v>
      </c>
      <c r="L399" s="8" t="s">
        <v>1461</v>
      </c>
      <c r="M399" s="9" t="s">
        <v>36</v>
      </c>
      <c r="N399" s="9" t="s">
        <v>88</v>
      </c>
      <c r="O399" s="9">
        <f>HYPERLINK("https://www.google.com/maps/search/?api=1&amp;query=41.51424059,2.39464933", "https://www.google.com/maps/search/?api=1&amp;query=41.51424059,2.39464933")</f>
      </c>
      <c r="P399" s="9" t="s">
        <v>2093</v>
      </c>
      <c r="Q399" s="9" t="s">
        <v>112</v>
      </c>
    </row>
    <row r="400" spans="1:17" x14ac:dyDescent="0.25">
      <c r="A400" s="8" t="s">
        <v>3180</v>
      </c>
      <c r="B400" s="8" t="s">
        <v>3181</v>
      </c>
      <c r="C400" s="9" t="s">
        <v>3182</v>
      </c>
      <c r="D400" s="9" t="s">
        <v>128</v>
      </c>
      <c r="E400" s="9" t="s">
        <v>129</v>
      </c>
      <c r="F400" s="10">
        <v>1.359</v>
      </c>
      <c r="G400" s="10">
        <v>1.495</v>
      </c>
      <c r="H400" s="10"/>
      <c r="I400" s="9" t="s">
        <v>45</v>
      </c>
      <c r="J400" s="9" t="s">
        <v>3183</v>
      </c>
      <c r="K400" s="9" t="s">
        <v>3184</v>
      </c>
      <c r="L400" s="8" t="s">
        <v>3185</v>
      </c>
      <c r="M400" s="9" t="s">
        <v>49</v>
      </c>
      <c r="N400" s="9" t="s">
        <v>66</v>
      </c>
      <c r="O400" s="9">
        <f>HYPERLINK("https://www.google.com/maps/search/?api=1&amp;query=36.69007441,-6.12736213", "https://www.google.com/maps/search/?api=1&amp;query=36.69007441,-6.12736213")</f>
      </c>
      <c r="P400" s="9" t="s">
        <v>3186</v>
      </c>
      <c r="Q400" s="9" t="s">
        <v>740</v>
      </c>
    </row>
    <row r="401" spans="1:17" x14ac:dyDescent="0.25">
      <c r="A401" s="8" t="s">
        <v>3187</v>
      </c>
      <c r="B401" s="8" t="s">
        <v>3188</v>
      </c>
      <c r="C401" s="9" t="s">
        <v>3189</v>
      </c>
      <c r="D401" s="9" t="s">
        <v>83</v>
      </c>
      <c r="E401" s="9" t="s">
        <v>3190</v>
      </c>
      <c r="F401" s="10">
        <v>1.359</v>
      </c>
      <c r="G401" s="10">
        <v>1.495</v>
      </c>
      <c r="H401" s="10"/>
      <c r="I401" s="9" t="s">
        <v>83</v>
      </c>
      <c r="J401" s="9" t="s">
        <v>3191</v>
      </c>
      <c r="K401" s="9" t="s">
        <v>3192</v>
      </c>
      <c r="L401" s="8" t="s">
        <v>3193</v>
      </c>
      <c r="M401" s="9" t="s">
        <v>49</v>
      </c>
      <c r="N401" s="9" t="s">
        <v>66</v>
      </c>
      <c r="O401" s="9">
        <f>HYPERLINK("https://www.google.com/maps/search/?api=1&amp;query=40.64159712,-3.51058261", "https://www.google.com/maps/search/?api=1&amp;query=40.64159712,-3.51058261")</f>
      </c>
      <c r="P401" s="9" t="s">
        <v>3194</v>
      </c>
      <c r="Q401" s="9" t="s">
        <v>647</v>
      </c>
    </row>
    <row r="402" spans="1:17" x14ac:dyDescent="0.25">
      <c r="A402" s="8" t="s">
        <v>3195</v>
      </c>
      <c r="B402" s="8" t="s">
        <v>3196</v>
      </c>
      <c r="C402" s="9" t="s">
        <v>3197</v>
      </c>
      <c r="D402" s="9" t="s">
        <v>30</v>
      </c>
      <c r="E402" s="9" t="s">
        <v>3198</v>
      </c>
      <c r="F402" s="10">
        <v>1.359</v>
      </c>
      <c r="G402" s="10">
        <v>1.495</v>
      </c>
      <c r="H402" s="10"/>
      <c r="I402" s="9" t="s">
        <v>32</v>
      </c>
      <c r="J402" s="9" t="s">
        <v>3199</v>
      </c>
      <c r="K402" s="9" t="s">
        <v>3200</v>
      </c>
      <c r="L402" s="8" t="s">
        <v>3201</v>
      </c>
      <c r="M402" s="9" t="s">
        <v>49</v>
      </c>
      <c r="N402" s="9" t="s">
        <v>37</v>
      </c>
      <c r="O402" s="9">
        <f>HYPERLINK("https://www.google.com/maps/search/?api=1&amp;query=38.94755355,-6.18753472", "https://www.google.com/maps/search/?api=1&amp;query=38.94755355,-6.18753472")</f>
      </c>
      <c r="P402" s="9" t="s">
        <v>321</v>
      </c>
      <c r="Q402" s="9" t="s">
        <v>3202</v>
      </c>
    </row>
    <row r="403" spans="1:17" x14ac:dyDescent="0.25">
      <c r="A403" s="8" t="s">
        <v>3203</v>
      </c>
      <c r="B403" s="8" t="s">
        <v>3204</v>
      </c>
      <c r="C403" s="9" t="s">
        <v>3205</v>
      </c>
      <c r="D403" s="9" t="s">
        <v>128</v>
      </c>
      <c r="E403" s="9" t="s">
        <v>3206</v>
      </c>
      <c r="F403" s="10">
        <v>1.359</v>
      </c>
      <c r="G403" s="10">
        <v>1.495</v>
      </c>
      <c r="H403" s="10"/>
      <c r="I403" s="9" t="s">
        <v>45</v>
      </c>
      <c r="J403" s="9" t="s">
        <v>3207</v>
      </c>
      <c r="K403" s="9" t="s">
        <v>3208</v>
      </c>
      <c r="L403" s="8" t="s">
        <v>3209</v>
      </c>
      <c r="M403" s="9" t="s">
        <v>49</v>
      </c>
      <c r="N403" s="9" t="s">
        <v>88</v>
      </c>
      <c r="O403" s="9">
        <f>HYPERLINK("https://www.google.com/maps/search/?api=1&amp;query=36.49801662,-6.2724188", "https://www.google.com/maps/search/?api=1&amp;query=36.49801662,-6.2724188")</f>
      </c>
      <c r="P403" s="9" t="s">
        <v>1565</v>
      </c>
      <c r="Q403" s="9" t="s">
        <v>3210</v>
      </c>
    </row>
    <row r="404" spans="1:17" x14ac:dyDescent="0.25">
      <c r="A404" s="8" t="s">
        <v>3211</v>
      </c>
      <c r="B404" s="8" t="s">
        <v>3212</v>
      </c>
      <c r="C404" s="9" t="s">
        <v>3213</v>
      </c>
      <c r="D404" s="9" t="s">
        <v>2288</v>
      </c>
      <c r="E404" s="9" t="s">
        <v>3214</v>
      </c>
      <c r="F404" s="10">
        <v>1.359</v>
      </c>
      <c r="G404" s="10">
        <v>1.495</v>
      </c>
      <c r="H404" s="10"/>
      <c r="I404" s="9" t="s">
        <v>168</v>
      </c>
      <c r="J404" s="9" t="s">
        <v>3215</v>
      </c>
      <c r="K404" s="9" t="s">
        <v>3216</v>
      </c>
      <c r="L404" s="8" t="s">
        <v>3217</v>
      </c>
      <c r="M404" s="9" t="s">
        <v>100</v>
      </c>
      <c r="N404" s="9" t="s">
        <v>88</v>
      </c>
      <c r="O404" s="9">
        <f>HYPERLINK("https://www.google.com/maps/search/?api=1&amp;query=39.20093153,-2.1447009", "https://www.google.com/maps/search/?api=1&amp;query=39.20093153,-2.1447009")</f>
      </c>
      <c r="P404" s="9" t="s">
        <v>965</v>
      </c>
      <c r="Q404" s="9" t="s">
        <v>394</v>
      </c>
    </row>
    <row r="405" spans="1:17" x14ac:dyDescent="0.25">
      <c r="A405" s="8" t="s">
        <v>3218</v>
      </c>
      <c r="B405" s="8" t="s">
        <v>3219</v>
      </c>
      <c r="C405" s="9" t="s">
        <v>3220</v>
      </c>
      <c r="D405" s="9" t="s">
        <v>1434</v>
      </c>
      <c r="E405" s="9" t="s">
        <v>3221</v>
      </c>
      <c r="F405" s="10">
        <v>1.359</v>
      </c>
      <c r="G405" s="10">
        <v>1.495</v>
      </c>
      <c r="H405" s="10"/>
      <c r="I405" s="9" t="s">
        <v>1434</v>
      </c>
      <c r="J405" s="9" t="s">
        <v>3222</v>
      </c>
      <c r="K405" s="9" t="s">
        <v>3223</v>
      </c>
      <c r="L405" s="8" t="s">
        <v>3224</v>
      </c>
      <c r="M405" s="9" t="s">
        <v>49</v>
      </c>
      <c r="N405" s="9" t="s">
        <v>211</v>
      </c>
      <c r="O405" s="9">
        <f>HYPERLINK("https://www.google.com/maps/search/?api=1&amp;query=42.51159587,-2.75431833", "https://www.google.com/maps/search/?api=1&amp;query=42.51159587,-2.75431833")</f>
      </c>
      <c r="P405" s="9" t="s">
        <v>3225</v>
      </c>
      <c r="Q405" s="9" t="s">
        <v>3226</v>
      </c>
    </row>
    <row r="406" spans="1:17" x14ac:dyDescent="0.25">
      <c r="A406" s="8" t="s">
        <v>3227</v>
      </c>
      <c r="B406" s="8" t="s">
        <v>3228</v>
      </c>
      <c r="C406" s="9" t="s">
        <v>3229</v>
      </c>
      <c r="D406" s="9" t="s">
        <v>116</v>
      </c>
      <c r="E406" s="9" t="s">
        <v>3230</v>
      </c>
      <c r="F406" s="10">
        <v>1.359</v>
      </c>
      <c r="G406" s="10">
        <v>1.495</v>
      </c>
      <c r="H406" s="10"/>
      <c r="I406" s="9" t="s">
        <v>118</v>
      </c>
      <c r="J406" s="9" t="s">
        <v>3231</v>
      </c>
      <c r="K406" s="9" t="s">
        <v>3232</v>
      </c>
      <c r="L406" s="8" t="s">
        <v>3233</v>
      </c>
      <c r="M406" s="9" t="s">
        <v>100</v>
      </c>
      <c r="N406" s="9" t="s">
        <v>3234</v>
      </c>
      <c r="O406" s="9">
        <f>HYPERLINK("https://www.google.com/maps/search/?api=1&amp;query=43.30758569,-2.94495088", "https://www.google.com/maps/search/?api=1&amp;query=43.30758569,-2.94495088")</f>
      </c>
      <c r="P406" s="9" t="s">
        <v>1349</v>
      </c>
      <c r="Q406" s="9" t="s">
        <v>772</v>
      </c>
    </row>
    <row r="407" spans="1:17" x14ac:dyDescent="0.25">
      <c r="A407" s="8" t="s">
        <v>3235</v>
      </c>
      <c r="B407" s="8" t="s">
        <v>3236</v>
      </c>
      <c r="C407" s="9" t="s">
        <v>3237</v>
      </c>
      <c r="D407" s="9" t="s">
        <v>434</v>
      </c>
      <c r="E407" s="9" t="s">
        <v>3238</v>
      </c>
      <c r="F407" s="10">
        <v>1.359</v>
      </c>
      <c r="G407" s="10">
        <v>1.495</v>
      </c>
      <c r="H407" s="10"/>
      <c r="I407" s="9" t="s">
        <v>96</v>
      </c>
      <c r="J407" s="9" t="s">
        <v>3239</v>
      </c>
      <c r="K407" s="9" t="s">
        <v>3240</v>
      </c>
      <c r="L407" s="8" t="s">
        <v>3241</v>
      </c>
      <c r="M407" s="9" t="s">
        <v>49</v>
      </c>
      <c r="N407" s="9" t="s">
        <v>88</v>
      </c>
      <c r="O407" s="9">
        <f>HYPERLINK("https://www.google.com/maps/search/?api=1&amp;query=42.04812078,2.81946072", "https://www.google.com/maps/search/?api=1&amp;query=42.04812078,2.81946072")</f>
      </c>
      <c r="P407" s="9" t="s">
        <v>880</v>
      </c>
      <c r="Q407" s="9" t="s">
        <v>1496</v>
      </c>
    </row>
    <row r="408" spans="1:17" x14ac:dyDescent="0.25">
      <c r="A408" s="8" t="s">
        <v>3242</v>
      </c>
      <c r="B408" s="8" t="s">
        <v>3243</v>
      </c>
      <c r="C408" s="9" t="s">
        <v>3244</v>
      </c>
      <c r="D408" s="9" t="s">
        <v>2050</v>
      </c>
      <c r="E408" s="9" t="s">
        <v>3245</v>
      </c>
      <c r="F408" s="10">
        <v>1.359</v>
      </c>
      <c r="G408" s="10">
        <v>1.495</v>
      </c>
      <c r="H408" s="10"/>
      <c r="I408" s="9" t="s">
        <v>140</v>
      </c>
      <c r="J408" s="9" t="s">
        <v>3246</v>
      </c>
      <c r="K408" s="9" t="s">
        <v>3247</v>
      </c>
      <c r="L408" s="8" t="s">
        <v>3248</v>
      </c>
      <c r="M408" s="9" t="s">
        <v>49</v>
      </c>
      <c r="N408" s="9" t="s">
        <v>211</v>
      </c>
      <c r="O408" s="9">
        <f>HYPERLINK("https://www.google.com/maps/search/?api=1&amp;query=42.34200698,-7.83581478", "https://www.google.com/maps/search/?api=1&amp;query=42.34200698,-7.83581478")</f>
      </c>
      <c r="P408" s="9" t="s">
        <v>880</v>
      </c>
      <c r="Q408" s="9" t="s">
        <v>112</v>
      </c>
    </row>
    <row r="409" spans="1:17" x14ac:dyDescent="0.25">
      <c r="A409" s="8" t="s">
        <v>3249</v>
      </c>
      <c r="B409" s="8" t="s">
        <v>3250</v>
      </c>
      <c r="C409" s="9" t="s">
        <v>3251</v>
      </c>
      <c r="D409" s="9" t="s">
        <v>116</v>
      </c>
      <c r="E409" s="9" t="s">
        <v>244</v>
      </c>
      <c r="F409" s="10">
        <v>1.359</v>
      </c>
      <c r="G409" s="10">
        <v>1.495</v>
      </c>
      <c r="H409" s="10"/>
      <c r="I409" s="9" t="s">
        <v>118</v>
      </c>
      <c r="J409" s="9" t="s">
        <v>3252</v>
      </c>
      <c r="K409" s="9" t="s">
        <v>3253</v>
      </c>
      <c r="L409" s="8" t="s">
        <v>247</v>
      </c>
      <c r="M409" s="9" t="s">
        <v>36</v>
      </c>
      <c r="N409" s="9" t="s">
        <v>37</v>
      </c>
      <c r="O409" s="9">
        <f>HYPERLINK("https://www.google.com/maps/search/?api=1&amp;query=43.23007356,-2.75353069", "https://www.google.com/maps/search/?api=1&amp;query=43.23007356,-2.75353069")</f>
      </c>
      <c r="P409" s="9" t="s">
        <v>1067</v>
      </c>
      <c r="Q409" s="9" t="s">
        <v>3254</v>
      </c>
    </row>
    <row r="410" spans="1:17" x14ac:dyDescent="0.25">
      <c r="A410" s="8" t="s">
        <v>3255</v>
      </c>
      <c r="B410" s="8" t="s">
        <v>3256</v>
      </c>
      <c r="C410" s="9" t="s">
        <v>3257</v>
      </c>
      <c r="D410" s="9" t="s">
        <v>116</v>
      </c>
      <c r="E410" s="9" t="s">
        <v>1158</v>
      </c>
      <c r="F410" s="10">
        <v>1.359</v>
      </c>
      <c r="G410" s="10">
        <v>1.495</v>
      </c>
      <c r="H410" s="10"/>
      <c r="I410" s="9" t="s">
        <v>118</v>
      </c>
      <c r="J410" s="9" t="s">
        <v>1159</v>
      </c>
      <c r="K410" s="9" t="s">
        <v>3258</v>
      </c>
      <c r="L410" s="8" t="s">
        <v>1161</v>
      </c>
      <c r="M410" s="9" t="s">
        <v>49</v>
      </c>
      <c r="N410" s="9" t="s">
        <v>37</v>
      </c>
      <c r="O410" s="9">
        <f>HYPERLINK("https://www.google.com/maps/search/?api=1&amp;query=43.32925935,-3.06831508", "https://www.google.com/maps/search/?api=1&amp;query=43.32925935,-3.06831508")</f>
      </c>
      <c r="P410" s="9" t="s">
        <v>3259</v>
      </c>
      <c r="Q410" s="9" t="s">
        <v>3260</v>
      </c>
    </row>
    <row r="411" spans="1:17" x14ac:dyDescent="0.25">
      <c r="A411" s="8" t="s">
        <v>3261</v>
      </c>
      <c r="B411" s="8" t="s">
        <v>3262</v>
      </c>
      <c r="C411" s="9" t="s">
        <v>3263</v>
      </c>
      <c r="D411" s="9" t="s">
        <v>106</v>
      </c>
      <c r="E411" s="9" t="s">
        <v>106</v>
      </c>
      <c r="F411" s="10">
        <v>1.359</v>
      </c>
      <c r="G411" s="10">
        <v>1.495</v>
      </c>
      <c r="H411" s="10"/>
      <c r="I411" s="9" t="s">
        <v>106</v>
      </c>
      <c r="J411" s="9" t="s">
        <v>3264</v>
      </c>
      <c r="K411" s="9" t="s">
        <v>3265</v>
      </c>
      <c r="L411" s="8" t="s">
        <v>3266</v>
      </c>
      <c r="M411" s="9" t="s">
        <v>100</v>
      </c>
      <c r="N411" s="9" t="s">
        <v>211</v>
      </c>
      <c r="O411" s="9">
        <f>HYPERLINK("https://www.google.com/maps/search/?api=1&amp;query=38.0002197,-1.14486103", "https://www.google.com/maps/search/?api=1&amp;query=38.0002197,-1.14486103")</f>
      </c>
      <c r="P411" s="9" t="s">
        <v>419</v>
      </c>
      <c r="Q411" s="9" t="s">
        <v>3267</v>
      </c>
    </row>
    <row r="412" spans="1:17" x14ac:dyDescent="0.25">
      <c r="A412" s="8" t="s">
        <v>3268</v>
      </c>
      <c r="B412" s="8" t="s">
        <v>3269</v>
      </c>
      <c r="C412" s="9" t="s">
        <v>3270</v>
      </c>
      <c r="D412" s="9" t="s">
        <v>83</v>
      </c>
      <c r="E412" s="9" t="s">
        <v>83</v>
      </c>
      <c r="F412" s="10">
        <v>1.359</v>
      </c>
      <c r="G412" s="10">
        <v>1.495</v>
      </c>
      <c r="H412" s="10"/>
      <c r="I412" s="9" t="s">
        <v>83</v>
      </c>
      <c r="J412" s="9" t="s">
        <v>3271</v>
      </c>
      <c r="K412" s="9" t="s">
        <v>3272</v>
      </c>
      <c r="L412" s="8" t="s">
        <v>3273</v>
      </c>
      <c r="M412" s="9" t="s">
        <v>49</v>
      </c>
      <c r="N412" s="9" t="s">
        <v>88</v>
      </c>
      <c r="O412" s="9">
        <f>HYPERLINK("https://www.google.com/maps/search/?api=1&amp;query=40.46134175,-3.70842828", "https://www.google.com/maps/search/?api=1&amp;query=40.46134175,-3.70842828")</f>
      </c>
      <c r="P412" s="9" t="s">
        <v>608</v>
      </c>
      <c r="Q412" s="9" t="s">
        <v>3274</v>
      </c>
    </row>
    <row r="413" spans="1:17" x14ac:dyDescent="0.25">
      <c r="A413" s="8" t="s">
        <v>3275</v>
      </c>
      <c r="B413" s="8" t="s">
        <v>3276</v>
      </c>
      <c r="C413" s="9" t="s">
        <v>3277</v>
      </c>
      <c r="D413" s="9" t="s">
        <v>138</v>
      </c>
      <c r="E413" s="9" t="s">
        <v>3278</v>
      </c>
      <c r="F413" s="10">
        <v>1.359</v>
      </c>
      <c r="G413" s="10">
        <v>1.495</v>
      </c>
      <c r="H413" s="10"/>
      <c r="I413" s="9" t="s">
        <v>140</v>
      </c>
      <c r="J413" s="9" t="s">
        <v>3279</v>
      </c>
      <c r="K413" s="9" t="s">
        <v>3280</v>
      </c>
      <c r="L413" s="8" t="s">
        <v>3281</v>
      </c>
      <c r="M413" s="9" t="s">
        <v>36</v>
      </c>
      <c r="N413" s="9" t="s">
        <v>3282</v>
      </c>
      <c r="O413" s="9">
        <f>HYPERLINK("https://www.google.com/maps/search/?api=1&amp;query=42.5907173,-8.58856212", "https://www.google.com/maps/search/?api=1&amp;query=42.5907173,-8.58856212")</f>
      </c>
      <c r="P413" s="9" t="s">
        <v>1439</v>
      </c>
      <c r="Q413" s="9" t="s">
        <v>1131</v>
      </c>
    </row>
    <row r="414" spans="1:17" x14ac:dyDescent="0.25">
      <c r="A414" s="8" t="s">
        <v>3283</v>
      </c>
      <c r="B414" s="8" t="s">
        <v>3284</v>
      </c>
      <c r="C414" s="9" t="s">
        <v>3285</v>
      </c>
      <c r="D414" s="9" t="s">
        <v>187</v>
      </c>
      <c r="E414" s="9" t="s">
        <v>3286</v>
      </c>
      <c r="F414" s="10">
        <v>1.359</v>
      </c>
      <c r="G414" s="10">
        <v>1.495</v>
      </c>
      <c r="H414" s="10"/>
      <c r="I414" s="9" t="s">
        <v>74</v>
      </c>
      <c r="J414" s="9" t="s">
        <v>3287</v>
      </c>
      <c r="K414" s="9" t="s">
        <v>3288</v>
      </c>
      <c r="L414" s="8" t="s">
        <v>3289</v>
      </c>
      <c r="M414" s="9" t="s">
        <v>49</v>
      </c>
      <c r="N414" s="9" t="s">
        <v>211</v>
      </c>
      <c r="O414" s="9">
        <f>HYPERLINK("https://www.google.com/maps/search/?api=1&amp;query=42.80990511,-5.13086814", "https://www.google.com/maps/search/?api=1&amp;query=42.80990511,-5.13086814")</f>
      </c>
      <c r="P414" s="9" t="s">
        <v>880</v>
      </c>
      <c r="Q414" s="9" t="s">
        <v>1727</v>
      </c>
    </row>
    <row r="415" spans="1:17" x14ac:dyDescent="0.25">
      <c r="A415" s="8" t="s">
        <v>3290</v>
      </c>
      <c r="B415" s="8" t="s">
        <v>3291</v>
      </c>
      <c r="C415" s="9" t="s">
        <v>3292</v>
      </c>
      <c r="D415" s="9" t="s">
        <v>400</v>
      </c>
      <c r="E415" s="9" t="s">
        <v>3293</v>
      </c>
      <c r="F415" s="10">
        <v>1.359</v>
      </c>
      <c r="G415" s="10">
        <v>1.495</v>
      </c>
      <c r="H415" s="10"/>
      <c r="I415" s="9" t="s">
        <v>400</v>
      </c>
      <c r="J415" s="9" t="s">
        <v>3294</v>
      </c>
      <c r="K415" s="9" t="s">
        <v>3295</v>
      </c>
      <c r="L415" s="8" t="s">
        <v>3296</v>
      </c>
      <c r="M415" s="9" t="s">
        <v>49</v>
      </c>
      <c r="N415" s="9" t="s">
        <v>88</v>
      </c>
      <c r="O415" s="9">
        <f>HYPERLINK("https://www.google.com/maps/search/?api=1&amp;query=39.44071121,-0.42676243", "https://www.google.com/maps/search/?api=1&amp;query=39.44071121,-0.42676243")</f>
      </c>
      <c r="P415" s="9" t="s">
        <v>557</v>
      </c>
      <c r="Q415" s="9" t="s">
        <v>2719</v>
      </c>
    </row>
    <row r="416" spans="1:17" x14ac:dyDescent="0.25">
      <c r="A416" s="8" t="s">
        <v>3297</v>
      </c>
      <c r="B416" s="8" t="s">
        <v>3298</v>
      </c>
      <c r="C416" s="9" t="s">
        <v>3299</v>
      </c>
      <c r="D416" s="9" t="s">
        <v>94</v>
      </c>
      <c r="E416" s="9" t="s">
        <v>94</v>
      </c>
      <c r="F416" s="10">
        <v>1.359</v>
      </c>
      <c r="G416" s="10">
        <v>1.495</v>
      </c>
      <c r="H416" s="10"/>
      <c r="I416" s="9" t="s">
        <v>96</v>
      </c>
      <c r="J416" s="9" t="s">
        <v>3300</v>
      </c>
      <c r="K416" s="9" t="s">
        <v>3301</v>
      </c>
      <c r="L416" s="8" t="s">
        <v>3302</v>
      </c>
      <c r="M416" s="9" t="s">
        <v>49</v>
      </c>
      <c r="N416" s="9" t="s">
        <v>37</v>
      </c>
      <c r="O416" s="9">
        <f>HYPERLINK("https://www.google.com/maps/search/?api=1&amp;query=41.43479508,2.17257824", "https://www.google.com/maps/search/?api=1&amp;query=41.43479508,2.17257824")</f>
      </c>
      <c r="P416" s="9" t="s">
        <v>172</v>
      </c>
      <c r="Q416" s="9" t="s">
        <v>112</v>
      </c>
    </row>
    <row r="417" spans="1:17" x14ac:dyDescent="0.25">
      <c r="A417" s="8" t="s">
        <v>3303</v>
      </c>
      <c r="B417" s="8" t="s">
        <v>3304</v>
      </c>
      <c r="C417" s="9" t="s">
        <v>3305</v>
      </c>
      <c r="D417" s="9" t="s">
        <v>187</v>
      </c>
      <c r="E417" s="9" t="s">
        <v>3306</v>
      </c>
      <c r="F417" s="10">
        <v>1.359</v>
      </c>
      <c r="G417" s="10">
        <v>1.495</v>
      </c>
      <c r="H417" s="10"/>
      <c r="I417" s="9" t="s">
        <v>74</v>
      </c>
      <c r="J417" s="9" t="s">
        <v>3307</v>
      </c>
      <c r="K417" s="9" t="s">
        <v>3308</v>
      </c>
      <c r="L417" s="8" t="s">
        <v>3309</v>
      </c>
      <c r="M417" s="9" t="s">
        <v>49</v>
      </c>
      <c r="N417" s="9" t="s">
        <v>211</v>
      </c>
      <c r="O417" s="9">
        <f>HYPERLINK("https://www.google.com/maps/search/?api=1&amp;query=42.4599023,-6.06408942", "https://www.google.com/maps/search/?api=1&amp;query=42.4599023,-6.06408942")</f>
      </c>
      <c r="P417" s="9" t="s">
        <v>3310</v>
      </c>
      <c r="Q417" s="9" t="s">
        <v>3311</v>
      </c>
    </row>
    <row r="418" spans="1:17" x14ac:dyDescent="0.25">
      <c r="A418" s="8" t="s">
        <v>3312</v>
      </c>
      <c r="B418" s="8" t="s">
        <v>3313</v>
      </c>
      <c r="C418" s="9" t="s">
        <v>3314</v>
      </c>
      <c r="D418" s="9" t="s">
        <v>128</v>
      </c>
      <c r="E418" s="9" t="s">
        <v>129</v>
      </c>
      <c r="F418" s="10">
        <v>1.359</v>
      </c>
      <c r="G418" s="10">
        <v>1.495</v>
      </c>
      <c r="H418" s="10"/>
      <c r="I418" s="9" t="s">
        <v>45</v>
      </c>
      <c r="J418" s="9" t="s">
        <v>3315</v>
      </c>
      <c r="K418" s="9" t="s">
        <v>3316</v>
      </c>
      <c r="L418" s="8" t="s">
        <v>1802</v>
      </c>
      <c r="M418" s="9" t="s">
        <v>49</v>
      </c>
      <c r="N418" s="9" t="s">
        <v>339</v>
      </c>
      <c r="O418" s="9">
        <f>HYPERLINK("https://www.google.com/maps/search/?api=1&amp;query=36.70556985,-6.11638009", "https://www.google.com/maps/search/?api=1&amp;query=36.70556985,-6.11638009")</f>
      </c>
      <c r="P418" s="9" t="s">
        <v>3317</v>
      </c>
      <c r="Q418" s="9" t="s">
        <v>3318</v>
      </c>
    </row>
    <row r="419" spans="1:17" x14ac:dyDescent="0.25">
      <c r="A419" s="8" t="s">
        <v>3319</v>
      </c>
      <c r="B419" s="8" t="s">
        <v>3320</v>
      </c>
      <c r="C419" s="9" t="s">
        <v>3321</v>
      </c>
      <c r="D419" s="9" t="s">
        <v>43</v>
      </c>
      <c r="E419" s="9" t="s">
        <v>3322</v>
      </c>
      <c r="F419" s="10">
        <v>1.359</v>
      </c>
      <c r="G419" s="10">
        <v>1.495</v>
      </c>
      <c r="H419" s="10"/>
      <c r="I419" s="9" t="s">
        <v>45</v>
      </c>
      <c r="J419" s="9" t="s">
        <v>3323</v>
      </c>
      <c r="K419" s="9" t="s">
        <v>3324</v>
      </c>
      <c r="L419" s="8" t="s">
        <v>3325</v>
      </c>
      <c r="M419" s="9" t="s">
        <v>49</v>
      </c>
      <c r="N419" s="9" t="s">
        <v>3326</v>
      </c>
      <c r="O419" s="9">
        <f>HYPERLINK("https://www.google.com/maps/search/?api=1&amp;query=37.39791326,-6.4847249", "https://www.google.com/maps/search/?api=1&amp;query=37.39791326,-6.4847249")</f>
      </c>
      <c r="P419" s="9" t="s">
        <v>3327</v>
      </c>
      <c r="Q419" s="9" t="s">
        <v>522</v>
      </c>
    </row>
    <row r="420" spans="1:17" x14ac:dyDescent="0.25">
      <c r="A420" s="8" t="s">
        <v>3328</v>
      </c>
      <c r="B420" s="8" t="s">
        <v>3329</v>
      </c>
      <c r="C420" s="9" t="s">
        <v>3330</v>
      </c>
      <c r="D420" s="9" t="s">
        <v>400</v>
      </c>
      <c r="E420" s="9" t="s">
        <v>1570</v>
      </c>
      <c r="F420" s="10">
        <v>1.359</v>
      </c>
      <c r="G420" s="10">
        <v>1.495</v>
      </c>
      <c r="H420" s="10"/>
      <c r="I420" s="9" t="s">
        <v>400</v>
      </c>
      <c r="J420" s="9" t="s">
        <v>3331</v>
      </c>
      <c r="K420" s="9" t="s">
        <v>3332</v>
      </c>
      <c r="L420" s="8" t="s">
        <v>1573</v>
      </c>
      <c r="M420" s="9" t="s">
        <v>49</v>
      </c>
      <c r="N420" s="9" t="s">
        <v>37</v>
      </c>
      <c r="O420" s="9">
        <f>HYPERLINK("https://www.google.com/maps/search/?api=1&amp;query=39.15373421,-0.52773086", "https://www.google.com/maps/search/?api=1&amp;query=39.15373421,-0.52773086")</f>
      </c>
      <c r="P420" s="9" t="s">
        <v>680</v>
      </c>
      <c r="Q420" s="9" t="s">
        <v>1162</v>
      </c>
    </row>
    <row r="421" spans="1:17" x14ac:dyDescent="0.25">
      <c r="A421" s="8" t="s">
        <v>3333</v>
      </c>
      <c r="B421" s="8" t="s">
        <v>3334</v>
      </c>
      <c r="C421" s="9" t="s">
        <v>3335</v>
      </c>
      <c r="D421" s="9" t="s">
        <v>398</v>
      </c>
      <c r="E421" s="9" t="s">
        <v>3336</v>
      </c>
      <c r="F421" s="10">
        <v>1.359</v>
      </c>
      <c r="G421" s="10">
        <v>1.495</v>
      </c>
      <c r="H421" s="10"/>
      <c r="I421" s="9" t="s">
        <v>400</v>
      </c>
      <c r="J421" s="9" t="s">
        <v>3337</v>
      </c>
      <c r="K421" s="9" t="s">
        <v>3338</v>
      </c>
      <c r="L421" s="8" t="s">
        <v>3339</v>
      </c>
      <c r="M421" s="9" t="s">
        <v>49</v>
      </c>
      <c r="N421" s="9" t="s">
        <v>88</v>
      </c>
      <c r="O421" s="9">
        <f>HYPERLINK("https://www.google.com/maps/search/?api=1&amp;query=38.58132723,-0.10556507", "https://www.google.com/maps/search/?api=1&amp;query=38.58132723,-0.10556507")</f>
      </c>
      <c r="P421" s="9" t="s">
        <v>182</v>
      </c>
      <c r="Q421" s="9" t="s">
        <v>3340</v>
      </c>
    </row>
    <row r="422" spans="1:17" x14ac:dyDescent="0.25">
      <c r="A422" s="8" t="s">
        <v>3341</v>
      </c>
      <c r="B422" s="8" t="s">
        <v>3342</v>
      </c>
      <c r="C422" s="9" t="s">
        <v>3343</v>
      </c>
      <c r="D422" s="9" t="s">
        <v>83</v>
      </c>
      <c r="E422" s="9" t="s">
        <v>2891</v>
      </c>
      <c r="F422" s="10">
        <v>1.359</v>
      </c>
      <c r="G422" s="10">
        <v>1.495</v>
      </c>
      <c r="H422" s="10"/>
      <c r="I422" s="9" t="s">
        <v>83</v>
      </c>
      <c r="J422" s="9" t="s">
        <v>3344</v>
      </c>
      <c r="K422" s="9" t="s">
        <v>3345</v>
      </c>
      <c r="L422" s="8" t="s">
        <v>2894</v>
      </c>
      <c r="M422" s="9" t="s">
        <v>49</v>
      </c>
      <c r="N422" s="9" t="s">
        <v>37</v>
      </c>
      <c r="O422" s="9">
        <f>HYPERLINK("https://www.google.com/maps/search/?api=1&amp;query=40.47610876,-3.39315829", "https://www.google.com/maps/search/?api=1&amp;query=40.47610876,-3.39315829")</f>
      </c>
      <c r="P422" s="9" t="s">
        <v>3346</v>
      </c>
      <c r="Q422" s="9" t="s">
        <v>697</v>
      </c>
    </row>
    <row r="423" spans="1:17" x14ac:dyDescent="0.25">
      <c r="A423" s="8" t="s">
        <v>3347</v>
      </c>
      <c r="B423" s="8" t="s">
        <v>3348</v>
      </c>
      <c r="C423" s="9" t="s">
        <v>3349</v>
      </c>
      <c r="D423" s="9" t="s">
        <v>253</v>
      </c>
      <c r="E423" s="9" t="s">
        <v>3350</v>
      </c>
      <c r="F423" s="10">
        <v>1.359</v>
      </c>
      <c r="G423" s="10">
        <v>1.495</v>
      </c>
      <c r="H423" s="10"/>
      <c r="I423" s="9" t="s">
        <v>96</v>
      </c>
      <c r="J423" s="9" t="s">
        <v>3351</v>
      </c>
      <c r="K423" s="9" t="s">
        <v>3352</v>
      </c>
      <c r="L423" s="8" t="s">
        <v>3353</v>
      </c>
      <c r="M423" s="9" t="s">
        <v>49</v>
      </c>
      <c r="N423" s="9" t="s">
        <v>88</v>
      </c>
      <c r="O423" s="9">
        <f>HYPERLINK("https://www.google.com/maps/search/?api=1&amp;query=41.27887636,1.49546842", "https://www.google.com/maps/search/?api=1&amp;query=41.27887636,1.49546842")</f>
      </c>
      <c r="P423" s="9" t="s">
        <v>493</v>
      </c>
      <c r="Q423" s="9" t="s">
        <v>1534</v>
      </c>
    </row>
    <row r="424" spans="1:17" x14ac:dyDescent="0.25">
      <c r="A424" s="8" t="s">
        <v>3354</v>
      </c>
      <c r="B424" s="8" t="s">
        <v>3355</v>
      </c>
      <c r="C424" s="9" t="s">
        <v>3356</v>
      </c>
      <c r="D424" s="9" t="s">
        <v>197</v>
      </c>
      <c r="E424" s="9" t="s">
        <v>3357</v>
      </c>
      <c r="F424" s="10">
        <v>1.359</v>
      </c>
      <c r="G424" s="10">
        <v>1.495</v>
      </c>
      <c r="H424" s="10"/>
      <c r="I424" s="9" t="s">
        <v>168</v>
      </c>
      <c r="J424" s="9" t="s">
        <v>3358</v>
      </c>
      <c r="K424" s="9" t="s">
        <v>3359</v>
      </c>
      <c r="L424" s="8" t="s">
        <v>3360</v>
      </c>
      <c r="M424" s="9" t="s">
        <v>49</v>
      </c>
      <c r="N424" s="9" t="s">
        <v>3361</v>
      </c>
      <c r="O424" s="9">
        <f>HYPERLINK("https://www.google.com/maps/search/?api=1&amp;query=40.10088909,-3.83512216", "https://www.google.com/maps/search/?api=1&amp;query=40.10088909,-3.83512216")</f>
      </c>
      <c r="P424" s="9" t="s">
        <v>1067</v>
      </c>
      <c r="Q424" s="9" t="s">
        <v>3362</v>
      </c>
    </row>
    <row r="425" spans="1:17" x14ac:dyDescent="0.25">
      <c r="A425" s="8" t="s">
        <v>3363</v>
      </c>
      <c r="B425" s="8" t="s">
        <v>3364</v>
      </c>
      <c r="C425" s="9" t="s">
        <v>3365</v>
      </c>
      <c r="D425" s="9" t="s">
        <v>94</v>
      </c>
      <c r="E425" s="9" t="s">
        <v>3366</v>
      </c>
      <c r="F425" s="10">
        <v>1.359</v>
      </c>
      <c r="G425" s="10">
        <v>1.495</v>
      </c>
      <c r="H425" s="10"/>
      <c r="I425" s="9" t="s">
        <v>96</v>
      </c>
      <c r="J425" s="9" t="s">
        <v>3367</v>
      </c>
      <c r="K425" s="9" t="s">
        <v>3368</v>
      </c>
      <c r="L425" s="8" t="s">
        <v>3369</v>
      </c>
      <c r="M425" s="9" t="s">
        <v>36</v>
      </c>
      <c r="N425" s="9" t="s">
        <v>88</v>
      </c>
      <c r="O425" s="9">
        <f>HYPERLINK("https://www.google.com/maps/search/?api=1&amp;query=41.745833,1.580083", "https://www.google.com/maps/search/?api=1&amp;query=41.745833,1.580083")</f>
      </c>
      <c r="P425" s="9" t="s">
        <v>3370</v>
      </c>
      <c r="Q425" s="9" t="s">
        <v>1591</v>
      </c>
    </row>
    <row r="426" spans="1:17" x14ac:dyDescent="0.25">
      <c r="A426" s="8" t="s">
        <v>3371</v>
      </c>
      <c r="B426" s="8" t="s">
        <v>3372</v>
      </c>
      <c r="C426" s="9" t="s">
        <v>3373</v>
      </c>
      <c r="D426" s="9" t="s">
        <v>155</v>
      </c>
      <c r="E426" s="9" t="s">
        <v>2394</v>
      </c>
      <c r="F426" s="10">
        <v>1.359</v>
      </c>
      <c r="G426" s="10">
        <v>1.495</v>
      </c>
      <c r="H426" s="10"/>
      <c r="I426" s="9" t="s">
        <v>157</v>
      </c>
      <c r="J426" s="9" t="s">
        <v>3374</v>
      </c>
      <c r="K426" s="9" t="s">
        <v>3375</v>
      </c>
      <c r="L426" s="8" t="s">
        <v>3376</v>
      </c>
      <c r="M426" s="9" t="s">
        <v>49</v>
      </c>
      <c r="N426" s="9" t="s">
        <v>3377</v>
      </c>
      <c r="O426" s="9">
        <f>HYPERLINK("https://www.google.com/maps/search/?api=1&amp;query=39.58294959,2.63076667", "https://www.google.com/maps/search/?api=1&amp;query=39.58294959,2.63076667")</f>
      </c>
      <c r="P426" s="9" t="s">
        <v>3378</v>
      </c>
      <c r="Q426" s="9" t="s">
        <v>3379</v>
      </c>
    </row>
    <row r="427" spans="1:17" x14ac:dyDescent="0.25">
      <c r="A427" s="8" t="s">
        <v>3380</v>
      </c>
      <c r="B427" s="8" t="s">
        <v>3381</v>
      </c>
      <c r="C427" s="9" t="s">
        <v>3382</v>
      </c>
      <c r="D427" s="9" t="s">
        <v>83</v>
      </c>
      <c r="E427" s="9" t="s">
        <v>83</v>
      </c>
      <c r="F427" s="10">
        <v>1.359</v>
      </c>
      <c r="G427" s="10">
        <v>1.495</v>
      </c>
      <c r="H427" s="10"/>
      <c r="I427" s="9" t="s">
        <v>83</v>
      </c>
      <c r="J427" s="9" t="s">
        <v>3383</v>
      </c>
      <c r="K427" s="9" t="s">
        <v>3384</v>
      </c>
      <c r="L427" s="8" t="s">
        <v>1219</v>
      </c>
      <c r="M427" s="9" t="s">
        <v>36</v>
      </c>
      <c r="N427" s="9" t="s">
        <v>645</v>
      </c>
      <c r="O427" s="9">
        <f>HYPERLINK("https://www.google.com/maps/search/?api=1&amp;query=40.46408117,-3.57557829", "https://www.google.com/maps/search/?api=1&amp;query=40.46408117,-3.57557829")</f>
      </c>
      <c r="P427" s="9" t="s">
        <v>3126</v>
      </c>
      <c r="Q427" s="9" t="s">
        <v>112</v>
      </c>
    </row>
    <row r="428" spans="1:17" x14ac:dyDescent="0.25">
      <c r="A428" s="8" t="s">
        <v>3385</v>
      </c>
      <c r="B428" s="8" t="s">
        <v>3386</v>
      </c>
      <c r="C428" s="9" t="s">
        <v>3387</v>
      </c>
      <c r="D428" s="9" t="s">
        <v>1282</v>
      </c>
      <c r="E428" s="9" t="s">
        <v>3388</v>
      </c>
      <c r="F428" s="10">
        <v>1.359</v>
      </c>
      <c r="G428" s="10">
        <v>1.495</v>
      </c>
      <c r="H428" s="10"/>
      <c r="I428" s="9" t="s">
        <v>45</v>
      </c>
      <c r="J428" s="9" t="s">
        <v>3389</v>
      </c>
      <c r="K428" s="9" t="s">
        <v>3390</v>
      </c>
      <c r="L428" s="8" t="s">
        <v>3391</v>
      </c>
      <c r="M428" s="9" t="s">
        <v>36</v>
      </c>
      <c r="N428" s="9" t="s">
        <v>211</v>
      </c>
      <c r="O428" s="9">
        <f>HYPERLINK("https://www.google.com/maps/search/?api=1&amp;query=37.16455374,-4.13706709", "https://www.google.com/maps/search/?api=1&amp;query=37.16455374,-4.13706709")</f>
      </c>
      <c r="P428" s="9" t="s">
        <v>636</v>
      </c>
      <c r="Q428" s="9" t="s">
        <v>2959</v>
      </c>
    </row>
    <row r="429" spans="1:17" x14ac:dyDescent="0.25">
      <c r="A429" s="8" t="s">
        <v>3392</v>
      </c>
      <c r="B429" s="8" t="s">
        <v>3393</v>
      </c>
      <c r="C429" s="9" t="s">
        <v>3394</v>
      </c>
      <c r="D429" s="9" t="s">
        <v>808</v>
      </c>
      <c r="E429" s="9" t="s">
        <v>3395</v>
      </c>
      <c r="F429" s="10">
        <v>1.359</v>
      </c>
      <c r="G429" s="10">
        <v>1.495</v>
      </c>
      <c r="H429" s="10"/>
      <c r="I429" s="9" t="s">
        <v>808</v>
      </c>
      <c r="J429" s="9" t="s">
        <v>3396</v>
      </c>
      <c r="K429" s="9" t="s">
        <v>3397</v>
      </c>
      <c r="L429" s="8" t="s">
        <v>3398</v>
      </c>
      <c r="M429" s="9" t="s">
        <v>49</v>
      </c>
      <c r="N429" s="9" t="s">
        <v>3399</v>
      </c>
      <c r="O429" s="9">
        <f>HYPERLINK("https://www.google.com/maps/search/?api=1&amp;query=43.43328226,-3.91766663", "https://www.google.com/maps/search/?api=1&amp;query=43.43328226,-3.91766663")</f>
      </c>
      <c r="P429" s="9" t="s">
        <v>3400</v>
      </c>
      <c r="Q429" s="9" t="s">
        <v>1278</v>
      </c>
    </row>
    <row r="430" spans="1:17" x14ac:dyDescent="0.25">
      <c r="A430" s="8" t="s">
        <v>3401</v>
      </c>
      <c r="B430" s="8" t="s">
        <v>3402</v>
      </c>
      <c r="C430" s="9" t="s">
        <v>3403</v>
      </c>
      <c r="D430" s="9" t="s">
        <v>444</v>
      </c>
      <c r="E430" s="9" t="s">
        <v>3404</v>
      </c>
      <c r="F430" s="10">
        <v>1.359</v>
      </c>
      <c r="G430" s="10">
        <v>1.495</v>
      </c>
      <c r="H430" s="10"/>
      <c r="I430" s="9" t="s">
        <v>444</v>
      </c>
      <c r="J430" s="9" t="s">
        <v>3405</v>
      </c>
      <c r="K430" s="9" t="s">
        <v>3406</v>
      </c>
      <c r="L430" s="8" t="s">
        <v>3407</v>
      </c>
      <c r="M430" s="9" t="s">
        <v>49</v>
      </c>
      <c r="N430" s="9" t="s">
        <v>3408</v>
      </c>
      <c r="O430" s="9">
        <f>HYPERLINK("https://www.google.com/maps/search/?api=1&amp;query=43.54758385,-5.87131508", "https://www.google.com/maps/search/?api=1&amp;query=43.54758385,-5.87131508")</f>
      </c>
      <c r="P430" s="9" t="s">
        <v>521</v>
      </c>
      <c r="Q430" s="9" t="s">
        <v>1278</v>
      </c>
    </row>
    <row r="431" spans="1:17" x14ac:dyDescent="0.25">
      <c r="A431" s="8" t="s">
        <v>3409</v>
      </c>
      <c r="B431" s="8" t="s">
        <v>3410</v>
      </c>
      <c r="C431" s="9" t="s">
        <v>3411</v>
      </c>
      <c r="D431" s="9" t="s">
        <v>344</v>
      </c>
      <c r="E431" s="9" t="s">
        <v>3412</v>
      </c>
      <c r="F431" s="10">
        <v>1.359</v>
      </c>
      <c r="G431" s="10">
        <v>1.495</v>
      </c>
      <c r="H431" s="10"/>
      <c r="I431" s="9" t="s">
        <v>140</v>
      </c>
      <c r="J431" s="9" t="s">
        <v>3413</v>
      </c>
      <c r="K431" s="9" t="s">
        <v>3414</v>
      </c>
      <c r="L431" s="8" t="s">
        <v>3415</v>
      </c>
      <c r="M431" s="9" t="s">
        <v>36</v>
      </c>
      <c r="N431" s="9" t="s">
        <v>37</v>
      </c>
      <c r="O431" s="9">
        <f>HYPERLINK("https://www.google.com/maps/search/?api=1&amp;query=42.60788069,-8.96383021", "https://www.google.com/maps/search/?api=1&amp;query=42.60788069,-8.96383021")</f>
      </c>
      <c r="P431" s="9" t="s">
        <v>1590</v>
      </c>
      <c r="Q431" s="9" t="s">
        <v>102</v>
      </c>
    </row>
    <row r="432" spans="1:17" x14ac:dyDescent="0.25">
      <c r="A432" s="8" t="s">
        <v>3416</v>
      </c>
      <c r="B432" s="8" t="s">
        <v>3417</v>
      </c>
      <c r="C432" s="9" t="s">
        <v>3418</v>
      </c>
      <c r="D432" s="9" t="s">
        <v>106</v>
      </c>
      <c r="E432" s="9" t="s">
        <v>3419</v>
      </c>
      <c r="F432" s="10">
        <v>1.359</v>
      </c>
      <c r="G432" s="10">
        <v>1.495</v>
      </c>
      <c r="H432" s="10"/>
      <c r="I432" s="9" t="s">
        <v>106</v>
      </c>
      <c r="J432" s="9" t="s">
        <v>3420</v>
      </c>
      <c r="K432" s="9" t="s">
        <v>3421</v>
      </c>
      <c r="L432" s="8" t="s">
        <v>3422</v>
      </c>
      <c r="M432" s="9" t="s">
        <v>36</v>
      </c>
      <c r="N432" s="9" t="s">
        <v>211</v>
      </c>
      <c r="O432" s="9">
        <f>HYPERLINK("https://www.google.com/maps/search/?api=1&amp;query=37.5802772,-1.23809373", "https://www.google.com/maps/search/?api=1&amp;query=37.5802772,-1.23809373")</f>
      </c>
      <c r="P432" s="9" t="s">
        <v>696</v>
      </c>
      <c r="Q432" s="9" t="s">
        <v>3423</v>
      </c>
    </row>
    <row r="433" spans="1:17" x14ac:dyDescent="0.25">
      <c r="A433" s="8" t="s">
        <v>3424</v>
      </c>
      <c r="B433" s="8" t="s">
        <v>3425</v>
      </c>
      <c r="C433" s="9" t="s">
        <v>3426</v>
      </c>
      <c r="D433" s="9" t="s">
        <v>61</v>
      </c>
      <c r="E433" s="9" t="s">
        <v>1986</v>
      </c>
      <c r="F433" s="10">
        <v>1.359</v>
      </c>
      <c r="G433" s="10">
        <v>1.495</v>
      </c>
      <c r="H433" s="10"/>
      <c r="I433" s="9" t="s">
        <v>45</v>
      </c>
      <c r="J433" s="9" t="s">
        <v>1987</v>
      </c>
      <c r="K433" s="9" t="s">
        <v>3427</v>
      </c>
      <c r="L433" s="8" t="s">
        <v>1989</v>
      </c>
      <c r="M433" s="9" t="s">
        <v>36</v>
      </c>
      <c r="N433" s="9" t="s">
        <v>3428</v>
      </c>
      <c r="O433" s="9">
        <f>HYPERLINK("https://www.google.com/maps/search/?api=1&amp;query=37.37085265,-5.75759279", "https://www.google.com/maps/search/?api=1&amp;query=37.37085265,-5.75759279")</f>
      </c>
      <c r="P433" s="9" t="s">
        <v>1803</v>
      </c>
      <c r="Q433" s="9" t="s">
        <v>3429</v>
      </c>
    </row>
    <row r="434" spans="1:17" x14ac:dyDescent="0.25">
      <c r="A434" s="8" t="s">
        <v>3430</v>
      </c>
      <c r="B434" s="8" t="s">
        <v>3431</v>
      </c>
      <c r="C434" s="9" t="s">
        <v>3432</v>
      </c>
      <c r="D434" s="9" t="s">
        <v>128</v>
      </c>
      <c r="E434" s="9" t="s">
        <v>129</v>
      </c>
      <c r="F434" s="10">
        <v>1.359</v>
      </c>
      <c r="G434" s="10">
        <v>1.495</v>
      </c>
      <c r="H434" s="10"/>
      <c r="I434" s="9" t="s">
        <v>45</v>
      </c>
      <c r="J434" s="9" t="s">
        <v>3433</v>
      </c>
      <c r="K434" s="9" t="s">
        <v>3434</v>
      </c>
      <c r="L434" s="8" t="s">
        <v>3435</v>
      </c>
      <c r="M434" s="9" t="s">
        <v>100</v>
      </c>
      <c r="N434" s="9" t="s">
        <v>3436</v>
      </c>
      <c r="O434" s="9">
        <f>HYPERLINK("https://www.google.com/maps/search/?api=1&amp;query=36.65965293,-6.1301356", "https://www.google.com/maps/search/?api=1&amp;query=36.65965293,-6.1301356")</f>
      </c>
      <c r="P434" s="9" t="s">
        <v>3437</v>
      </c>
      <c r="Q434" s="9" t="s">
        <v>3438</v>
      </c>
    </row>
    <row r="435" spans="1:17" x14ac:dyDescent="0.25">
      <c r="A435" s="8" t="s">
        <v>3439</v>
      </c>
      <c r="B435" s="8" t="s">
        <v>3440</v>
      </c>
      <c r="C435" s="9" t="s">
        <v>3441</v>
      </c>
      <c r="D435" s="9" t="s">
        <v>30</v>
      </c>
      <c r="E435" s="9" t="s">
        <v>1969</v>
      </c>
      <c r="F435" s="10">
        <v>1.359</v>
      </c>
      <c r="G435" s="10">
        <v>1.495</v>
      </c>
      <c r="H435" s="10"/>
      <c r="I435" s="9" t="s">
        <v>32</v>
      </c>
      <c r="J435" s="9" t="s">
        <v>1970</v>
      </c>
      <c r="K435" s="9" t="s">
        <v>3442</v>
      </c>
      <c r="L435" s="8" t="s">
        <v>1972</v>
      </c>
      <c r="M435" s="9" t="s">
        <v>36</v>
      </c>
      <c r="N435" s="9" t="s">
        <v>66</v>
      </c>
      <c r="O435" s="9">
        <f>HYPERLINK("https://www.google.com/maps/search/?api=1&amp;query=38.93790315,-6.36221302", "https://www.google.com/maps/search/?api=1&amp;query=38.93790315,-6.36221302")</f>
      </c>
      <c r="P435" s="9" t="s">
        <v>3443</v>
      </c>
      <c r="Q435" s="9" t="s">
        <v>3444</v>
      </c>
    </row>
    <row r="436" spans="1:17" x14ac:dyDescent="0.25">
      <c r="A436" s="8" t="s">
        <v>3445</v>
      </c>
      <c r="B436" s="8" t="s">
        <v>3446</v>
      </c>
      <c r="C436" s="9" t="s">
        <v>3447</v>
      </c>
      <c r="D436" s="9" t="s">
        <v>116</v>
      </c>
      <c r="E436" s="9" t="s">
        <v>3448</v>
      </c>
      <c r="F436" s="10">
        <v>1.359</v>
      </c>
      <c r="G436" s="10">
        <v>1.495</v>
      </c>
      <c r="H436" s="10"/>
      <c r="I436" s="9" t="s">
        <v>118</v>
      </c>
      <c r="J436" s="9" t="s">
        <v>3449</v>
      </c>
      <c r="K436" s="9" t="s">
        <v>3450</v>
      </c>
      <c r="L436" s="8" t="s">
        <v>3451</v>
      </c>
      <c r="M436" s="9" t="s">
        <v>100</v>
      </c>
      <c r="N436" s="9" t="s">
        <v>88</v>
      </c>
      <c r="O436" s="9">
        <f>HYPERLINK("https://www.google.com/maps/search/?api=1&amp;query=43.29885716,-3.00270715", "https://www.google.com/maps/search/?api=1&amp;query=43.29885716,-3.00270715")</f>
      </c>
      <c r="P436" s="9" t="s">
        <v>1364</v>
      </c>
      <c r="Q436" s="9" t="s">
        <v>3452</v>
      </c>
    </row>
    <row r="437" spans="1:17" x14ac:dyDescent="0.25">
      <c r="A437" s="8" t="s">
        <v>3453</v>
      </c>
      <c r="B437" s="8" t="s">
        <v>3454</v>
      </c>
      <c r="C437" s="9" t="s">
        <v>3455</v>
      </c>
      <c r="D437" s="9" t="s">
        <v>344</v>
      </c>
      <c r="E437" s="9" t="s">
        <v>2572</v>
      </c>
      <c r="F437" s="10">
        <v>1.359</v>
      </c>
      <c r="G437" s="10">
        <v>1.495</v>
      </c>
      <c r="H437" s="10"/>
      <c r="I437" s="9" t="s">
        <v>140</v>
      </c>
      <c r="J437" s="9" t="s">
        <v>3456</v>
      </c>
      <c r="K437" s="9" t="s">
        <v>3457</v>
      </c>
      <c r="L437" s="8" t="s">
        <v>3458</v>
      </c>
      <c r="M437" s="9" t="s">
        <v>49</v>
      </c>
      <c r="N437" s="9" t="s">
        <v>211</v>
      </c>
      <c r="O437" s="9">
        <f>HYPERLINK("https://www.google.com/maps/search/?api=1&amp;query=42.86186722,-8.5419592", "https://www.google.com/maps/search/?api=1&amp;query=42.86186722,-8.5419592")</f>
      </c>
      <c r="P437" s="9" t="s">
        <v>521</v>
      </c>
      <c r="Q437" s="9" t="s">
        <v>3459</v>
      </c>
    </row>
    <row r="438" spans="1:17" x14ac:dyDescent="0.25">
      <c r="A438" s="8" t="s">
        <v>3460</v>
      </c>
      <c r="B438" s="8" t="s">
        <v>3461</v>
      </c>
      <c r="C438" s="9" t="s">
        <v>3462</v>
      </c>
      <c r="D438" s="9" t="s">
        <v>1560</v>
      </c>
      <c r="E438" s="9" t="s">
        <v>3463</v>
      </c>
      <c r="F438" s="10">
        <v>1.359</v>
      </c>
      <c r="G438" s="10">
        <v>1.495</v>
      </c>
      <c r="H438" s="10"/>
      <c r="I438" s="9" t="s">
        <v>400</v>
      </c>
      <c r="J438" s="9" t="s">
        <v>3464</v>
      </c>
      <c r="K438" s="9" t="s">
        <v>3465</v>
      </c>
      <c r="L438" s="8" t="s">
        <v>3466</v>
      </c>
      <c r="M438" s="9" t="s">
        <v>49</v>
      </c>
      <c r="N438" s="9" t="s">
        <v>3467</v>
      </c>
      <c r="O438" s="9">
        <f>HYPERLINK("https://www.google.com/maps/search/?api=1&amp;query=39.97155568,-0.05379445", "https://www.google.com/maps/search/?api=1&amp;query=39.97155568,-0.05379445")</f>
      </c>
      <c r="P438" s="9" t="s">
        <v>1524</v>
      </c>
      <c r="Q438" s="9" t="s">
        <v>1188</v>
      </c>
    </row>
    <row r="439" spans="1:17" x14ac:dyDescent="0.25">
      <c r="A439" s="8" t="s">
        <v>3468</v>
      </c>
      <c r="B439" s="8" t="s">
        <v>3469</v>
      </c>
      <c r="C439" s="9" t="s">
        <v>3470</v>
      </c>
      <c r="D439" s="9" t="s">
        <v>424</v>
      </c>
      <c r="E439" s="9" t="s">
        <v>424</v>
      </c>
      <c r="F439" s="10">
        <v>1.359</v>
      </c>
      <c r="G439" s="10">
        <v>1.495</v>
      </c>
      <c r="H439" s="10"/>
      <c r="I439" s="9" t="s">
        <v>96</v>
      </c>
      <c r="J439" s="9" t="s">
        <v>3471</v>
      </c>
      <c r="K439" s="9" t="s">
        <v>3472</v>
      </c>
      <c r="L439" s="8" t="s">
        <v>3473</v>
      </c>
      <c r="M439" s="9" t="s">
        <v>36</v>
      </c>
      <c r="N439" s="9" t="s">
        <v>88</v>
      </c>
      <c r="O439" s="9">
        <f>HYPERLINK("https://www.google.com/maps/search/?api=1&amp;query=41.61071375,0.66291862", "https://www.google.com/maps/search/?api=1&amp;query=41.61071375,0.66291862")</f>
      </c>
      <c r="P439" s="9" t="s">
        <v>3474</v>
      </c>
      <c r="Q439" s="9" t="s">
        <v>3475</v>
      </c>
    </row>
    <row r="440" spans="1:17" x14ac:dyDescent="0.25">
      <c r="A440" s="8" t="s">
        <v>3476</v>
      </c>
      <c r="B440" s="8" t="s">
        <v>3477</v>
      </c>
      <c r="C440" s="9" t="s">
        <v>3478</v>
      </c>
      <c r="D440" s="9" t="s">
        <v>307</v>
      </c>
      <c r="E440" s="9" t="s">
        <v>3479</v>
      </c>
      <c r="F440" s="10">
        <v>1.359</v>
      </c>
      <c r="G440" s="10">
        <v>1.495</v>
      </c>
      <c r="H440" s="10"/>
      <c r="I440" s="9" t="s">
        <v>74</v>
      </c>
      <c r="J440" s="9" t="s">
        <v>3480</v>
      </c>
      <c r="K440" s="9" t="s">
        <v>3481</v>
      </c>
      <c r="L440" s="8" t="s">
        <v>3482</v>
      </c>
      <c r="M440" s="9" t="s">
        <v>36</v>
      </c>
      <c r="N440" s="9" t="s">
        <v>3483</v>
      </c>
      <c r="O440" s="9">
        <f>HYPERLINK("https://www.google.com/maps/search/?api=1&amp;query=42.01879591,-5.849225", "https://www.google.com/maps/search/?api=1&amp;query=42.01879591,-5.849225")</f>
      </c>
      <c r="P440" s="9" t="s">
        <v>144</v>
      </c>
      <c r="Q440" s="9" t="s">
        <v>3202</v>
      </c>
    </row>
    <row r="441" spans="1:17" x14ac:dyDescent="0.25">
      <c r="A441" s="8" t="s">
        <v>3484</v>
      </c>
      <c r="B441" s="8" t="s">
        <v>3485</v>
      </c>
      <c r="C441" s="9" t="s">
        <v>3486</v>
      </c>
      <c r="D441" s="9" t="s">
        <v>83</v>
      </c>
      <c r="E441" s="9" t="s">
        <v>3487</v>
      </c>
      <c r="F441" s="10">
        <v>1.359</v>
      </c>
      <c r="G441" s="10">
        <v>1.495</v>
      </c>
      <c r="H441" s="10"/>
      <c r="I441" s="9" t="s">
        <v>83</v>
      </c>
      <c r="J441" s="9" t="s">
        <v>3488</v>
      </c>
      <c r="K441" s="9" t="s">
        <v>3489</v>
      </c>
      <c r="L441" s="8" t="s">
        <v>3490</v>
      </c>
      <c r="M441" s="9" t="s">
        <v>49</v>
      </c>
      <c r="N441" s="9" t="s">
        <v>37</v>
      </c>
      <c r="O441" s="9">
        <f>HYPERLINK("https://www.google.com/maps/search/?api=1&amp;query=40.3357013,-3.81125629", "https://www.google.com/maps/search/?api=1&amp;query=40.3357013,-3.81125629")</f>
      </c>
      <c r="P441" s="9" t="s">
        <v>3491</v>
      </c>
      <c r="Q441" s="9" t="s">
        <v>1982</v>
      </c>
    </row>
    <row r="442" spans="1:17" x14ac:dyDescent="0.25">
      <c r="A442" s="8" t="s">
        <v>3492</v>
      </c>
      <c r="B442" s="8" t="s">
        <v>3493</v>
      </c>
      <c r="C442" s="9" t="s">
        <v>3494</v>
      </c>
      <c r="D442" s="9" t="s">
        <v>808</v>
      </c>
      <c r="E442" s="9" t="s">
        <v>3495</v>
      </c>
      <c r="F442" s="10">
        <v>1.359</v>
      </c>
      <c r="G442" s="10">
        <v>1.495</v>
      </c>
      <c r="H442" s="10"/>
      <c r="I442" s="9" t="s">
        <v>808</v>
      </c>
      <c r="J442" s="9" t="s">
        <v>3496</v>
      </c>
      <c r="K442" s="9" t="s">
        <v>3497</v>
      </c>
      <c r="L442" s="8" t="s">
        <v>3498</v>
      </c>
      <c r="M442" s="9" t="s">
        <v>49</v>
      </c>
      <c r="N442" s="9" t="s">
        <v>37</v>
      </c>
      <c r="O442" s="9">
        <f>HYPERLINK("https://www.google.com/maps/search/?api=1&amp;query=43.33495766,-4.3296733", "https://www.google.com/maps/search/?api=1&amp;query=43.33495766,-4.3296733")</f>
      </c>
      <c r="P442" s="9" t="s">
        <v>78</v>
      </c>
      <c r="Q442" s="9" t="s">
        <v>3499</v>
      </c>
    </row>
    <row r="443" spans="1:17" x14ac:dyDescent="0.25">
      <c r="A443" s="8" t="s">
        <v>3500</v>
      </c>
      <c r="B443" s="8" t="s">
        <v>3501</v>
      </c>
      <c r="C443" s="9" t="s">
        <v>3502</v>
      </c>
      <c r="D443" s="9" t="s">
        <v>155</v>
      </c>
      <c r="E443" s="9" t="s">
        <v>3503</v>
      </c>
      <c r="F443" s="10">
        <v>1.359</v>
      </c>
      <c r="G443" s="10">
        <v>1.495</v>
      </c>
      <c r="H443" s="10"/>
      <c r="I443" s="9" t="s">
        <v>157</v>
      </c>
      <c r="J443" s="9" t="s">
        <v>3504</v>
      </c>
      <c r="K443" s="9" t="s">
        <v>3505</v>
      </c>
      <c r="L443" s="8" t="s">
        <v>3506</v>
      </c>
      <c r="M443" s="9" t="s">
        <v>36</v>
      </c>
      <c r="N443" s="9" t="s">
        <v>88</v>
      </c>
      <c r="O443" s="9">
        <f>HYPERLINK("https://www.google.com/maps/search/?api=1&amp;query=39.49386956,2.78911837", "https://www.google.com/maps/search/?api=1&amp;query=39.49386956,2.78911837")</f>
      </c>
      <c r="P443" s="9" t="s">
        <v>3507</v>
      </c>
      <c r="Q443" s="9" t="s">
        <v>772</v>
      </c>
    </row>
    <row r="444" spans="1:17" x14ac:dyDescent="0.25">
      <c r="A444" s="8" t="s">
        <v>3508</v>
      </c>
      <c r="B444" s="8" t="s">
        <v>3509</v>
      </c>
      <c r="C444" s="9" t="s">
        <v>3510</v>
      </c>
      <c r="D444" s="9" t="s">
        <v>344</v>
      </c>
      <c r="E444" s="9" t="s">
        <v>3511</v>
      </c>
      <c r="F444" s="10">
        <v>1.359</v>
      </c>
      <c r="G444" s="10">
        <v>1.495</v>
      </c>
      <c r="H444" s="10"/>
      <c r="I444" s="9" t="s">
        <v>140</v>
      </c>
      <c r="J444" s="9" t="s">
        <v>3512</v>
      </c>
      <c r="K444" s="9" t="s">
        <v>3513</v>
      </c>
      <c r="L444" s="8" t="s">
        <v>3514</v>
      </c>
      <c r="M444" s="9" t="s">
        <v>100</v>
      </c>
      <c r="N444" s="9" t="s">
        <v>211</v>
      </c>
      <c r="O444" s="9">
        <f>HYPERLINK("https://www.google.com/maps/search/?api=1&amp;query=43.3154981,-8.49314466", "https://www.google.com/maps/search/?api=1&amp;query=43.3154981,-8.49314466")</f>
      </c>
      <c r="P444" s="9" t="s">
        <v>144</v>
      </c>
      <c r="Q444" s="9" t="s">
        <v>112</v>
      </c>
    </row>
    <row r="445" spans="1:17" x14ac:dyDescent="0.25">
      <c r="A445" s="8" t="s">
        <v>3515</v>
      </c>
      <c r="B445" s="8" t="s">
        <v>3516</v>
      </c>
      <c r="C445" s="9" t="s">
        <v>3517</v>
      </c>
      <c r="D445" s="9" t="s">
        <v>409</v>
      </c>
      <c r="E445" s="9" t="s">
        <v>3518</v>
      </c>
      <c r="F445" s="10">
        <v>1.359</v>
      </c>
      <c r="G445" s="10">
        <v>1.495</v>
      </c>
      <c r="H445" s="10"/>
      <c r="I445" s="9" t="s">
        <v>292</v>
      </c>
      <c r="J445" s="9" t="s">
        <v>3519</v>
      </c>
      <c r="K445" s="9" t="s">
        <v>3520</v>
      </c>
      <c r="L445" s="8" t="s">
        <v>3521</v>
      </c>
      <c r="M445" s="9" t="s">
        <v>100</v>
      </c>
      <c r="N445" s="9" t="s">
        <v>37</v>
      </c>
      <c r="O445" s="9">
        <f>HYPERLINK("https://www.google.com/maps/search/?api=1&amp;query=41.47243369,-1.10136782", "https://www.google.com/maps/search/?api=1&amp;query=41.47243369,-1.10136782")</f>
      </c>
      <c r="P445" s="9" t="s">
        <v>771</v>
      </c>
      <c r="Q445" s="9" t="s">
        <v>3522</v>
      </c>
    </row>
    <row r="446" spans="1:17" x14ac:dyDescent="0.25">
      <c r="A446" s="8" t="s">
        <v>3523</v>
      </c>
      <c r="B446" s="8" t="s">
        <v>3524</v>
      </c>
      <c r="C446" s="9" t="s">
        <v>3525</v>
      </c>
      <c r="D446" s="9" t="s">
        <v>83</v>
      </c>
      <c r="E446" s="9" t="s">
        <v>3526</v>
      </c>
      <c r="F446" s="10">
        <v>1.359</v>
      </c>
      <c r="G446" s="10">
        <v>1.495</v>
      </c>
      <c r="H446" s="10"/>
      <c r="I446" s="9" t="s">
        <v>83</v>
      </c>
      <c r="J446" s="9" t="s">
        <v>3527</v>
      </c>
      <c r="K446" s="9" t="s">
        <v>3528</v>
      </c>
      <c r="L446" s="8" t="s">
        <v>3529</v>
      </c>
      <c r="M446" s="9" t="s">
        <v>49</v>
      </c>
      <c r="N446" s="9" t="s">
        <v>645</v>
      </c>
      <c r="O446" s="9">
        <f>HYPERLINK("https://www.google.com/maps/search/?api=1&amp;query=40.81974485,-3.53674517", "https://www.google.com/maps/search/?api=1&amp;query=40.81974485,-3.53674517")</f>
      </c>
      <c r="P446" s="9" t="s">
        <v>3530</v>
      </c>
      <c r="Q446" s="9" t="s">
        <v>2056</v>
      </c>
    </row>
    <row r="447" spans="1:17" x14ac:dyDescent="0.25">
      <c r="A447" s="8" t="s">
        <v>3531</v>
      </c>
      <c r="B447" s="8" t="s">
        <v>3532</v>
      </c>
      <c r="C447" s="9" t="s">
        <v>3533</v>
      </c>
      <c r="D447" s="9" t="s">
        <v>808</v>
      </c>
      <c r="E447" s="9" t="s">
        <v>2330</v>
      </c>
      <c r="F447" s="10">
        <v>1.359</v>
      </c>
      <c r="G447" s="10">
        <v>1.495</v>
      </c>
      <c r="H447" s="10"/>
      <c r="I447" s="9" t="s">
        <v>808</v>
      </c>
      <c r="J447" s="9" t="s">
        <v>3534</v>
      </c>
      <c r="K447" s="9" t="s">
        <v>3535</v>
      </c>
      <c r="L447" s="8" t="s">
        <v>3536</v>
      </c>
      <c r="M447" s="9" t="s">
        <v>49</v>
      </c>
      <c r="N447" s="9" t="s">
        <v>88</v>
      </c>
      <c r="O447" s="9">
        <f>HYPERLINK("https://www.google.com/maps/search/?api=1&amp;query=43.45352378,-3.82369481", "https://www.google.com/maps/search/?api=1&amp;query=43.45352378,-3.82369481")</f>
      </c>
      <c r="P447" s="9" t="s">
        <v>172</v>
      </c>
      <c r="Q447" s="9" t="s">
        <v>3537</v>
      </c>
    </row>
    <row r="448" spans="1:17" x14ac:dyDescent="0.25">
      <c r="A448" s="8" t="s">
        <v>3538</v>
      </c>
      <c r="B448" s="8" t="s">
        <v>3539</v>
      </c>
      <c r="C448" s="9" t="s">
        <v>3540</v>
      </c>
      <c r="D448" s="9" t="s">
        <v>280</v>
      </c>
      <c r="E448" s="9" t="s">
        <v>3541</v>
      </c>
      <c r="F448" s="10">
        <v>1.359</v>
      </c>
      <c r="G448" s="10">
        <v>1.495</v>
      </c>
      <c r="H448" s="10"/>
      <c r="I448" s="9" t="s">
        <v>118</v>
      </c>
      <c r="J448" s="9" t="s">
        <v>3542</v>
      </c>
      <c r="K448" s="9" t="s">
        <v>3543</v>
      </c>
      <c r="L448" s="8" t="s">
        <v>3544</v>
      </c>
      <c r="M448" s="9" t="s">
        <v>49</v>
      </c>
      <c r="N448" s="9" t="s">
        <v>122</v>
      </c>
      <c r="O448" s="9">
        <f>HYPERLINK("https://www.google.com/maps/search/?api=1&amp;query=43.32517036,-1.97502142", "https://www.google.com/maps/search/?api=1&amp;query=43.32517036,-1.97502142")</f>
      </c>
      <c r="P448" s="9" t="s">
        <v>1250</v>
      </c>
      <c r="Q448" s="9" t="s">
        <v>112</v>
      </c>
    </row>
    <row r="449" spans="1:17" x14ac:dyDescent="0.25">
      <c r="A449" s="8" t="s">
        <v>3545</v>
      </c>
      <c r="B449" s="8" t="s">
        <v>3546</v>
      </c>
      <c r="C449" s="9" t="s">
        <v>3547</v>
      </c>
      <c r="D449" s="9" t="s">
        <v>217</v>
      </c>
      <c r="E449" s="9" t="s">
        <v>3548</v>
      </c>
      <c r="F449" s="10">
        <v>1.359</v>
      </c>
      <c r="G449" s="10">
        <v>1.495</v>
      </c>
      <c r="H449" s="10"/>
      <c r="I449" s="9" t="s">
        <v>45</v>
      </c>
      <c r="J449" s="9" t="s">
        <v>3549</v>
      </c>
      <c r="K449" s="9" t="s">
        <v>3550</v>
      </c>
      <c r="L449" s="8" t="s">
        <v>3551</v>
      </c>
      <c r="M449" s="9" t="s">
        <v>49</v>
      </c>
      <c r="N449" s="9" t="s">
        <v>211</v>
      </c>
      <c r="O449" s="9">
        <f>HYPERLINK("https://www.google.com/maps/search/?api=1&amp;query=36.53827987,-4.64564329", "https://www.google.com/maps/search/?api=1&amp;query=36.53827987,-4.64564329")</f>
      </c>
      <c r="P449" s="9" t="s">
        <v>1565</v>
      </c>
      <c r="Q449" s="9" t="s">
        <v>2175</v>
      </c>
    </row>
    <row r="450" spans="1:17" x14ac:dyDescent="0.25">
      <c r="A450" s="8" t="s">
        <v>3552</v>
      </c>
      <c r="B450" s="8" t="s">
        <v>3553</v>
      </c>
      <c r="C450" s="9" t="s">
        <v>3554</v>
      </c>
      <c r="D450" s="9" t="s">
        <v>344</v>
      </c>
      <c r="E450" s="9" t="s">
        <v>3555</v>
      </c>
      <c r="F450" s="10">
        <v>1.359</v>
      </c>
      <c r="G450" s="10">
        <v>1.495</v>
      </c>
      <c r="H450" s="10"/>
      <c r="I450" s="9" t="s">
        <v>140</v>
      </c>
      <c r="J450" s="9" t="s">
        <v>3556</v>
      </c>
      <c r="K450" s="9" t="s">
        <v>3557</v>
      </c>
      <c r="L450" s="8" t="s">
        <v>3558</v>
      </c>
      <c r="M450" s="9" t="s">
        <v>49</v>
      </c>
      <c r="N450" s="9" t="s">
        <v>211</v>
      </c>
      <c r="O450" s="9">
        <f>HYPERLINK("https://www.google.com/maps/search/?api=1&amp;query=42.9248896,-8.57575544", "https://www.google.com/maps/search/?api=1&amp;query=42.9248896,-8.57575544")</f>
      </c>
      <c r="P450" s="9" t="s">
        <v>1423</v>
      </c>
      <c r="Q450" s="9" t="s">
        <v>3559</v>
      </c>
    </row>
    <row r="451" spans="1:17" x14ac:dyDescent="0.25">
      <c r="A451" s="8" t="s">
        <v>3560</v>
      </c>
      <c r="B451" s="8" t="s">
        <v>3561</v>
      </c>
      <c r="C451" s="9" t="s">
        <v>3562</v>
      </c>
      <c r="D451" s="9" t="s">
        <v>424</v>
      </c>
      <c r="E451" s="9" t="s">
        <v>1246</v>
      </c>
      <c r="F451" s="10">
        <v>1.359</v>
      </c>
      <c r="G451" s="10">
        <v>1.495</v>
      </c>
      <c r="H451" s="10"/>
      <c r="I451" s="9" t="s">
        <v>96</v>
      </c>
      <c r="J451" s="9" t="s">
        <v>1247</v>
      </c>
      <c r="K451" s="9" t="s">
        <v>3563</v>
      </c>
      <c r="L451" s="8" t="s">
        <v>1249</v>
      </c>
      <c r="M451" s="9" t="s">
        <v>100</v>
      </c>
      <c r="N451" s="9" t="s">
        <v>37</v>
      </c>
      <c r="O451" s="9">
        <f>HYPERLINK("https://www.google.com/maps/search/?api=1&amp;query=42.34616567,1.83377153", "https://www.google.com/maps/search/?api=1&amp;query=42.34616567,1.83377153")</f>
      </c>
      <c r="P451" s="9" t="s">
        <v>1250</v>
      </c>
      <c r="Q451" s="9" t="s">
        <v>3564</v>
      </c>
    </row>
    <row r="452" spans="1:17" x14ac:dyDescent="0.25">
      <c r="A452" s="8" t="s">
        <v>3565</v>
      </c>
      <c r="B452" s="8" t="s">
        <v>3566</v>
      </c>
      <c r="C452" s="9" t="s">
        <v>3567</v>
      </c>
      <c r="D452" s="9" t="s">
        <v>128</v>
      </c>
      <c r="E452" s="9" t="s">
        <v>129</v>
      </c>
      <c r="F452" s="10">
        <v>1.359</v>
      </c>
      <c r="G452" s="10">
        <v>1.495</v>
      </c>
      <c r="H452" s="10"/>
      <c r="I452" s="9" t="s">
        <v>45</v>
      </c>
      <c r="J452" s="9" t="s">
        <v>3568</v>
      </c>
      <c r="K452" s="9" t="s">
        <v>3569</v>
      </c>
      <c r="L452" s="8" t="s">
        <v>3570</v>
      </c>
      <c r="M452" s="9" t="s">
        <v>49</v>
      </c>
      <c r="N452" s="9" t="s">
        <v>37</v>
      </c>
      <c r="O452" s="9">
        <f>HYPERLINK("https://www.google.com/maps/search/?api=1&amp;query=36.56963698,-6.02386025", "https://www.google.com/maps/search/?api=1&amp;query=36.56963698,-6.02386025")</f>
      </c>
      <c r="P452" s="9" t="s">
        <v>3571</v>
      </c>
      <c r="Q452" s="9" t="s">
        <v>3572</v>
      </c>
    </row>
    <row r="453" spans="1:17" x14ac:dyDescent="0.25">
      <c r="A453" s="8" t="s">
        <v>3573</v>
      </c>
      <c r="B453" s="8" t="s">
        <v>3574</v>
      </c>
      <c r="C453" s="9" t="s">
        <v>3575</v>
      </c>
      <c r="D453" s="9" t="s">
        <v>94</v>
      </c>
      <c r="E453" s="9" t="s">
        <v>3576</v>
      </c>
      <c r="F453" s="10">
        <v>1.359</v>
      </c>
      <c r="G453" s="10">
        <v>1.495</v>
      </c>
      <c r="H453" s="10"/>
      <c r="I453" s="9" t="s">
        <v>96</v>
      </c>
      <c r="J453" s="9" t="s">
        <v>3577</v>
      </c>
      <c r="K453" s="9" t="s">
        <v>3578</v>
      </c>
      <c r="L453" s="8" t="s">
        <v>3579</v>
      </c>
      <c r="M453" s="9" t="s">
        <v>49</v>
      </c>
      <c r="N453" s="9" t="s">
        <v>2601</v>
      </c>
      <c r="O453" s="9">
        <f>HYPERLINK("https://www.google.com/maps/search/?api=1&amp;query=41.47860721,1.88387941", "https://www.google.com/maps/search/?api=1&amp;query=41.47860721,1.88387941")</f>
      </c>
      <c r="P453" s="9" t="s">
        <v>3580</v>
      </c>
      <c r="Q453" s="9" t="s">
        <v>3581</v>
      </c>
    </row>
    <row r="454" spans="1:17" x14ac:dyDescent="0.25">
      <c r="A454" s="8" t="s">
        <v>3582</v>
      </c>
      <c r="B454" s="8" t="s">
        <v>3583</v>
      </c>
      <c r="C454" s="9" t="s">
        <v>3584</v>
      </c>
      <c r="D454" s="9" t="s">
        <v>434</v>
      </c>
      <c r="E454" s="9" t="s">
        <v>3585</v>
      </c>
      <c r="F454" s="10">
        <v>1.359</v>
      </c>
      <c r="G454" s="10">
        <v>1.495</v>
      </c>
      <c r="H454" s="10"/>
      <c r="I454" s="9" t="s">
        <v>96</v>
      </c>
      <c r="J454" s="9" t="s">
        <v>3586</v>
      </c>
      <c r="K454" s="9" t="s">
        <v>3587</v>
      </c>
      <c r="L454" s="8" t="s">
        <v>3588</v>
      </c>
      <c r="M454" s="9" t="s">
        <v>49</v>
      </c>
      <c r="N454" s="9" t="s">
        <v>88</v>
      </c>
      <c r="O454" s="9">
        <f>HYPERLINK("https://www.google.com/maps/search/?api=1&amp;query=42.26658164,2.98170743", "https://www.google.com/maps/search/?api=1&amp;query=42.26658164,2.98170743")</f>
      </c>
      <c r="P454" s="9" t="s">
        <v>3589</v>
      </c>
      <c r="Q454" s="9" t="s">
        <v>3590</v>
      </c>
    </row>
    <row r="455" spans="1:17" x14ac:dyDescent="0.25">
      <c r="A455" s="8" t="s">
        <v>3591</v>
      </c>
      <c r="B455" s="8" t="s">
        <v>3592</v>
      </c>
      <c r="C455" s="9" t="s">
        <v>3593</v>
      </c>
      <c r="D455" s="9" t="s">
        <v>398</v>
      </c>
      <c r="E455" s="9" t="s">
        <v>3594</v>
      </c>
      <c r="F455" s="10">
        <v>1.359</v>
      </c>
      <c r="G455" s="10">
        <v>1.495</v>
      </c>
      <c r="H455" s="10"/>
      <c r="I455" s="9" t="s">
        <v>400</v>
      </c>
      <c r="J455" s="9" t="s">
        <v>3595</v>
      </c>
      <c r="K455" s="9" t="s">
        <v>3596</v>
      </c>
      <c r="L455" s="8" t="s">
        <v>3597</v>
      </c>
      <c r="M455" s="9" t="s">
        <v>49</v>
      </c>
      <c r="N455" s="9" t="s">
        <v>88</v>
      </c>
      <c r="O455" s="9">
        <f>HYPERLINK("https://www.google.com/maps/search/?api=1&amp;query=38.79938163,0.03827364", "https://www.google.com/maps/search/?api=1&amp;query=38.79938163,0.03827364")</f>
      </c>
      <c r="P455" s="9" t="s">
        <v>557</v>
      </c>
      <c r="Q455" s="9" t="s">
        <v>857</v>
      </c>
    </row>
    <row r="456" spans="1:17" x14ac:dyDescent="0.25">
      <c r="A456" s="8" t="s">
        <v>3598</v>
      </c>
      <c r="B456" s="8" t="s">
        <v>3599</v>
      </c>
      <c r="C456" s="9" t="s">
        <v>3600</v>
      </c>
      <c r="D456" s="9" t="s">
        <v>344</v>
      </c>
      <c r="E456" s="9" t="s">
        <v>3601</v>
      </c>
      <c r="F456" s="10">
        <v>1.359</v>
      </c>
      <c r="G456" s="10">
        <v>1.495</v>
      </c>
      <c r="H456" s="10"/>
      <c r="I456" s="9" t="s">
        <v>140</v>
      </c>
      <c r="J456" s="9" t="s">
        <v>3602</v>
      </c>
      <c r="K456" s="9" t="s">
        <v>3603</v>
      </c>
      <c r="L456" s="8" t="s">
        <v>3604</v>
      </c>
      <c r="M456" s="9" t="s">
        <v>36</v>
      </c>
      <c r="N456" s="9" t="s">
        <v>211</v>
      </c>
      <c r="O456" s="9">
        <f>HYPERLINK("https://www.google.com/maps/search/?api=1&amp;query=43.03245978,-9.11273617", "https://www.google.com/maps/search/?api=1&amp;query=43.03245978,-9.11273617")</f>
      </c>
      <c r="P456" s="9" t="s">
        <v>1927</v>
      </c>
      <c r="Q456" s="9" t="s">
        <v>2554</v>
      </c>
    </row>
    <row r="457" spans="1:17" x14ac:dyDescent="0.25">
      <c r="A457" s="8" t="s">
        <v>3605</v>
      </c>
      <c r="B457" s="8" t="s">
        <v>3606</v>
      </c>
      <c r="C457" s="9" t="s">
        <v>3607</v>
      </c>
      <c r="D457" s="9" t="s">
        <v>94</v>
      </c>
      <c r="E457" s="9" t="s">
        <v>3608</v>
      </c>
      <c r="F457" s="10">
        <v>1.359</v>
      </c>
      <c r="G457" s="10">
        <v>1.495</v>
      </c>
      <c r="H457" s="10"/>
      <c r="I457" s="9" t="s">
        <v>96</v>
      </c>
      <c r="J457" s="9" t="s">
        <v>3609</v>
      </c>
      <c r="K457" s="9" t="s">
        <v>3610</v>
      </c>
      <c r="L457" s="8" t="s">
        <v>2648</v>
      </c>
      <c r="M457" s="9" t="s">
        <v>36</v>
      </c>
      <c r="N457" s="9" t="s">
        <v>37</v>
      </c>
      <c r="O457" s="9">
        <f>HYPERLINK("https://www.google.com/maps/search/?api=1&amp;query=41.52677648,2.16709492", "https://www.google.com/maps/search/?api=1&amp;query=41.52677648,2.16709492")</f>
      </c>
      <c r="P457" s="9" t="s">
        <v>1067</v>
      </c>
      <c r="Q457" s="9" t="s">
        <v>3611</v>
      </c>
    </row>
    <row r="458" spans="1:17" x14ac:dyDescent="0.25">
      <c r="A458" s="8" t="s">
        <v>3612</v>
      </c>
      <c r="B458" s="8" t="s">
        <v>3613</v>
      </c>
      <c r="C458" s="9" t="s">
        <v>3614</v>
      </c>
      <c r="D458" s="9" t="s">
        <v>197</v>
      </c>
      <c r="E458" s="9" t="s">
        <v>3615</v>
      </c>
      <c r="F458" s="10">
        <v>1.359</v>
      </c>
      <c r="G458" s="10">
        <v>1.495</v>
      </c>
      <c r="H458" s="10"/>
      <c r="I458" s="9" t="s">
        <v>168</v>
      </c>
      <c r="J458" s="9" t="s">
        <v>3616</v>
      </c>
      <c r="K458" s="9" t="s">
        <v>3617</v>
      </c>
      <c r="L458" s="8" t="s">
        <v>3618</v>
      </c>
      <c r="M458" s="9" t="s">
        <v>36</v>
      </c>
      <c r="N458" s="9" t="s">
        <v>770</v>
      </c>
      <c r="O458" s="9">
        <f>HYPERLINK("https://www.google.com/maps/search/?api=1&amp;query=39.9476167,-4.83116419", "https://www.google.com/maps/search/?api=1&amp;query=39.9476167,-4.83116419")</f>
      </c>
      <c r="P458" s="9" t="s">
        <v>3165</v>
      </c>
      <c r="Q458" s="9" t="s">
        <v>3619</v>
      </c>
    </row>
    <row r="459" spans="1:17" x14ac:dyDescent="0.25">
      <c r="A459" s="8" t="s">
        <v>3620</v>
      </c>
      <c r="B459" s="8" t="s">
        <v>3621</v>
      </c>
      <c r="C459" s="9" t="s">
        <v>3622</v>
      </c>
      <c r="D459" s="9" t="s">
        <v>106</v>
      </c>
      <c r="E459" s="9" t="s">
        <v>3623</v>
      </c>
      <c r="F459" s="10">
        <v>1.359</v>
      </c>
      <c r="G459" s="10">
        <v>1.495</v>
      </c>
      <c r="H459" s="10"/>
      <c r="I459" s="9" t="s">
        <v>106</v>
      </c>
      <c r="J459" s="9" t="s">
        <v>3624</v>
      </c>
      <c r="K459" s="9" t="s">
        <v>3625</v>
      </c>
      <c r="L459" s="8" t="s">
        <v>3626</v>
      </c>
      <c r="M459" s="9" t="s">
        <v>36</v>
      </c>
      <c r="N459" s="9" t="s">
        <v>66</v>
      </c>
      <c r="O459" s="9">
        <f>HYPERLINK("https://www.google.com/maps/search/?api=1&amp;query=38.61997277,-1.13087264", "https://www.google.com/maps/search/?api=1&amp;query=38.61997277,-1.13087264")</f>
      </c>
      <c r="P459" s="9" t="s">
        <v>2480</v>
      </c>
      <c r="Q459" s="9" t="s">
        <v>3627</v>
      </c>
    </row>
    <row r="460" spans="1:17" x14ac:dyDescent="0.25">
      <c r="A460" s="8" t="s">
        <v>3628</v>
      </c>
      <c r="B460" s="8" t="s">
        <v>3629</v>
      </c>
      <c r="C460" s="9" t="s">
        <v>3630</v>
      </c>
      <c r="D460" s="9" t="s">
        <v>400</v>
      </c>
      <c r="E460" s="9" t="s">
        <v>3631</v>
      </c>
      <c r="F460" s="10">
        <v>1.359</v>
      </c>
      <c r="G460" s="10">
        <v>1.495</v>
      </c>
      <c r="H460" s="10"/>
      <c r="I460" s="9" t="s">
        <v>400</v>
      </c>
      <c r="J460" s="9" t="s">
        <v>3632</v>
      </c>
      <c r="K460" s="9" t="s">
        <v>3633</v>
      </c>
      <c r="L460" s="8" t="s">
        <v>3634</v>
      </c>
      <c r="M460" s="9" t="s">
        <v>49</v>
      </c>
      <c r="N460" s="9" t="s">
        <v>88</v>
      </c>
      <c r="O460" s="9">
        <f>HYPERLINK("https://www.google.com/maps/search/?api=1&amp;query=39.12968581,-0.50810475", "https://www.google.com/maps/search/?api=1&amp;query=39.12968581,-0.50810475")</f>
      </c>
      <c r="P460" s="9" t="s">
        <v>880</v>
      </c>
      <c r="Q460" s="9" t="s">
        <v>3635</v>
      </c>
    </row>
    <row r="461" spans="1:17" x14ac:dyDescent="0.25">
      <c r="A461" s="8" t="s">
        <v>3636</v>
      </c>
      <c r="B461" s="8" t="s">
        <v>3637</v>
      </c>
      <c r="C461" s="9" t="s">
        <v>3638</v>
      </c>
      <c r="D461" s="9" t="s">
        <v>400</v>
      </c>
      <c r="E461" s="9" t="s">
        <v>400</v>
      </c>
      <c r="F461" s="10">
        <v>1.359</v>
      </c>
      <c r="G461" s="10">
        <v>1.495</v>
      </c>
      <c r="H461" s="10"/>
      <c r="I461" s="9" t="s">
        <v>400</v>
      </c>
      <c r="J461" s="9" t="s">
        <v>3639</v>
      </c>
      <c r="K461" s="9" t="s">
        <v>3640</v>
      </c>
      <c r="L461" s="8" t="s">
        <v>2261</v>
      </c>
      <c r="M461" s="9" t="s">
        <v>49</v>
      </c>
      <c r="N461" s="9" t="s">
        <v>37</v>
      </c>
      <c r="O461" s="9">
        <f>HYPERLINK("https://www.google.com/maps/search/?api=1&amp;query=39.49480418,-0.40343509", "https://www.google.com/maps/search/?api=1&amp;query=39.49480418,-0.40343509")</f>
      </c>
      <c r="P461" s="9" t="s">
        <v>3443</v>
      </c>
      <c r="Q461" s="9" t="s">
        <v>3641</v>
      </c>
    </row>
    <row r="462" spans="1:17" x14ac:dyDescent="0.25">
      <c r="A462" s="8" t="s">
        <v>3642</v>
      </c>
      <c r="B462" s="8" t="s">
        <v>3643</v>
      </c>
      <c r="C462" s="9" t="s">
        <v>3644</v>
      </c>
      <c r="D462" s="9" t="s">
        <v>155</v>
      </c>
      <c r="E462" s="9" t="s">
        <v>3645</v>
      </c>
      <c r="F462" s="10">
        <v>1.359</v>
      </c>
      <c r="G462" s="10">
        <v>1.495</v>
      </c>
      <c r="H462" s="10"/>
      <c r="I462" s="9" t="s">
        <v>157</v>
      </c>
      <c r="J462" s="9" t="s">
        <v>3646</v>
      </c>
      <c r="K462" s="9" t="s">
        <v>3647</v>
      </c>
      <c r="L462" s="8" t="s">
        <v>3648</v>
      </c>
      <c r="M462" s="9" t="s">
        <v>49</v>
      </c>
      <c r="N462" s="9" t="s">
        <v>88</v>
      </c>
      <c r="O462" s="9">
        <f>HYPERLINK("https://www.google.com/maps/search/?api=1&amp;query=40.007946,3.83261344", "https://www.google.com/maps/search/?api=1&amp;query=40.007946,3.83261344")</f>
      </c>
      <c r="P462" s="9" t="s">
        <v>3649</v>
      </c>
      <c r="Q462" s="9" t="s">
        <v>3650</v>
      </c>
    </row>
    <row r="463" spans="1:17" x14ac:dyDescent="0.25">
      <c r="A463" s="8" t="s">
        <v>3651</v>
      </c>
      <c r="B463" s="8" t="s">
        <v>3652</v>
      </c>
      <c r="C463" s="9" t="s">
        <v>3653</v>
      </c>
      <c r="D463" s="9" t="s">
        <v>197</v>
      </c>
      <c r="E463" s="9" t="s">
        <v>3615</v>
      </c>
      <c r="F463" s="10">
        <v>1.359</v>
      </c>
      <c r="G463" s="10">
        <v>1.495</v>
      </c>
      <c r="H463" s="10"/>
      <c r="I463" s="9" t="s">
        <v>168</v>
      </c>
      <c r="J463" s="9" t="s">
        <v>3654</v>
      </c>
      <c r="K463" s="9" t="s">
        <v>3655</v>
      </c>
      <c r="L463" s="8" t="s">
        <v>3618</v>
      </c>
      <c r="M463" s="9" t="s">
        <v>49</v>
      </c>
      <c r="N463" s="9" t="s">
        <v>122</v>
      </c>
      <c r="O463" s="9">
        <f>HYPERLINK("https://www.google.com/maps/search/?api=1&amp;query=39.930972,-4.84325", "https://www.google.com/maps/search/?api=1&amp;query=39.930972,-4.84325")</f>
      </c>
      <c r="P463" s="9" t="s">
        <v>3656</v>
      </c>
      <c r="Q463" s="9" t="s">
        <v>3657</v>
      </c>
    </row>
    <row r="464" spans="1:17" x14ac:dyDescent="0.25">
      <c r="A464" s="8" t="s">
        <v>3658</v>
      </c>
      <c r="B464" s="8" t="s">
        <v>3659</v>
      </c>
      <c r="C464" s="9" t="s">
        <v>3660</v>
      </c>
      <c r="D464" s="9" t="s">
        <v>83</v>
      </c>
      <c r="E464" s="9" t="s">
        <v>3487</v>
      </c>
      <c r="F464" s="10">
        <v>1.359</v>
      </c>
      <c r="G464" s="10">
        <v>1.495</v>
      </c>
      <c r="H464" s="10"/>
      <c r="I464" s="9" t="s">
        <v>83</v>
      </c>
      <c r="J464" s="9" t="s">
        <v>3661</v>
      </c>
      <c r="K464" s="9" t="s">
        <v>3662</v>
      </c>
      <c r="L464" s="8" t="s">
        <v>3490</v>
      </c>
      <c r="M464" s="9" t="s">
        <v>100</v>
      </c>
      <c r="N464" s="9" t="s">
        <v>37</v>
      </c>
      <c r="O464" s="9">
        <f>HYPERLINK("https://www.google.com/maps/search/?api=1&amp;query=40.3422993,-3.80480355", "https://www.google.com/maps/search/?api=1&amp;query=40.3422993,-3.80480355")</f>
      </c>
      <c r="P464" s="9" t="s">
        <v>3663</v>
      </c>
      <c r="Q464" s="9" t="s">
        <v>1131</v>
      </c>
    </row>
    <row r="465" spans="1:17" x14ac:dyDescent="0.25">
      <c r="A465" s="8" t="s">
        <v>3664</v>
      </c>
      <c r="B465" s="8" t="s">
        <v>3665</v>
      </c>
      <c r="C465" s="9" t="s">
        <v>3666</v>
      </c>
      <c r="D465" s="9" t="s">
        <v>94</v>
      </c>
      <c r="E465" s="9" t="s">
        <v>2645</v>
      </c>
      <c r="F465" s="10">
        <v>1.359</v>
      </c>
      <c r="G465" s="10">
        <v>1.495</v>
      </c>
      <c r="H465" s="10"/>
      <c r="I465" s="9" t="s">
        <v>96</v>
      </c>
      <c r="J465" s="9" t="s">
        <v>3667</v>
      </c>
      <c r="K465" s="9" t="s">
        <v>3668</v>
      </c>
      <c r="L465" s="8" t="s">
        <v>2648</v>
      </c>
      <c r="M465" s="9" t="s">
        <v>49</v>
      </c>
      <c r="N465" s="9" t="s">
        <v>37</v>
      </c>
      <c r="O465" s="9">
        <f>HYPERLINK("https://www.google.com/maps/search/?api=1&amp;query=41.53970014,2.18698748", "https://www.google.com/maps/search/?api=1&amp;query=41.53970014,2.18698748")</f>
      </c>
      <c r="P465" s="9" t="s">
        <v>56</v>
      </c>
      <c r="Q465" s="9" t="s">
        <v>3669</v>
      </c>
    </row>
    <row r="466" spans="1:17" x14ac:dyDescent="0.25">
      <c r="A466" s="8" t="s">
        <v>3670</v>
      </c>
      <c r="B466" s="8" t="s">
        <v>3671</v>
      </c>
      <c r="C466" s="9" t="s">
        <v>3672</v>
      </c>
      <c r="D466" s="9" t="s">
        <v>83</v>
      </c>
      <c r="E466" s="9" t="s">
        <v>3673</v>
      </c>
      <c r="F466" s="10">
        <v>1.359</v>
      </c>
      <c r="G466" s="10">
        <v>1.495</v>
      </c>
      <c r="H466" s="10"/>
      <c r="I466" s="9" t="s">
        <v>83</v>
      </c>
      <c r="J466" s="9" t="s">
        <v>3674</v>
      </c>
      <c r="K466" s="9" t="s">
        <v>3675</v>
      </c>
      <c r="L466" s="8" t="s">
        <v>3676</v>
      </c>
      <c r="M466" s="9" t="s">
        <v>36</v>
      </c>
      <c r="N466" s="9" t="s">
        <v>37</v>
      </c>
      <c r="O466" s="9">
        <f>HYPERLINK("https://www.google.com/maps/search/?api=1&amp;query=40.4656103,-3.80485506", "https://www.google.com/maps/search/?api=1&amp;query=40.4656103,-3.80485506")</f>
      </c>
      <c r="P466" s="9" t="s">
        <v>572</v>
      </c>
      <c r="Q466" s="9" t="s">
        <v>3677</v>
      </c>
    </row>
    <row r="467" spans="1:17" x14ac:dyDescent="0.25">
      <c r="A467" s="8" t="s">
        <v>3678</v>
      </c>
      <c r="B467" s="8" t="s">
        <v>3679</v>
      </c>
      <c r="C467" s="9" t="s">
        <v>3680</v>
      </c>
      <c r="D467" s="9" t="s">
        <v>400</v>
      </c>
      <c r="E467" s="9" t="s">
        <v>400</v>
      </c>
      <c r="F467" s="10">
        <v>1.359</v>
      </c>
      <c r="G467" s="10">
        <v>1.495</v>
      </c>
      <c r="H467" s="10"/>
      <c r="I467" s="9" t="s">
        <v>400</v>
      </c>
      <c r="J467" s="9" t="s">
        <v>3681</v>
      </c>
      <c r="K467" s="9" t="s">
        <v>3682</v>
      </c>
      <c r="L467" s="8" t="s">
        <v>3683</v>
      </c>
      <c r="M467" s="9" t="s">
        <v>49</v>
      </c>
      <c r="N467" s="9" t="s">
        <v>3684</v>
      </c>
      <c r="O467" s="9">
        <f>HYPERLINK("https://www.google.com/maps/search/?api=1&amp;query=39.43599416,-0.35056747", "https://www.google.com/maps/search/?api=1&amp;query=39.43599416,-0.35056747")</f>
      </c>
      <c r="P467" s="9" t="s">
        <v>3685</v>
      </c>
      <c r="Q467" s="9" t="s">
        <v>881</v>
      </c>
    </row>
    <row r="468" spans="1:17" x14ac:dyDescent="0.25">
      <c r="A468" s="8" t="s">
        <v>3686</v>
      </c>
      <c r="B468" s="8" t="s">
        <v>3687</v>
      </c>
      <c r="C468" s="9" t="s">
        <v>3688</v>
      </c>
      <c r="D468" s="9" t="s">
        <v>30</v>
      </c>
      <c r="E468" s="9" t="s">
        <v>3689</v>
      </c>
      <c r="F468" s="10">
        <v>1.359</v>
      </c>
      <c r="G468" s="10">
        <v>1.495</v>
      </c>
      <c r="H468" s="10"/>
      <c r="I468" s="9" t="s">
        <v>32</v>
      </c>
      <c r="J468" s="9" t="s">
        <v>3690</v>
      </c>
      <c r="K468" s="9" t="s">
        <v>3691</v>
      </c>
      <c r="L468" s="8" t="s">
        <v>3692</v>
      </c>
      <c r="M468" s="9" t="s">
        <v>49</v>
      </c>
      <c r="N468" s="9" t="s">
        <v>88</v>
      </c>
      <c r="O468" s="9">
        <f>HYPERLINK("https://www.google.com/maps/search/?api=1&amp;query=38.83971021,-6.64693426", "https://www.google.com/maps/search/?api=1&amp;query=38.83971021,-6.64693426")</f>
      </c>
      <c r="P468" s="9" t="s">
        <v>3693</v>
      </c>
      <c r="Q468" s="9" t="s">
        <v>3694</v>
      </c>
    </row>
    <row r="469" spans="1:17" x14ac:dyDescent="0.25">
      <c r="A469" s="8" t="s">
        <v>3695</v>
      </c>
      <c r="B469" s="8" t="s">
        <v>3696</v>
      </c>
      <c r="C469" s="9" t="s">
        <v>3697</v>
      </c>
      <c r="D469" s="9" t="s">
        <v>444</v>
      </c>
      <c r="E469" s="9" t="s">
        <v>3698</v>
      </c>
      <c r="F469" s="10">
        <v>1.359</v>
      </c>
      <c r="G469" s="10">
        <v>1.495</v>
      </c>
      <c r="H469" s="10"/>
      <c r="I469" s="9" t="s">
        <v>444</v>
      </c>
      <c r="J469" s="9" t="s">
        <v>3699</v>
      </c>
      <c r="K469" s="9" t="s">
        <v>3700</v>
      </c>
      <c r="L469" s="8" t="s">
        <v>3701</v>
      </c>
      <c r="M469" s="9" t="s">
        <v>49</v>
      </c>
      <c r="N469" s="9" t="s">
        <v>88</v>
      </c>
      <c r="O469" s="9">
        <f>HYPERLINK("https://www.google.com/maps/search/?api=1&amp;query=43.48461666,-5.26105713", "https://www.google.com/maps/search/?api=1&amp;query=43.48461666,-5.26105713")</f>
      </c>
      <c r="P469" s="9" t="s">
        <v>617</v>
      </c>
      <c r="Q469" s="9" t="s">
        <v>966</v>
      </c>
    </row>
    <row r="470" spans="1:17" x14ac:dyDescent="0.25">
      <c r="A470" s="8" t="s">
        <v>3702</v>
      </c>
      <c r="B470" s="8" t="s">
        <v>3703</v>
      </c>
      <c r="C470" s="9" t="s">
        <v>3704</v>
      </c>
      <c r="D470" s="9" t="s">
        <v>83</v>
      </c>
      <c r="E470" s="9" t="s">
        <v>83</v>
      </c>
      <c r="F470" s="10">
        <v>1.359</v>
      </c>
      <c r="G470" s="10">
        <v>1.495</v>
      </c>
      <c r="H470" s="10"/>
      <c r="I470" s="9" t="s">
        <v>83</v>
      </c>
      <c r="J470" s="9" t="s">
        <v>3705</v>
      </c>
      <c r="K470" s="9" t="s">
        <v>3706</v>
      </c>
      <c r="L470" s="8" t="s">
        <v>3707</v>
      </c>
      <c r="M470" s="9" t="s">
        <v>100</v>
      </c>
      <c r="N470" s="9" t="s">
        <v>37</v>
      </c>
      <c r="O470" s="9">
        <f>HYPERLINK("https://www.google.com/maps/search/?api=1&amp;query=40.34609847,-3.58808086", "https://www.google.com/maps/search/?api=1&amp;query=40.34609847,-3.58808086")</f>
      </c>
      <c r="P470" s="9" t="s">
        <v>38</v>
      </c>
      <c r="Q470" s="9" t="s">
        <v>3708</v>
      </c>
    </row>
    <row r="471" spans="1:17" x14ac:dyDescent="0.25">
      <c r="A471" s="8" t="s">
        <v>3709</v>
      </c>
      <c r="B471" s="8" t="s">
        <v>3710</v>
      </c>
      <c r="C471" s="9" t="s">
        <v>3711</v>
      </c>
      <c r="D471" s="9" t="s">
        <v>398</v>
      </c>
      <c r="E471" s="9" t="s">
        <v>1906</v>
      </c>
      <c r="F471" s="10">
        <v>1.359</v>
      </c>
      <c r="G471" s="10">
        <v>1.495</v>
      </c>
      <c r="H471" s="10"/>
      <c r="I471" s="9" t="s">
        <v>400</v>
      </c>
      <c r="J471" s="9" t="s">
        <v>3712</v>
      </c>
      <c r="K471" s="9" t="s">
        <v>3713</v>
      </c>
      <c r="L471" s="8" t="s">
        <v>1909</v>
      </c>
      <c r="M471" s="9" t="s">
        <v>36</v>
      </c>
      <c r="N471" s="9" t="s">
        <v>37</v>
      </c>
      <c r="O471" s="9">
        <f>HYPERLINK("https://www.google.com/maps/search/?api=1&amp;query=38.19603799,-0.8120944", "https://www.google.com/maps/search/?api=1&amp;query=38.19603799,-0.8120944")</f>
      </c>
      <c r="P471" s="9" t="s">
        <v>1414</v>
      </c>
      <c r="Q471" s="9" t="s">
        <v>2968</v>
      </c>
    </row>
    <row r="472" spans="1:17" x14ac:dyDescent="0.25">
      <c r="A472" s="8" t="s">
        <v>3714</v>
      </c>
      <c r="B472" s="8" t="s">
        <v>3715</v>
      </c>
      <c r="C472" s="9" t="s">
        <v>3716</v>
      </c>
      <c r="D472" s="9" t="s">
        <v>409</v>
      </c>
      <c r="E472" s="9" t="s">
        <v>3717</v>
      </c>
      <c r="F472" s="10">
        <v>1.359</v>
      </c>
      <c r="G472" s="10">
        <v>1.495</v>
      </c>
      <c r="H472" s="10"/>
      <c r="I472" s="9" t="s">
        <v>292</v>
      </c>
      <c r="J472" s="9" t="s">
        <v>3718</v>
      </c>
      <c r="K472" s="9" t="s">
        <v>3719</v>
      </c>
      <c r="L472" s="8" t="s">
        <v>3720</v>
      </c>
      <c r="M472" s="9" t="s">
        <v>49</v>
      </c>
      <c r="N472" s="9" t="s">
        <v>37</v>
      </c>
      <c r="O472" s="9">
        <f>HYPERLINK("https://www.google.com/maps/search/?api=1&amp;query=41.73031122,-1.03123147", "https://www.google.com/maps/search/?api=1&amp;query=41.73031122,-1.03123147")</f>
      </c>
      <c r="P472" s="9" t="s">
        <v>564</v>
      </c>
      <c r="Q472" s="9" t="s">
        <v>3721</v>
      </c>
    </row>
    <row r="473" spans="1:17" x14ac:dyDescent="0.25">
      <c r="A473" s="8" t="s">
        <v>3722</v>
      </c>
      <c r="B473" s="8" t="s">
        <v>3723</v>
      </c>
      <c r="C473" s="9" t="s">
        <v>3724</v>
      </c>
      <c r="D473" s="9" t="s">
        <v>444</v>
      </c>
      <c r="E473" s="9" t="s">
        <v>3725</v>
      </c>
      <c r="F473" s="10">
        <v>1.359</v>
      </c>
      <c r="G473" s="10">
        <v>1.495</v>
      </c>
      <c r="H473" s="10"/>
      <c r="I473" s="9" t="s">
        <v>444</v>
      </c>
      <c r="J473" s="9" t="s">
        <v>3726</v>
      </c>
      <c r="K473" s="9" t="s">
        <v>3727</v>
      </c>
      <c r="L473" s="8" t="s">
        <v>3728</v>
      </c>
      <c r="M473" s="9" t="s">
        <v>49</v>
      </c>
      <c r="N473" s="9" t="s">
        <v>211</v>
      </c>
      <c r="O473" s="9">
        <f>HYPERLINK("https://www.google.com/maps/search/?api=1&amp;query=43.54215206,-6.7642134", "https://www.google.com/maps/search/?api=1&amp;query=43.54215206,-6.7642134")</f>
      </c>
      <c r="P473" s="9" t="s">
        <v>3729</v>
      </c>
      <c r="Q473" s="9" t="s">
        <v>2247</v>
      </c>
    </row>
    <row r="474" spans="1:17" x14ac:dyDescent="0.25">
      <c r="A474" s="8" t="s">
        <v>3730</v>
      </c>
      <c r="B474" s="8" t="s">
        <v>3731</v>
      </c>
      <c r="C474" s="9" t="s">
        <v>3732</v>
      </c>
      <c r="D474" s="9" t="s">
        <v>217</v>
      </c>
      <c r="E474" s="9" t="s">
        <v>3733</v>
      </c>
      <c r="F474" s="10">
        <v>1.359</v>
      </c>
      <c r="G474" s="10">
        <v>1.495</v>
      </c>
      <c r="H474" s="10"/>
      <c r="I474" s="9" t="s">
        <v>45</v>
      </c>
      <c r="J474" s="9" t="s">
        <v>3734</v>
      </c>
      <c r="K474" s="9" t="s">
        <v>3735</v>
      </c>
      <c r="L474" s="8" t="s">
        <v>3736</v>
      </c>
      <c r="M474" s="9" t="s">
        <v>36</v>
      </c>
      <c r="N474" s="9" t="s">
        <v>37</v>
      </c>
      <c r="O474" s="9">
        <f>HYPERLINK("https://www.google.com/maps/search/?api=1&amp;query=36.6086705,-4.51431129", "https://www.google.com/maps/search/?api=1&amp;query=36.6086705,-4.51431129")</f>
      </c>
      <c r="P474" s="9" t="s">
        <v>1565</v>
      </c>
      <c r="Q474" s="9" t="s">
        <v>134</v>
      </c>
    </row>
    <row r="475" spans="1:17" x14ac:dyDescent="0.25">
      <c r="A475" s="8" t="s">
        <v>3737</v>
      </c>
      <c r="B475" s="8" t="s">
        <v>3738</v>
      </c>
      <c r="C475" s="9" t="s">
        <v>3739</v>
      </c>
      <c r="D475" s="9" t="s">
        <v>61</v>
      </c>
      <c r="E475" s="9" t="s">
        <v>3740</v>
      </c>
      <c r="F475" s="10">
        <v>1.359</v>
      </c>
      <c r="G475" s="10">
        <v>1.495</v>
      </c>
      <c r="H475" s="10"/>
      <c r="I475" s="9" t="s">
        <v>45</v>
      </c>
      <c r="J475" s="9" t="s">
        <v>3741</v>
      </c>
      <c r="K475" s="9" t="s">
        <v>3742</v>
      </c>
      <c r="L475" s="8" t="s">
        <v>3743</v>
      </c>
      <c r="M475" s="9" t="s">
        <v>36</v>
      </c>
      <c r="N475" s="9" t="s">
        <v>88</v>
      </c>
      <c r="O475" s="9">
        <f>HYPERLINK("https://www.google.com/maps/search/?api=1&amp;query=37.14980806,-5.73887966", "https://www.google.com/maps/search/?api=1&amp;query=37.14980806,-5.73887966")</f>
      </c>
      <c r="P475" s="9" t="s">
        <v>144</v>
      </c>
      <c r="Q475" s="9" t="s">
        <v>3744</v>
      </c>
    </row>
    <row r="476" spans="1:17" x14ac:dyDescent="0.25">
      <c r="A476" s="8" t="s">
        <v>3745</v>
      </c>
      <c r="B476" s="8" t="s">
        <v>3746</v>
      </c>
      <c r="C476" s="9" t="s">
        <v>3747</v>
      </c>
      <c r="D476" s="9" t="s">
        <v>1282</v>
      </c>
      <c r="E476" s="9" t="s">
        <v>1282</v>
      </c>
      <c r="F476" s="10">
        <v>1.359</v>
      </c>
      <c r="G476" s="10">
        <v>1.495</v>
      </c>
      <c r="H476" s="10"/>
      <c r="I476" s="9" t="s">
        <v>45</v>
      </c>
      <c r="J476" s="9" t="s">
        <v>3748</v>
      </c>
      <c r="K476" s="9" t="s">
        <v>3749</v>
      </c>
      <c r="L476" s="8" t="s">
        <v>3750</v>
      </c>
      <c r="M476" s="9" t="s">
        <v>36</v>
      </c>
      <c r="N476" s="9" t="s">
        <v>37</v>
      </c>
      <c r="O476" s="9">
        <f>HYPERLINK("https://www.google.com/maps/search/?api=1&amp;query=37.18348154,-3.62449783", "https://www.google.com/maps/search/?api=1&amp;query=37.18348154,-3.62449783")</f>
      </c>
      <c r="P476" s="9" t="s">
        <v>3751</v>
      </c>
      <c r="Q476" s="9" t="s">
        <v>297</v>
      </c>
    </row>
    <row r="477" spans="1:17" x14ac:dyDescent="0.25">
      <c r="A477" s="8" t="s">
        <v>3728</v>
      </c>
      <c r="B477" s="8" t="s">
        <v>3752</v>
      </c>
      <c r="C477" s="9" t="s">
        <v>3753</v>
      </c>
      <c r="D477" s="9" t="s">
        <v>808</v>
      </c>
      <c r="E477" s="9" t="s">
        <v>3754</v>
      </c>
      <c r="F477" s="10">
        <v>1.359</v>
      </c>
      <c r="G477" s="10">
        <v>1.495</v>
      </c>
      <c r="H477" s="10"/>
      <c r="I477" s="9" t="s">
        <v>808</v>
      </c>
      <c r="J477" s="9" t="s">
        <v>3755</v>
      </c>
      <c r="K477" s="9" t="s">
        <v>3756</v>
      </c>
      <c r="L477" s="8" t="s">
        <v>3757</v>
      </c>
      <c r="M477" s="9" t="s">
        <v>49</v>
      </c>
      <c r="N477" s="9" t="s">
        <v>357</v>
      </c>
      <c r="O477" s="9">
        <f>HYPERLINK("https://www.google.com/maps/search/?api=1&amp;query=43.34099936,-4.02942407", "https://www.google.com/maps/search/?api=1&amp;query=43.34099936,-4.02942407")</f>
      </c>
      <c r="P477" s="9" t="s">
        <v>1121</v>
      </c>
      <c r="Q477" s="9" t="s">
        <v>565</v>
      </c>
    </row>
    <row r="478" spans="1:17" x14ac:dyDescent="0.25">
      <c r="A478" s="8" t="s">
        <v>3758</v>
      </c>
      <c r="B478" s="8" t="s">
        <v>3759</v>
      </c>
      <c r="C478" s="9" t="s">
        <v>3760</v>
      </c>
      <c r="D478" s="9" t="s">
        <v>83</v>
      </c>
      <c r="E478" s="9" t="s">
        <v>83</v>
      </c>
      <c r="F478" s="10">
        <v>1.359</v>
      </c>
      <c r="G478" s="10">
        <v>1.495</v>
      </c>
      <c r="H478" s="10"/>
      <c r="I478" s="9" t="s">
        <v>83</v>
      </c>
      <c r="J478" s="9" t="s">
        <v>3761</v>
      </c>
      <c r="K478" s="9" t="s">
        <v>3762</v>
      </c>
      <c r="L478" s="8" t="s">
        <v>2695</v>
      </c>
      <c r="M478" s="9" t="s">
        <v>36</v>
      </c>
      <c r="N478" s="9" t="s">
        <v>37</v>
      </c>
      <c r="O478" s="9">
        <f>HYPERLINK("https://www.google.com/maps/search/?api=1&amp;query=40.36705528,-3.69385448", "https://www.google.com/maps/search/?api=1&amp;query=40.36705528,-3.69385448")</f>
      </c>
      <c r="P478" s="9" t="s">
        <v>3763</v>
      </c>
      <c r="Q478" s="9" t="s">
        <v>102</v>
      </c>
    </row>
    <row r="479" spans="1:17" x14ac:dyDescent="0.25">
      <c r="A479" s="8" t="s">
        <v>3764</v>
      </c>
      <c r="B479" s="8" t="s">
        <v>3765</v>
      </c>
      <c r="C479" s="9" t="s">
        <v>3766</v>
      </c>
      <c r="D479" s="9" t="s">
        <v>83</v>
      </c>
      <c r="E479" s="9" t="s">
        <v>3767</v>
      </c>
      <c r="F479" s="10">
        <v>1.359</v>
      </c>
      <c r="G479" s="10">
        <v>1.495</v>
      </c>
      <c r="H479" s="10"/>
      <c r="I479" s="9" t="s">
        <v>83</v>
      </c>
      <c r="J479" s="9" t="s">
        <v>3768</v>
      </c>
      <c r="K479" s="9" t="s">
        <v>3769</v>
      </c>
      <c r="L479" s="8" t="s">
        <v>3770</v>
      </c>
      <c r="M479" s="9" t="s">
        <v>100</v>
      </c>
      <c r="N479" s="9" t="s">
        <v>37</v>
      </c>
      <c r="O479" s="9">
        <f>HYPERLINK("https://www.google.com/maps/search/?api=1&amp;query=40.29110588,-3.50725433", "https://www.google.com/maps/search/?api=1&amp;query=40.29110588,-3.50725433")</f>
      </c>
      <c r="P479" s="9" t="s">
        <v>3530</v>
      </c>
      <c r="Q479" s="9" t="s">
        <v>3771</v>
      </c>
    </row>
    <row r="480" spans="1:17" x14ac:dyDescent="0.25">
      <c r="A480" s="8" t="s">
        <v>3772</v>
      </c>
      <c r="B480" s="8" t="s">
        <v>3773</v>
      </c>
      <c r="C480" s="9" t="s">
        <v>3774</v>
      </c>
      <c r="D480" s="9" t="s">
        <v>187</v>
      </c>
      <c r="E480" s="9" t="s">
        <v>3775</v>
      </c>
      <c r="F480" s="10">
        <v>1.359</v>
      </c>
      <c r="G480" s="10">
        <v>1.495</v>
      </c>
      <c r="H480" s="10"/>
      <c r="I480" s="9" t="s">
        <v>74</v>
      </c>
      <c r="J480" s="9" t="s">
        <v>3776</v>
      </c>
      <c r="K480" s="9" t="s">
        <v>3777</v>
      </c>
      <c r="L480" s="8" t="s">
        <v>3778</v>
      </c>
      <c r="M480" s="9" t="s">
        <v>49</v>
      </c>
      <c r="N480" s="9" t="s">
        <v>211</v>
      </c>
      <c r="O480" s="9">
        <f>HYPERLINK("https://www.google.com/maps/search/?api=1&amp;query=42.6914166,-5.7706459", "https://www.google.com/maps/search/?api=1&amp;query=42.6914166,-5.7706459")</f>
      </c>
      <c r="P480" s="9" t="s">
        <v>1250</v>
      </c>
      <c r="Q480" s="9" t="s">
        <v>3779</v>
      </c>
    </row>
    <row r="481" spans="1:17" x14ac:dyDescent="0.25">
      <c r="A481" s="8" t="s">
        <v>3780</v>
      </c>
      <c r="B481" s="8" t="s">
        <v>3781</v>
      </c>
      <c r="C481" s="9" t="s">
        <v>3782</v>
      </c>
      <c r="D481" s="9" t="s">
        <v>290</v>
      </c>
      <c r="E481" s="9" t="s">
        <v>290</v>
      </c>
      <c r="F481" s="10">
        <v>1.359</v>
      </c>
      <c r="G481" s="10">
        <v>1.495</v>
      </c>
      <c r="H481" s="10"/>
      <c r="I481" s="9" t="s">
        <v>292</v>
      </c>
      <c r="J481" s="9" t="s">
        <v>3783</v>
      </c>
      <c r="K481" s="9" t="s">
        <v>3784</v>
      </c>
      <c r="L481" s="8" t="s">
        <v>3785</v>
      </c>
      <c r="M481" s="9" t="s">
        <v>49</v>
      </c>
      <c r="N481" s="9" t="s">
        <v>88</v>
      </c>
      <c r="O481" s="9">
        <f>HYPERLINK("https://www.google.com/maps/search/?api=1&amp;query=40.33279385,-1.08747022", "https://www.google.com/maps/search/?api=1&amp;query=40.33279385,-1.08747022")</f>
      </c>
      <c r="P481" s="9" t="s">
        <v>2262</v>
      </c>
      <c r="Q481" s="9" t="s">
        <v>1059</v>
      </c>
    </row>
    <row r="482" spans="1:17" x14ac:dyDescent="0.25">
      <c r="A482" s="8" t="s">
        <v>3786</v>
      </c>
      <c r="B482" s="8" t="s">
        <v>3787</v>
      </c>
      <c r="C482" s="9" t="s">
        <v>3788</v>
      </c>
      <c r="D482" s="9" t="s">
        <v>83</v>
      </c>
      <c r="E482" s="9" t="s">
        <v>83</v>
      </c>
      <c r="F482" s="10">
        <v>1.359</v>
      </c>
      <c r="G482" s="10">
        <v>1.495</v>
      </c>
      <c r="H482" s="10"/>
      <c r="I482" s="9" t="s">
        <v>83</v>
      </c>
      <c r="J482" s="9" t="s">
        <v>3789</v>
      </c>
      <c r="K482" s="9" t="s">
        <v>3790</v>
      </c>
      <c r="L482" s="8" t="s">
        <v>1219</v>
      </c>
      <c r="M482" s="9" t="s">
        <v>100</v>
      </c>
      <c r="N482" s="9" t="s">
        <v>66</v>
      </c>
      <c r="O482" s="9">
        <f>HYPERLINK("https://www.google.com/maps/search/?api=1&amp;query=40.44914105,-3.56541803", "https://www.google.com/maps/search/?api=1&amp;query=40.44914105,-3.56541803")</f>
      </c>
      <c r="P482" s="9" t="s">
        <v>3791</v>
      </c>
      <c r="Q482" s="9" t="s">
        <v>3792</v>
      </c>
    </row>
    <row r="483" spans="1:17" x14ac:dyDescent="0.25">
      <c r="A483" s="8" t="s">
        <v>3793</v>
      </c>
      <c r="B483" s="8" t="s">
        <v>3794</v>
      </c>
      <c r="C483" s="9" t="s">
        <v>3795</v>
      </c>
      <c r="D483" s="9" t="s">
        <v>94</v>
      </c>
      <c r="E483" s="9" t="s">
        <v>3796</v>
      </c>
      <c r="F483" s="10">
        <v>1.359</v>
      </c>
      <c r="G483" s="10">
        <v>1.495</v>
      </c>
      <c r="H483" s="10"/>
      <c r="I483" s="9" t="s">
        <v>96</v>
      </c>
      <c r="J483" s="9" t="s">
        <v>3797</v>
      </c>
      <c r="K483" s="9" t="s">
        <v>3798</v>
      </c>
      <c r="L483" s="8" t="s">
        <v>3799</v>
      </c>
      <c r="M483" s="9" t="s">
        <v>49</v>
      </c>
      <c r="N483" s="9" t="s">
        <v>88</v>
      </c>
      <c r="O483" s="9">
        <f>HYPERLINK("https://www.google.com/maps/search/?api=1&amp;query=41.5621248,1.96755422", "https://www.google.com/maps/search/?api=1&amp;query=41.5621248,1.96755422")</f>
      </c>
      <c r="P483" s="9" t="s">
        <v>258</v>
      </c>
      <c r="Q483" s="9" t="s">
        <v>3800</v>
      </c>
    </row>
    <row r="484" spans="1:17" x14ac:dyDescent="0.25">
      <c r="A484" s="8" t="s">
        <v>3801</v>
      </c>
      <c r="B484" s="8" t="s">
        <v>3802</v>
      </c>
      <c r="C484" s="9" t="s">
        <v>3803</v>
      </c>
      <c r="D484" s="9" t="s">
        <v>166</v>
      </c>
      <c r="E484" s="9" t="s">
        <v>166</v>
      </c>
      <c r="F484" s="10">
        <v>1.359</v>
      </c>
      <c r="G484" s="10">
        <v>1.495</v>
      </c>
      <c r="H484" s="10"/>
      <c r="I484" s="9" t="s">
        <v>168</v>
      </c>
      <c r="J484" s="9" t="s">
        <v>3804</v>
      </c>
      <c r="K484" s="9" t="s">
        <v>3805</v>
      </c>
      <c r="L484" s="8" t="s">
        <v>3806</v>
      </c>
      <c r="M484" s="9" t="s">
        <v>49</v>
      </c>
      <c r="N484" s="9" t="s">
        <v>37</v>
      </c>
      <c r="O484" s="9">
        <f>HYPERLINK("https://www.google.com/maps/search/?api=1&amp;query=40.64334542,-3.14282659", "https://www.google.com/maps/search/?api=1&amp;query=40.64334542,-3.14282659")</f>
      </c>
      <c r="P484" s="9" t="s">
        <v>2465</v>
      </c>
      <c r="Q484" s="9" t="s">
        <v>420</v>
      </c>
    </row>
    <row r="485" spans="1:17" x14ac:dyDescent="0.25">
      <c r="A485" s="8" t="s">
        <v>3807</v>
      </c>
      <c r="B485" s="8" t="s">
        <v>3808</v>
      </c>
      <c r="C485" s="9" t="s">
        <v>3809</v>
      </c>
      <c r="D485" s="9" t="s">
        <v>94</v>
      </c>
      <c r="E485" s="9" t="s">
        <v>3810</v>
      </c>
      <c r="F485" s="10">
        <v>1.359</v>
      </c>
      <c r="G485" s="10">
        <v>1.495</v>
      </c>
      <c r="H485" s="10"/>
      <c r="I485" s="9" t="s">
        <v>96</v>
      </c>
      <c r="J485" s="9" t="s">
        <v>3811</v>
      </c>
      <c r="K485" s="9" t="s">
        <v>3812</v>
      </c>
      <c r="L485" s="8" t="s">
        <v>3813</v>
      </c>
      <c r="M485" s="9" t="s">
        <v>49</v>
      </c>
      <c r="N485" s="9" t="s">
        <v>37</v>
      </c>
      <c r="O485" s="9">
        <f>HYPERLINK("https://www.google.com/maps/search/?api=1&amp;query=41.49823067,2.04939588", "https://www.google.com/maps/search/?api=1&amp;query=41.49823067,2.04939588")</f>
      </c>
      <c r="P485" s="9" t="s">
        <v>172</v>
      </c>
      <c r="Q485" s="9" t="s">
        <v>3814</v>
      </c>
    </row>
    <row r="486" spans="1:17" x14ac:dyDescent="0.25">
      <c r="A486" s="8" t="s">
        <v>3815</v>
      </c>
      <c r="B486" s="8" t="s">
        <v>3816</v>
      </c>
      <c r="C486" s="9" t="s">
        <v>3817</v>
      </c>
      <c r="D486" s="9" t="s">
        <v>808</v>
      </c>
      <c r="E486" s="9" t="s">
        <v>3818</v>
      </c>
      <c r="F486" s="10">
        <v>1.359</v>
      </c>
      <c r="G486" s="10">
        <v>1.495</v>
      </c>
      <c r="H486" s="10"/>
      <c r="I486" s="9" t="s">
        <v>808</v>
      </c>
      <c r="J486" s="9" t="s">
        <v>3819</v>
      </c>
      <c r="K486" s="9" t="s">
        <v>3820</v>
      </c>
      <c r="L486" s="8" t="s">
        <v>3821</v>
      </c>
      <c r="M486" s="9" t="s">
        <v>36</v>
      </c>
      <c r="N486" s="9" t="s">
        <v>88</v>
      </c>
      <c r="O486" s="9">
        <f>HYPERLINK("https://www.google.com/maps/search/?api=1&amp;query=43.39409543,-3.45962196", "https://www.google.com/maps/search/?api=1&amp;query=43.39409543,-3.45962196")</f>
      </c>
      <c r="P486" s="9" t="s">
        <v>1100</v>
      </c>
      <c r="Q486" s="9" t="s">
        <v>3822</v>
      </c>
    </row>
    <row r="487" spans="1:17" x14ac:dyDescent="0.25">
      <c r="A487" s="8" t="s">
        <v>3823</v>
      </c>
      <c r="B487" s="8" t="s">
        <v>3824</v>
      </c>
      <c r="C487" s="9" t="s">
        <v>3825</v>
      </c>
      <c r="D487" s="9" t="s">
        <v>577</v>
      </c>
      <c r="E487" s="9" t="s">
        <v>3826</v>
      </c>
      <c r="F487" s="10">
        <v>1.359</v>
      </c>
      <c r="G487" s="10">
        <v>1.495</v>
      </c>
      <c r="H487" s="10"/>
      <c r="I487" s="9" t="s">
        <v>74</v>
      </c>
      <c r="J487" s="9" t="s">
        <v>3827</v>
      </c>
      <c r="K487" s="9" t="s">
        <v>3828</v>
      </c>
      <c r="L487" s="8" t="s">
        <v>3829</v>
      </c>
      <c r="M487" s="9" t="s">
        <v>49</v>
      </c>
      <c r="N487" s="9" t="s">
        <v>122</v>
      </c>
      <c r="O487" s="9">
        <f>HYPERLINK("https://www.google.com/maps/search/?api=1&amp;query=40.22709005,-4.88669198", "https://www.google.com/maps/search/?api=1&amp;query=40.22709005,-4.88669198")</f>
      </c>
      <c r="P487" s="9" t="s">
        <v>1203</v>
      </c>
      <c r="Q487" s="9" t="s">
        <v>3830</v>
      </c>
    </row>
    <row r="488" spans="1:17" x14ac:dyDescent="0.25">
      <c r="A488" s="8" t="s">
        <v>3831</v>
      </c>
      <c r="B488" s="8" t="s">
        <v>3832</v>
      </c>
      <c r="C488" s="9" t="s">
        <v>3833</v>
      </c>
      <c r="D488" s="9" t="s">
        <v>128</v>
      </c>
      <c r="E488" s="9" t="s">
        <v>3834</v>
      </c>
      <c r="F488" s="10">
        <v>1.359</v>
      </c>
      <c r="G488" s="10">
        <v>1.495</v>
      </c>
      <c r="H488" s="10"/>
      <c r="I488" s="9" t="s">
        <v>45</v>
      </c>
      <c r="J488" s="9" t="s">
        <v>3835</v>
      </c>
      <c r="K488" s="9" t="s">
        <v>3836</v>
      </c>
      <c r="L488" s="8" t="s">
        <v>3837</v>
      </c>
      <c r="M488" s="9" t="s">
        <v>36</v>
      </c>
      <c r="N488" s="9" t="s">
        <v>37</v>
      </c>
      <c r="O488" s="9">
        <f>HYPERLINK("https://www.google.com/maps/search/?api=1&amp;query=36.44201568,-6.14341305", "https://www.google.com/maps/search/?api=1&amp;query=36.44201568,-6.14341305")</f>
      </c>
      <c r="P488" s="9" t="s">
        <v>521</v>
      </c>
      <c r="Q488" s="9" t="s">
        <v>1278</v>
      </c>
    </row>
    <row r="489" spans="1:17" x14ac:dyDescent="0.25">
      <c r="A489" s="8" t="s">
        <v>3838</v>
      </c>
      <c r="B489" s="8" t="s">
        <v>3839</v>
      </c>
      <c r="C489" s="9" t="s">
        <v>3840</v>
      </c>
      <c r="D489" s="9" t="s">
        <v>3841</v>
      </c>
      <c r="E489" s="9" t="s">
        <v>3842</v>
      </c>
      <c r="F489" s="10">
        <v>1.359</v>
      </c>
      <c r="G489" s="10">
        <v>1.495</v>
      </c>
      <c r="H489" s="10"/>
      <c r="I489" s="9" t="s">
        <v>74</v>
      </c>
      <c r="J489" s="9" t="s">
        <v>3843</v>
      </c>
      <c r="K489" s="9" t="s">
        <v>3844</v>
      </c>
      <c r="L489" s="8" t="s">
        <v>3845</v>
      </c>
      <c r="M489" s="9" t="s">
        <v>49</v>
      </c>
      <c r="N489" s="9" t="s">
        <v>211</v>
      </c>
      <c r="O489" s="9">
        <f>HYPERLINK("https://www.google.com/maps/search/?api=1&amp;query=41.48083043,-2.52854533", "https://www.google.com/maps/search/?api=1&amp;query=41.48083043,-2.52854533")</f>
      </c>
      <c r="P489" s="9" t="s">
        <v>617</v>
      </c>
      <c r="Q489" s="9" t="s">
        <v>3846</v>
      </c>
    </row>
    <row r="490" spans="1:17" x14ac:dyDescent="0.25">
      <c r="A490" s="8" t="s">
        <v>3847</v>
      </c>
      <c r="B490" s="8" t="s">
        <v>3848</v>
      </c>
      <c r="C490" s="9" t="s">
        <v>3849</v>
      </c>
      <c r="D490" s="9" t="s">
        <v>94</v>
      </c>
      <c r="E490" s="9" t="s">
        <v>3850</v>
      </c>
      <c r="F490" s="10">
        <v>1.359</v>
      </c>
      <c r="G490" s="10">
        <v>1.495</v>
      </c>
      <c r="H490" s="10"/>
      <c r="I490" s="9" t="s">
        <v>96</v>
      </c>
      <c r="J490" s="9" t="s">
        <v>3851</v>
      </c>
      <c r="K490" s="9" t="s">
        <v>3852</v>
      </c>
      <c r="L490" s="8" t="s">
        <v>3853</v>
      </c>
      <c r="M490" s="9" t="s">
        <v>49</v>
      </c>
      <c r="N490" s="9" t="s">
        <v>88</v>
      </c>
      <c r="O490" s="9">
        <f>HYPERLINK("https://www.google.com/maps/search/?api=1&amp;query=41.22540412,1.73945953", "https://www.google.com/maps/search/?api=1&amp;query=41.22540412,1.73945953")</f>
      </c>
      <c r="P490" s="9" t="s">
        <v>1590</v>
      </c>
      <c r="Q490" s="9" t="s">
        <v>1534</v>
      </c>
    </row>
    <row r="491" spans="1:17" x14ac:dyDescent="0.25">
      <c r="A491" s="8" t="s">
        <v>3854</v>
      </c>
      <c r="B491" s="8" t="s">
        <v>3855</v>
      </c>
      <c r="C491" s="9" t="s">
        <v>3856</v>
      </c>
      <c r="D491" s="9" t="s">
        <v>400</v>
      </c>
      <c r="E491" s="9" t="s">
        <v>3857</v>
      </c>
      <c r="F491" s="10">
        <v>1.359</v>
      </c>
      <c r="G491" s="10">
        <v>1.495</v>
      </c>
      <c r="H491" s="10"/>
      <c r="I491" s="9" t="s">
        <v>400</v>
      </c>
      <c r="J491" s="9" t="s">
        <v>3858</v>
      </c>
      <c r="K491" s="9" t="s">
        <v>3859</v>
      </c>
      <c r="L491" s="8" t="s">
        <v>3860</v>
      </c>
      <c r="M491" s="9" t="s">
        <v>49</v>
      </c>
      <c r="N491" s="9" t="s">
        <v>556</v>
      </c>
      <c r="O491" s="9">
        <f>HYPERLINK("https://www.google.com/maps/search/?api=1&amp;query=39.43059478,-0.77806742", "https://www.google.com/maps/search/?api=1&amp;query=39.43059478,-0.77806742")</f>
      </c>
      <c r="P491" s="9" t="s">
        <v>557</v>
      </c>
      <c r="Q491" s="9" t="s">
        <v>3861</v>
      </c>
    </row>
    <row r="492" spans="1:17" x14ac:dyDescent="0.25">
      <c r="A492" s="8" t="s">
        <v>3862</v>
      </c>
      <c r="B492" s="8" t="s">
        <v>3863</v>
      </c>
      <c r="C492" s="9" t="s">
        <v>3864</v>
      </c>
      <c r="D492" s="9" t="s">
        <v>61</v>
      </c>
      <c r="E492" s="9" t="s">
        <v>3865</v>
      </c>
      <c r="F492" s="10">
        <v>1.359</v>
      </c>
      <c r="G492" s="10">
        <v>1.495</v>
      </c>
      <c r="H492" s="10"/>
      <c r="I492" s="9" t="s">
        <v>45</v>
      </c>
      <c r="J492" s="9" t="s">
        <v>3866</v>
      </c>
      <c r="K492" s="9" t="s">
        <v>3867</v>
      </c>
      <c r="L492" s="8" t="s">
        <v>3868</v>
      </c>
      <c r="M492" s="9" t="s">
        <v>49</v>
      </c>
      <c r="N492" s="9" t="s">
        <v>37</v>
      </c>
      <c r="O492" s="9">
        <f>HYPERLINK("https://www.google.com/maps/search/?api=1&amp;query=37.57221452,-6.10893742", "https://www.google.com/maps/search/?api=1&amp;query=37.57221452,-6.10893742")</f>
      </c>
      <c r="P492" s="9" t="s">
        <v>880</v>
      </c>
      <c r="Q492" s="9" t="s">
        <v>3869</v>
      </c>
    </row>
    <row r="493" spans="1:17" x14ac:dyDescent="0.25">
      <c r="A493" s="8" t="s">
        <v>3870</v>
      </c>
      <c r="B493" s="8" t="s">
        <v>3871</v>
      </c>
      <c r="C493" s="9" t="s">
        <v>3872</v>
      </c>
      <c r="D493" s="9" t="s">
        <v>424</v>
      </c>
      <c r="E493" s="9" t="s">
        <v>3873</v>
      </c>
      <c r="F493" s="10">
        <v>1.359</v>
      </c>
      <c r="G493" s="10">
        <v>1.495</v>
      </c>
      <c r="H493" s="10"/>
      <c r="I493" s="9" t="s">
        <v>96</v>
      </c>
      <c r="J493" s="9" t="s">
        <v>3874</v>
      </c>
      <c r="K493" s="9" t="s">
        <v>3875</v>
      </c>
      <c r="L493" s="8" t="s">
        <v>3876</v>
      </c>
      <c r="M493" s="9" t="s">
        <v>49</v>
      </c>
      <c r="N493" s="9" t="s">
        <v>3877</v>
      </c>
      <c r="O493" s="9">
        <f>HYPERLINK("https://www.google.com/maps/search/?api=1&amp;query=41.54883222,0.82363076", "https://www.google.com/maps/search/?api=1&amp;query=41.54883222,0.82363076")</f>
      </c>
      <c r="P493" s="9" t="s">
        <v>880</v>
      </c>
      <c r="Q493" s="9" t="s">
        <v>1131</v>
      </c>
    </row>
    <row r="494" spans="1:17" x14ac:dyDescent="0.25">
      <c r="A494" s="8" t="s">
        <v>3878</v>
      </c>
      <c r="B494" s="8" t="s">
        <v>3879</v>
      </c>
      <c r="C494" s="9" t="s">
        <v>3880</v>
      </c>
      <c r="D494" s="9" t="s">
        <v>516</v>
      </c>
      <c r="E494" s="9" t="s">
        <v>3881</v>
      </c>
      <c r="F494" s="10">
        <v>1.359</v>
      </c>
      <c r="G494" s="10">
        <v>1.495</v>
      </c>
      <c r="H494" s="10"/>
      <c r="I494" s="9" t="s">
        <v>140</v>
      </c>
      <c r="J494" s="9" t="s">
        <v>3882</v>
      </c>
      <c r="K494" s="9" t="s">
        <v>3883</v>
      </c>
      <c r="L494" s="8" t="s">
        <v>3884</v>
      </c>
      <c r="M494" s="9" t="s">
        <v>49</v>
      </c>
      <c r="N494" s="9" t="s">
        <v>211</v>
      </c>
      <c r="O494" s="9">
        <f>HYPERLINK("https://www.google.com/maps/search/?api=1&amp;query=43.03934756,-7.5732008", "https://www.google.com/maps/search/?api=1&amp;query=43.03934756,-7.5732008")</f>
      </c>
      <c r="P494" s="9" t="s">
        <v>880</v>
      </c>
      <c r="Q494" s="9" t="s">
        <v>3885</v>
      </c>
    </row>
    <row r="495" spans="1:17" x14ac:dyDescent="0.25">
      <c r="A495" s="8" t="s">
        <v>3886</v>
      </c>
      <c r="B495" s="8" t="s">
        <v>3887</v>
      </c>
      <c r="C495" s="9" t="s">
        <v>3888</v>
      </c>
      <c r="D495" s="9" t="s">
        <v>106</v>
      </c>
      <c r="E495" s="9" t="s">
        <v>3889</v>
      </c>
      <c r="F495" s="10">
        <v>1.359</v>
      </c>
      <c r="G495" s="10">
        <v>1.495</v>
      </c>
      <c r="H495" s="10"/>
      <c r="I495" s="9" t="s">
        <v>106</v>
      </c>
      <c r="J495" s="9" t="s">
        <v>3890</v>
      </c>
      <c r="K495" s="9" t="s">
        <v>3891</v>
      </c>
      <c r="L495" s="8" t="s">
        <v>3892</v>
      </c>
      <c r="M495" s="9" t="s">
        <v>36</v>
      </c>
      <c r="N495" s="9" t="s">
        <v>37</v>
      </c>
      <c r="O495" s="9">
        <f>HYPERLINK("https://www.google.com/maps/search/?api=1&amp;query=37.91242041,-1.31355251", "https://www.google.com/maps/search/?api=1&amp;query=37.91242041,-1.31355251")</f>
      </c>
      <c r="P495" s="9" t="s">
        <v>3580</v>
      </c>
      <c r="Q495" s="9" t="s">
        <v>3893</v>
      </c>
    </row>
    <row r="496" spans="1:17" x14ac:dyDescent="0.25">
      <c r="A496" s="8" t="s">
        <v>3894</v>
      </c>
      <c r="B496" s="8" t="s">
        <v>3895</v>
      </c>
      <c r="C496" s="9" t="s">
        <v>3896</v>
      </c>
      <c r="D496" s="9" t="s">
        <v>409</v>
      </c>
      <c r="E496" s="9" t="s">
        <v>409</v>
      </c>
      <c r="F496" s="10">
        <v>1.359</v>
      </c>
      <c r="G496" s="10">
        <v>1.495</v>
      </c>
      <c r="H496" s="10"/>
      <c r="I496" s="9" t="s">
        <v>292</v>
      </c>
      <c r="J496" s="9" t="s">
        <v>3897</v>
      </c>
      <c r="K496" s="9" t="s">
        <v>3898</v>
      </c>
      <c r="L496" s="8" t="s">
        <v>3899</v>
      </c>
      <c r="M496" s="9" t="s">
        <v>36</v>
      </c>
      <c r="N496" s="9" t="s">
        <v>645</v>
      </c>
      <c r="O496" s="9">
        <f>HYPERLINK("https://www.google.com/maps/search/?api=1&amp;query=41.62685945,-0.92276486", "https://www.google.com/maps/search/?api=1&amp;query=41.62685945,-0.92276486")</f>
      </c>
      <c r="P496" s="9" t="s">
        <v>3900</v>
      </c>
      <c r="Q496" s="9" t="s">
        <v>3901</v>
      </c>
    </row>
    <row r="497" spans="1:17" x14ac:dyDescent="0.25">
      <c r="A497" s="8" t="s">
        <v>3902</v>
      </c>
      <c r="B497" s="8" t="s">
        <v>3903</v>
      </c>
      <c r="C497" s="9" t="s">
        <v>3904</v>
      </c>
      <c r="D497" s="9" t="s">
        <v>83</v>
      </c>
      <c r="E497" s="9" t="s">
        <v>534</v>
      </c>
      <c r="F497" s="10">
        <v>1.359</v>
      </c>
      <c r="G497" s="10">
        <v>1.495</v>
      </c>
      <c r="H497" s="10"/>
      <c r="I497" s="9" t="s">
        <v>83</v>
      </c>
      <c r="J497" s="9" t="s">
        <v>3905</v>
      </c>
      <c r="K497" s="9" t="s">
        <v>3906</v>
      </c>
      <c r="L497" s="8" t="s">
        <v>537</v>
      </c>
      <c r="M497" s="9" t="s">
        <v>49</v>
      </c>
      <c r="N497" s="9" t="s">
        <v>88</v>
      </c>
      <c r="O497" s="9">
        <f>HYPERLINK("https://www.google.com/maps/search/?api=1&amp;query=40.24710504,-3.76509644", "https://www.google.com/maps/search/?api=1&amp;query=40.24710504,-3.76509644")</f>
      </c>
      <c r="P497" s="9" t="s">
        <v>172</v>
      </c>
      <c r="Q497" s="9" t="s">
        <v>539</v>
      </c>
    </row>
    <row r="498" spans="1:17" x14ac:dyDescent="0.25">
      <c r="A498" s="8" t="s">
        <v>3907</v>
      </c>
      <c r="B498" s="8" t="s">
        <v>3908</v>
      </c>
      <c r="C498" s="9" t="s">
        <v>3909</v>
      </c>
      <c r="D498" s="9" t="s">
        <v>488</v>
      </c>
      <c r="E498" s="9" t="s">
        <v>3910</v>
      </c>
      <c r="F498" s="10">
        <v>1.359</v>
      </c>
      <c r="G498" s="10">
        <v>1.495</v>
      </c>
      <c r="H498" s="10"/>
      <c r="I498" s="9" t="s">
        <v>45</v>
      </c>
      <c r="J498" s="9" t="s">
        <v>3911</v>
      </c>
      <c r="K498" s="9" t="s">
        <v>3912</v>
      </c>
      <c r="L498" s="8" t="s">
        <v>3913</v>
      </c>
      <c r="M498" s="9" t="s">
        <v>36</v>
      </c>
      <c r="N498" s="9" t="s">
        <v>37</v>
      </c>
      <c r="O498" s="9">
        <f>HYPERLINK("https://www.google.com/maps/search/?api=1&amp;query=38.19345307,-3.67200227", "https://www.google.com/maps/search/?api=1&amp;query=38.19345307,-3.67200227")</f>
      </c>
      <c r="P498" s="9" t="s">
        <v>3914</v>
      </c>
      <c r="Q498" s="9" t="s">
        <v>183</v>
      </c>
    </row>
    <row r="499" spans="1:17" x14ac:dyDescent="0.25">
      <c r="A499" s="8" t="s">
        <v>3915</v>
      </c>
      <c r="B499" s="8" t="s">
        <v>3916</v>
      </c>
      <c r="C499" s="9" t="s">
        <v>3917</v>
      </c>
      <c r="D499" s="9" t="s">
        <v>2050</v>
      </c>
      <c r="E499" s="9" t="s">
        <v>2883</v>
      </c>
      <c r="F499" s="10">
        <v>1.359</v>
      </c>
      <c r="G499" s="10">
        <v>1.495</v>
      </c>
      <c r="H499" s="10"/>
      <c r="I499" s="9" t="s">
        <v>140</v>
      </c>
      <c r="J499" s="9" t="s">
        <v>3918</v>
      </c>
      <c r="K499" s="9" t="s">
        <v>3919</v>
      </c>
      <c r="L499" s="8" t="s">
        <v>2886</v>
      </c>
      <c r="M499" s="9" t="s">
        <v>49</v>
      </c>
      <c r="N499" s="9" t="s">
        <v>37</v>
      </c>
      <c r="O499" s="9">
        <f>HYPERLINK("https://www.google.com/maps/search/?api=1&amp;query=42.25078527,-7.86433176", "https://www.google.com/maps/search/?api=1&amp;query=42.25078527,-7.86433176")</f>
      </c>
      <c r="P499" s="9" t="s">
        <v>897</v>
      </c>
      <c r="Q499" s="9" t="s">
        <v>3920</v>
      </c>
    </row>
    <row r="500" spans="1:17" x14ac:dyDescent="0.25">
      <c r="A500" s="8" t="s">
        <v>3921</v>
      </c>
      <c r="B500" s="8" t="s">
        <v>3922</v>
      </c>
      <c r="C500" s="9" t="s">
        <v>3923</v>
      </c>
      <c r="D500" s="9" t="s">
        <v>83</v>
      </c>
      <c r="E500" s="9" t="s">
        <v>604</v>
      </c>
      <c r="F500" s="10">
        <v>1.359</v>
      </c>
      <c r="G500" s="10">
        <v>1.495</v>
      </c>
      <c r="H500" s="10"/>
      <c r="I500" s="9" t="s">
        <v>83</v>
      </c>
      <c r="J500" s="9" t="s">
        <v>3924</v>
      </c>
      <c r="K500" s="9" t="s">
        <v>3925</v>
      </c>
      <c r="L500" s="8" t="s">
        <v>746</v>
      </c>
      <c r="M500" s="9" t="s">
        <v>49</v>
      </c>
      <c r="N500" s="9" t="s">
        <v>37</v>
      </c>
      <c r="O500" s="9">
        <f>HYPERLINK("https://www.google.com/maps/search/?api=1&amp;query=40.35716617,-3.77353443", "https://www.google.com/maps/search/?api=1&amp;query=40.35716617,-3.77353443")</f>
      </c>
      <c r="P500" s="9" t="s">
        <v>1203</v>
      </c>
      <c r="Q500" s="9" t="s">
        <v>3926</v>
      </c>
    </row>
    <row r="501" spans="1:17" x14ac:dyDescent="0.25">
      <c r="A501" s="8" t="s">
        <v>3927</v>
      </c>
      <c r="B501" s="8" t="s">
        <v>3928</v>
      </c>
      <c r="C501" s="9" t="s">
        <v>3929</v>
      </c>
      <c r="D501" s="9" t="s">
        <v>155</v>
      </c>
      <c r="E501" s="9" t="s">
        <v>3930</v>
      </c>
      <c r="F501" s="10">
        <v>1.359</v>
      </c>
      <c r="G501" s="10">
        <v>1.495</v>
      </c>
      <c r="H501" s="10"/>
      <c r="I501" s="9" t="s">
        <v>157</v>
      </c>
      <c r="J501" s="9" t="s">
        <v>3931</v>
      </c>
      <c r="K501" s="9" t="s">
        <v>3932</v>
      </c>
      <c r="L501" s="8" t="s">
        <v>3933</v>
      </c>
      <c r="M501" s="9" t="s">
        <v>36</v>
      </c>
      <c r="N501" s="9" t="s">
        <v>88</v>
      </c>
      <c r="O501" s="9">
        <f>HYPERLINK("https://www.google.com/maps/search/?api=1&amp;query=39.56750287,2.89597189", "https://www.google.com/maps/search/?api=1&amp;query=39.56750287,2.89597189")</f>
      </c>
      <c r="P501" s="9" t="s">
        <v>3934</v>
      </c>
      <c r="Q501" s="9" t="s">
        <v>565</v>
      </c>
    </row>
    <row r="502" spans="1:17" x14ac:dyDescent="0.25">
      <c r="A502" s="8" t="s">
        <v>3935</v>
      </c>
      <c r="B502" s="8" t="s">
        <v>3936</v>
      </c>
      <c r="C502" s="9" t="s">
        <v>3937</v>
      </c>
      <c r="D502" s="9" t="s">
        <v>516</v>
      </c>
      <c r="E502" s="9" t="s">
        <v>3938</v>
      </c>
      <c r="F502" s="10">
        <v>1.359</v>
      </c>
      <c r="G502" s="10">
        <v>1.495</v>
      </c>
      <c r="H502" s="10"/>
      <c r="I502" s="9" t="s">
        <v>140</v>
      </c>
      <c r="J502" s="9" t="s">
        <v>3939</v>
      </c>
      <c r="K502" s="9" t="s">
        <v>3940</v>
      </c>
      <c r="L502" s="8" t="s">
        <v>3941</v>
      </c>
      <c r="M502" s="9" t="s">
        <v>100</v>
      </c>
      <c r="N502" s="9" t="s">
        <v>211</v>
      </c>
      <c r="O502" s="9">
        <f>HYPERLINK("https://www.google.com/maps/search/?api=1&amp;query=42.98837242,-7.53568175", "https://www.google.com/maps/search/?api=1&amp;query=42.98837242,-7.53568175")</f>
      </c>
      <c r="P502" s="9" t="s">
        <v>521</v>
      </c>
      <c r="Q502" s="9" t="s">
        <v>3942</v>
      </c>
    </row>
    <row r="503" spans="1:17" x14ac:dyDescent="0.25">
      <c r="A503" s="8" t="s">
        <v>3943</v>
      </c>
      <c r="B503" s="8" t="s">
        <v>3944</v>
      </c>
      <c r="C503" s="9" t="s">
        <v>3945</v>
      </c>
      <c r="D503" s="9" t="s">
        <v>434</v>
      </c>
      <c r="E503" s="9" t="s">
        <v>3946</v>
      </c>
      <c r="F503" s="10">
        <v>1.359</v>
      </c>
      <c r="G503" s="10">
        <v>1.495</v>
      </c>
      <c r="H503" s="10"/>
      <c r="I503" s="9" t="s">
        <v>96</v>
      </c>
      <c r="J503" s="9" t="s">
        <v>3947</v>
      </c>
      <c r="K503" s="9" t="s">
        <v>3948</v>
      </c>
      <c r="L503" s="8" t="s">
        <v>3949</v>
      </c>
      <c r="M503" s="9" t="s">
        <v>36</v>
      </c>
      <c r="N503" s="9" t="s">
        <v>88</v>
      </c>
      <c r="O503" s="9">
        <f>HYPERLINK("https://www.google.com/maps/search/?api=1&amp;query=41.82883284,2.89650618", "https://www.google.com/maps/search/?api=1&amp;query=41.82883284,2.89650618")</f>
      </c>
      <c r="P503" s="9" t="s">
        <v>2967</v>
      </c>
      <c r="Q503" s="9" t="s">
        <v>112</v>
      </c>
    </row>
    <row r="504" spans="1:17" x14ac:dyDescent="0.25">
      <c r="A504" s="8" t="s">
        <v>3950</v>
      </c>
      <c r="B504" s="8" t="s">
        <v>3951</v>
      </c>
      <c r="C504" s="9" t="s">
        <v>3952</v>
      </c>
      <c r="D504" s="9" t="s">
        <v>344</v>
      </c>
      <c r="E504" s="9" t="s">
        <v>1931</v>
      </c>
      <c r="F504" s="10">
        <v>1.359</v>
      </c>
      <c r="G504" s="10">
        <v>1.495</v>
      </c>
      <c r="H504" s="10"/>
      <c r="I504" s="9" t="s">
        <v>140</v>
      </c>
      <c r="J504" s="9" t="s">
        <v>3953</v>
      </c>
      <c r="K504" s="9" t="s">
        <v>3954</v>
      </c>
      <c r="L504" s="8" t="s">
        <v>3955</v>
      </c>
      <c r="M504" s="9" t="s">
        <v>49</v>
      </c>
      <c r="N504" s="9" t="s">
        <v>211</v>
      </c>
      <c r="O504" s="9">
        <f>HYPERLINK("https://www.google.com/maps/search/?api=1&amp;query=43.33886779,-8.39372721", "https://www.google.com/maps/search/?api=1&amp;query=43.33886779,-8.39372721")</f>
      </c>
      <c r="P504" s="9" t="s">
        <v>419</v>
      </c>
      <c r="Q504" s="9" t="s">
        <v>3379</v>
      </c>
    </row>
    <row r="505" spans="1:17" x14ac:dyDescent="0.25">
      <c r="A505" s="8" t="s">
        <v>3956</v>
      </c>
      <c r="B505" s="8" t="s">
        <v>3957</v>
      </c>
      <c r="C505" s="9" t="s">
        <v>3958</v>
      </c>
      <c r="D505" s="9" t="s">
        <v>197</v>
      </c>
      <c r="E505" s="9" t="s">
        <v>3959</v>
      </c>
      <c r="F505" s="10">
        <v>1.359</v>
      </c>
      <c r="G505" s="10">
        <v>1.495</v>
      </c>
      <c r="H505" s="10"/>
      <c r="I505" s="9" t="s">
        <v>168</v>
      </c>
      <c r="J505" s="9" t="s">
        <v>3960</v>
      </c>
      <c r="K505" s="9" t="s">
        <v>3961</v>
      </c>
      <c r="L505" s="8" t="s">
        <v>3962</v>
      </c>
      <c r="M505" s="9" t="s">
        <v>36</v>
      </c>
      <c r="N505" s="9" t="s">
        <v>122</v>
      </c>
      <c r="O505" s="9">
        <f>HYPERLINK("https://www.google.com/maps/search/?api=1&amp;query=39.65271061,-4.27647551", "https://www.google.com/maps/search/?api=1&amp;query=39.65271061,-4.27647551")</f>
      </c>
      <c r="P505" s="9" t="s">
        <v>906</v>
      </c>
      <c r="Q505" s="9" t="s">
        <v>3963</v>
      </c>
    </row>
    <row r="506" spans="1:17" x14ac:dyDescent="0.25">
      <c r="A506" s="8" t="s">
        <v>3964</v>
      </c>
      <c r="B506" s="8" t="s">
        <v>3965</v>
      </c>
      <c r="C506" s="9" t="s">
        <v>3966</v>
      </c>
      <c r="D506" s="9" t="s">
        <v>424</v>
      </c>
      <c r="E506" s="9" t="s">
        <v>425</v>
      </c>
      <c r="F506" s="10">
        <v>1.359</v>
      </c>
      <c r="G506" s="10">
        <v>1.495</v>
      </c>
      <c r="H506" s="10"/>
      <c r="I506" s="9" t="s">
        <v>96</v>
      </c>
      <c r="J506" s="9" t="s">
        <v>3967</v>
      </c>
      <c r="K506" s="9" t="s">
        <v>3968</v>
      </c>
      <c r="L506" s="8" t="s">
        <v>428</v>
      </c>
      <c r="M506" s="9" t="s">
        <v>36</v>
      </c>
      <c r="N506" s="9" t="s">
        <v>211</v>
      </c>
      <c r="O506" s="9">
        <f>HYPERLINK("https://www.google.com/maps/search/?api=1&amp;query=42.70179309,0.79298845", "https://www.google.com/maps/search/?api=1&amp;query=42.70179309,0.79298845")</f>
      </c>
      <c r="P506" s="9" t="s">
        <v>1139</v>
      </c>
      <c r="Q506" s="9" t="s">
        <v>565</v>
      </c>
    </row>
    <row r="507" spans="1:17" x14ac:dyDescent="0.25">
      <c r="A507" s="8" t="s">
        <v>3969</v>
      </c>
      <c r="B507" s="8" t="s">
        <v>3970</v>
      </c>
      <c r="C507" s="9" t="s">
        <v>3971</v>
      </c>
      <c r="D507" s="9" t="s">
        <v>94</v>
      </c>
      <c r="E507" s="9" t="s">
        <v>950</v>
      </c>
      <c r="F507" s="10">
        <v>1.359</v>
      </c>
      <c r="G507" s="10">
        <v>1.495</v>
      </c>
      <c r="H507" s="10"/>
      <c r="I507" s="9" t="s">
        <v>96</v>
      </c>
      <c r="J507" s="9" t="s">
        <v>3972</v>
      </c>
      <c r="K507" s="9" t="s">
        <v>3973</v>
      </c>
      <c r="L507" s="8" t="s">
        <v>3974</v>
      </c>
      <c r="M507" s="9" t="s">
        <v>49</v>
      </c>
      <c r="N507" s="9" t="s">
        <v>37</v>
      </c>
      <c r="O507" s="9">
        <f>HYPERLINK("https://www.google.com/maps/search/?api=1&amp;query=41.45977961,2.24924337", "https://www.google.com/maps/search/?api=1&amp;query=41.45977961,2.24924337")</f>
      </c>
      <c r="P507" s="9" t="s">
        <v>222</v>
      </c>
      <c r="Q507" s="9" t="s">
        <v>3975</v>
      </c>
    </row>
    <row r="508" spans="1:17" x14ac:dyDescent="0.25">
      <c r="A508" s="8" t="s">
        <v>3976</v>
      </c>
      <c r="B508" s="8" t="s">
        <v>3977</v>
      </c>
      <c r="C508" s="9" t="s">
        <v>3978</v>
      </c>
      <c r="D508" s="9" t="s">
        <v>116</v>
      </c>
      <c r="E508" s="9" t="s">
        <v>3979</v>
      </c>
      <c r="F508" s="10">
        <v>1.359</v>
      </c>
      <c r="G508" s="10">
        <v>1.495</v>
      </c>
      <c r="H508" s="10"/>
      <c r="I508" s="9" t="s">
        <v>118</v>
      </c>
      <c r="J508" s="9" t="s">
        <v>3980</v>
      </c>
      <c r="K508" s="9" t="s">
        <v>3981</v>
      </c>
      <c r="L508" s="8" t="s">
        <v>3982</v>
      </c>
      <c r="M508" s="9" t="s">
        <v>36</v>
      </c>
      <c r="N508" s="9" t="s">
        <v>88</v>
      </c>
      <c r="O508" s="9">
        <f>HYPERLINK("https://www.google.com/maps/search/?api=1&amp;query=43.41991423,-2.7362736", "https://www.google.com/maps/search/?api=1&amp;query=43.41991423,-2.7362736")</f>
      </c>
      <c r="P508" s="9" t="s">
        <v>3140</v>
      </c>
      <c r="Q508" s="9" t="s">
        <v>832</v>
      </c>
    </row>
    <row r="509" spans="1:17" x14ac:dyDescent="0.25">
      <c r="A509" s="8" t="s">
        <v>3983</v>
      </c>
      <c r="B509" s="8" t="s">
        <v>3984</v>
      </c>
      <c r="C509" s="9" t="s">
        <v>3985</v>
      </c>
      <c r="D509" s="9" t="s">
        <v>94</v>
      </c>
      <c r="E509" s="9" t="s">
        <v>3986</v>
      </c>
      <c r="F509" s="10">
        <v>1.359</v>
      </c>
      <c r="G509" s="10">
        <v>1.495</v>
      </c>
      <c r="H509" s="10"/>
      <c r="I509" s="9" t="s">
        <v>96</v>
      </c>
      <c r="J509" s="9" t="s">
        <v>3987</v>
      </c>
      <c r="K509" s="9" t="s">
        <v>3988</v>
      </c>
      <c r="L509" s="8" t="s">
        <v>3989</v>
      </c>
      <c r="M509" s="9" t="s">
        <v>49</v>
      </c>
      <c r="N509" s="9" t="s">
        <v>37</v>
      </c>
      <c r="O509" s="9">
        <f>HYPERLINK("https://www.google.com/maps/search/?api=1&amp;query=41.35375292,2.12207223", "https://www.google.com/maps/search/?api=1&amp;query=41.35375292,2.12207223")</f>
      </c>
      <c r="P509" s="9" t="s">
        <v>2465</v>
      </c>
      <c r="Q509" s="9" t="s">
        <v>420</v>
      </c>
    </row>
    <row r="510" spans="1:17" x14ac:dyDescent="0.25">
      <c r="A510" s="8" t="s">
        <v>3990</v>
      </c>
      <c r="B510" s="8" t="s">
        <v>3991</v>
      </c>
      <c r="C510" s="9" t="s">
        <v>3992</v>
      </c>
      <c r="D510" s="9" t="s">
        <v>409</v>
      </c>
      <c r="E510" s="9" t="s">
        <v>3717</v>
      </c>
      <c r="F510" s="10">
        <v>1.359</v>
      </c>
      <c r="G510" s="10">
        <v>1.495</v>
      </c>
      <c r="H510" s="10"/>
      <c r="I510" s="9" t="s">
        <v>292</v>
      </c>
      <c r="J510" s="9" t="s">
        <v>3718</v>
      </c>
      <c r="K510" s="9" t="s">
        <v>3993</v>
      </c>
      <c r="L510" s="8" t="s">
        <v>3720</v>
      </c>
      <c r="M510" s="9" t="s">
        <v>36</v>
      </c>
      <c r="N510" s="9" t="s">
        <v>37</v>
      </c>
      <c r="O510" s="9">
        <f>HYPERLINK("https://www.google.com/maps/search/?api=1&amp;query=41.73210872,-1.03009421", "https://www.google.com/maps/search/?api=1&amp;query=41.73210872,-1.03009421")</f>
      </c>
      <c r="P510" s="9" t="s">
        <v>608</v>
      </c>
      <c r="Q510" s="9" t="s">
        <v>925</v>
      </c>
    </row>
    <row r="511" spans="1:17" x14ac:dyDescent="0.25">
      <c r="A511" s="8" t="s">
        <v>3994</v>
      </c>
      <c r="B511" s="8" t="s">
        <v>3995</v>
      </c>
      <c r="C511" s="9" t="s">
        <v>3996</v>
      </c>
      <c r="D511" s="9" t="s">
        <v>61</v>
      </c>
      <c r="E511" s="9" t="s">
        <v>3997</v>
      </c>
      <c r="F511" s="10">
        <v>1.359</v>
      </c>
      <c r="G511" s="10">
        <v>1.495</v>
      </c>
      <c r="H511" s="10"/>
      <c r="I511" s="9" t="s">
        <v>45</v>
      </c>
      <c r="J511" s="9" t="s">
        <v>3998</v>
      </c>
      <c r="K511" s="9" t="s">
        <v>3999</v>
      </c>
      <c r="L511" s="8" t="s">
        <v>4000</v>
      </c>
      <c r="M511" s="9" t="s">
        <v>49</v>
      </c>
      <c r="N511" s="9" t="s">
        <v>88</v>
      </c>
      <c r="O511" s="9">
        <f>HYPERLINK("https://www.google.com/maps/search/?api=1&amp;query=37.36832605,-5.9354436", "https://www.google.com/maps/search/?api=1&amp;query=37.36832605,-5.9354436")</f>
      </c>
      <c r="P511" s="9" t="s">
        <v>182</v>
      </c>
      <c r="Q511" s="9" t="s">
        <v>4001</v>
      </c>
    </row>
    <row r="512" spans="1:17" x14ac:dyDescent="0.25">
      <c r="A512" s="8" t="s">
        <v>4002</v>
      </c>
      <c r="B512" s="8" t="s">
        <v>4003</v>
      </c>
      <c r="C512" s="9" t="s">
        <v>4004</v>
      </c>
      <c r="D512" s="9" t="s">
        <v>94</v>
      </c>
      <c r="E512" s="9" t="s">
        <v>4005</v>
      </c>
      <c r="F512" s="10">
        <v>1.359</v>
      </c>
      <c r="G512" s="10">
        <v>1.495</v>
      </c>
      <c r="H512" s="10"/>
      <c r="I512" s="9" t="s">
        <v>96</v>
      </c>
      <c r="J512" s="9" t="s">
        <v>4006</v>
      </c>
      <c r="K512" s="9" t="s">
        <v>4007</v>
      </c>
      <c r="L512" s="8" t="s">
        <v>4008</v>
      </c>
      <c r="M512" s="9" t="s">
        <v>36</v>
      </c>
      <c r="N512" s="9" t="s">
        <v>37</v>
      </c>
      <c r="O512" s="9">
        <f>HYPERLINK("https://www.google.com/maps/search/?api=1&amp;query=41.52790389,1.88068166", "https://www.google.com/maps/search/?api=1&amp;query=41.52790389,1.88068166")</f>
      </c>
      <c r="P512" s="9" t="s">
        <v>2010</v>
      </c>
      <c r="Q512" s="9" t="s">
        <v>4009</v>
      </c>
    </row>
    <row r="513" spans="1:17" x14ac:dyDescent="0.25">
      <c r="A513" s="8" t="s">
        <v>4010</v>
      </c>
      <c r="B513" s="8" t="s">
        <v>4011</v>
      </c>
      <c r="C513" s="9" t="s">
        <v>4012</v>
      </c>
      <c r="D513" s="9" t="s">
        <v>94</v>
      </c>
      <c r="E513" s="9" t="s">
        <v>3810</v>
      </c>
      <c r="F513" s="10">
        <v>1.359</v>
      </c>
      <c r="G513" s="10">
        <v>1.495</v>
      </c>
      <c r="H513" s="10"/>
      <c r="I513" s="9" t="s">
        <v>96</v>
      </c>
      <c r="J513" s="9" t="s">
        <v>4013</v>
      </c>
      <c r="K513" s="9" t="s">
        <v>4014</v>
      </c>
      <c r="L513" s="8" t="s">
        <v>3813</v>
      </c>
      <c r="M513" s="9" t="s">
        <v>36</v>
      </c>
      <c r="N513" s="9" t="s">
        <v>37</v>
      </c>
      <c r="O513" s="9">
        <f>HYPERLINK("https://www.google.com/maps/search/?api=1&amp;query=41.49719366,2.04829548", "https://www.google.com/maps/search/?api=1&amp;query=41.49719366,2.04829548")</f>
      </c>
      <c r="P513" s="9" t="s">
        <v>780</v>
      </c>
      <c r="Q513" s="9" t="s">
        <v>4015</v>
      </c>
    </row>
    <row r="514" spans="1:17" x14ac:dyDescent="0.25">
      <c r="A514" s="8" t="s">
        <v>4016</v>
      </c>
      <c r="B514" s="8" t="s">
        <v>4017</v>
      </c>
      <c r="C514" s="9" t="s">
        <v>4018</v>
      </c>
      <c r="D514" s="9" t="s">
        <v>658</v>
      </c>
      <c r="E514" s="9" t="s">
        <v>4019</v>
      </c>
      <c r="F514" s="10">
        <v>1.359</v>
      </c>
      <c r="G514" s="10">
        <v>1.495</v>
      </c>
      <c r="H514" s="10"/>
      <c r="I514" s="9" t="s">
        <v>45</v>
      </c>
      <c r="J514" s="9" t="s">
        <v>4020</v>
      </c>
      <c r="K514" s="9" t="s">
        <v>4021</v>
      </c>
      <c r="L514" s="8" t="s">
        <v>4022</v>
      </c>
      <c r="M514" s="9" t="s">
        <v>49</v>
      </c>
      <c r="N514" s="9" t="s">
        <v>37</v>
      </c>
      <c r="O514" s="9">
        <f>HYPERLINK("https://www.google.com/maps/search/?api=1&amp;query=37.35243586,-1.97043484", "https://www.google.com/maps/search/?api=1&amp;query=37.35243586,-1.97043484")</f>
      </c>
      <c r="P514" s="9" t="s">
        <v>4023</v>
      </c>
      <c r="Q514" s="9" t="s">
        <v>4024</v>
      </c>
    </row>
    <row r="515" spans="1:17" x14ac:dyDescent="0.25">
      <c r="A515" s="8" t="s">
        <v>4025</v>
      </c>
      <c r="B515" s="8" t="s">
        <v>4026</v>
      </c>
      <c r="C515" s="9" t="s">
        <v>4027</v>
      </c>
      <c r="D515" s="9" t="s">
        <v>1192</v>
      </c>
      <c r="E515" s="9" t="s">
        <v>1510</v>
      </c>
      <c r="F515" s="10">
        <v>1.359</v>
      </c>
      <c r="G515" s="10">
        <v>1.495</v>
      </c>
      <c r="H515" s="10"/>
      <c r="I515" s="9" t="s">
        <v>168</v>
      </c>
      <c r="J515" s="9" t="s">
        <v>1511</v>
      </c>
      <c r="K515" s="9" t="s">
        <v>4028</v>
      </c>
      <c r="L515" s="8" t="s">
        <v>1513</v>
      </c>
      <c r="M515" s="9" t="s">
        <v>49</v>
      </c>
      <c r="N515" s="9" t="s">
        <v>645</v>
      </c>
      <c r="O515" s="9">
        <f>HYPERLINK("https://www.google.com/maps/search/?api=1&amp;query=38.63555488,-3.47158374", "https://www.google.com/maps/search/?api=1&amp;query=38.63555488,-3.47158374")</f>
      </c>
      <c r="P515" s="9" t="s">
        <v>4029</v>
      </c>
      <c r="Q515" s="9" t="s">
        <v>4030</v>
      </c>
    </row>
    <row r="516" spans="1:17" x14ac:dyDescent="0.25">
      <c r="A516" s="8" t="s">
        <v>4031</v>
      </c>
      <c r="B516" s="8" t="s">
        <v>4032</v>
      </c>
      <c r="C516" s="9" t="s">
        <v>4033</v>
      </c>
      <c r="D516" s="9" t="s">
        <v>1483</v>
      </c>
      <c r="E516" s="9" t="s">
        <v>4034</v>
      </c>
      <c r="F516" s="10">
        <v>1.359</v>
      </c>
      <c r="G516" s="10">
        <v>1.495</v>
      </c>
      <c r="H516" s="10"/>
      <c r="I516" s="9" t="s">
        <v>74</v>
      </c>
      <c r="J516" s="9" t="s">
        <v>4035</v>
      </c>
      <c r="K516" s="9" t="s">
        <v>4036</v>
      </c>
      <c r="L516" s="8" t="s">
        <v>1605</v>
      </c>
      <c r="M516" s="9" t="s">
        <v>36</v>
      </c>
      <c r="N516" s="9" t="s">
        <v>211</v>
      </c>
      <c r="O516" s="9">
        <f>HYPERLINK("https://www.google.com/maps/search/?api=1&amp;query=42.28993913,-3.70480818", "https://www.google.com/maps/search/?api=1&amp;query=42.28993913,-3.70480818")</f>
      </c>
      <c r="P516" s="9" t="s">
        <v>965</v>
      </c>
      <c r="Q516" s="9" t="s">
        <v>4037</v>
      </c>
    </row>
    <row r="517" spans="1:17" x14ac:dyDescent="0.25">
      <c r="A517" s="8" t="s">
        <v>4038</v>
      </c>
      <c r="B517" s="8" t="s">
        <v>4039</v>
      </c>
      <c r="C517" s="9" t="s">
        <v>4040</v>
      </c>
      <c r="D517" s="9" t="s">
        <v>892</v>
      </c>
      <c r="E517" s="9" t="s">
        <v>4041</v>
      </c>
      <c r="F517" s="10">
        <v>1.359</v>
      </c>
      <c r="G517" s="10">
        <v>1.495</v>
      </c>
      <c r="H517" s="10"/>
      <c r="I517" s="9" t="s">
        <v>32</v>
      </c>
      <c r="J517" s="9" t="s">
        <v>4042</v>
      </c>
      <c r="K517" s="9" t="s">
        <v>4043</v>
      </c>
      <c r="L517" s="8" t="s">
        <v>4044</v>
      </c>
      <c r="M517" s="9" t="s">
        <v>36</v>
      </c>
      <c r="N517" s="9" t="s">
        <v>37</v>
      </c>
      <c r="O517" s="9">
        <f>HYPERLINK("https://www.google.com/maps/search/?api=1&amp;query=39.88855121,-5.46739903", "https://www.google.com/maps/search/?api=1&amp;query=39.88855121,-5.46739903")</f>
      </c>
      <c r="P517" s="9" t="s">
        <v>4045</v>
      </c>
      <c r="Q517" s="9" t="s">
        <v>394</v>
      </c>
    </row>
    <row r="518" spans="1:17" x14ac:dyDescent="0.25">
      <c r="A518" s="8" t="s">
        <v>4046</v>
      </c>
      <c r="B518" s="8" t="s">
        <v>4047</v>
      </c>
      <c r="C518" s="9" t="s">
        <v>4048</v>
      </c>
      <c r="D518" s="9" t="s">
        <v>344</v>
      </c>
      <c r="E518" s="9" t="s">
        <v>4049</v>
      </c>
      <c r="F518" s="10">
        <v>1.359</v>
      </c>
      <c r="G518" s="10">
        <v>1.495</v>
      </c>
      <c r="H518" s="10"/>
      <c r="I518" s="9" t="s">
        <v>140</v>
      </c>
      <c r="J518" s="9" t="s">
        <v>4050</v>
      </c>
      <c r="K518" s="9" t="s">
        <v>4051</v>
      </c>
      <c r="L518" s="8" t="s">
        <v>4052</v>
      </c>
      <c r="M518" s="9" t="s">
        <v>36</v>
      </c>
      <c r="N518" s="9" t="s">
        <v>37</v>
      </c>
      <c r="O518" s="9">
        <f>HYPERLINK("https://www.google.com/maps/search/?api=1&amp;query=43.37395541,-8.1872043", "https://www.google.com/maps/search/?api=1&amp;query=43.37395541,-8.1872043")</f>
      </c>
      <c r="P518" s="9" t="s">
        <v>1250</v>
      </c>
      <c r="Q518" s="9" t="s">
        <v>4053</v>
      </c>
    </row>
    <row r="519" spans="1:17" x14ac:dyDescent="0.25">
      <c r="A519" s="8" t="s">
        <v>4054</v>
      </c>
      <c r="B519" s="8" t="s">
        <v>4055</v>
      </c>
      <c r="C519" s="9" t="s">
        <v>4056</v>
      </c>
      <c r="D519" s="9" t="s">
        <v>424</v>
      </c>
      <c r="E519" s="9" t="s">
        <v>4057</v>
      </c>
      <c r="F519" s="10">
        <v>1.359</v>
      </c>
      <c r="G519" s="10">
        <v>1.495</v>
      </c>
      <c r="H519" s="10"/>
      <c r="I519" s="9" t="s">
        <v>96</v>
      </c>
      <c r="J519" s="9" t="s">
        <v>4058</v>
      </c>
      <c r="K519" s="9" t="s">
        <v>4059</v>
      </c>
      <c r="L519" s="8" t="s">
        <v>4060</v>
      </c>
      <c r="M519" s="9" t="s">
        <v>49</v>
      </c>
      <c r="N519" s="9" t="s">
        <v>37</v>
      </c>
      <c r="O519" s="9">
        <f>HYPERLINK("https://www.google.com/maps/search/?api=1&amp;query=41.62897725,0.77463296", "https://www.google.com/maps/search/?api=1&amp;query=41.62897725,0.77463296")</f>
      </c>
      <c r="P519" s="9" t="s">
        <v>144</v>
      </c>
      <c r="Q519" s="9" t="s">
        <v>4061</v>
      </c>
    </row>
    <row r="520" spans="1:17" x14ac:dyDescent="0.25">
      <c r="A520" s="8" t="s">
        <v>4062</v>
      </c>
      <c r="B520" s="8" t="s">
        <v>4063</v>
      </c>
      <c r="C520" s="9" t="s">
        <v>4064</v>
      </c>
      <c r="D520" s="9" t="s">
        <v>116</v>
      </c>
      <c r="E520" s="9" t="s">
        <v>4065</v>
      </c>
      <c r="F520" s="10">
        <v>1.359</v>
      </c>
      <c r="G520" s="10">
        <v>1.495</v>
      </c>
      <c r="H520" s="10"/>
      <c r="I520" s="9" t="s">
        <v>118</v>
      </c>
      <c r="J520" s="9" t="s">
        <v>4066</v>
      </c>
      <c r="K520" s="9" t="s">
        <v>4067</v>
      </c>
      <c r="L520" s="8" t="s">
        <v>4068</v>
      </c>
      <c r="M520" s="9" t="s">
        <v>49</v>
      </c>
      <c r="N520" s="9" t="s">
        <v>88</v>
      </c>
      <c r="O520" s="9">
        <f>HYPERLINK("https://www.google.com/maps/search/?api=1&amp;query=43.28661378,-2.95845076", "https://www.google.com/maps/search/?api=1&amp;query=43.28661378,-2.95845076")</f>
      </c>
      <c r="P520" s="9" t="s">
        <v>608</v>
      </c>
      <c r="Q520" s="9" t="s">
        <v>539</v>
      </c>
    </row>
    <row r="521" spans="1:17" x14ac:dyDescent="0.25">
      <c r="A521" s="8" t="s">
        <v>4069</v>
      </c>
      <c r="B521" s="8" t="s">
        <v>4070</v>
      </c>
      <c r="C521" s="9" t="s">
        <v>4071</v>
      </c>
      <c r="D521" s="9" t="s">
        <v>43</v>
      </c>
      <c r="E521" s="9" t="s">
        <v>4072</v>
      </c>
      <c r="F521" s="10">
        <v>1.359</v>
      </c>
      <c r="G521" s="10">
        <v>1.495</v>
      </c>
      <c r="H521" s="10"/>
      <c r="I521" s="9" t="s">
        <v>45</v>
      </c>
      <c r="J521" s="9" t="s">
        <v>4073</v>
      </c>
      <c r="K521" s="9" t="s">
        <v>4074</v>
      </c>
      <c r="L521" s="8" t="s">
        <v>4075</v>
      </c>
      <c r="M521" s="9" t="s">
        <v>36</v>
      </c>
      <c r="N521" s="9" t="s">
        <v>88</v>
      </c>
      <c r="O521" s="9">
        <f>HYPERLINK("https://www.google.com/maps/search/?api=1&amp;query=37.69432894,-6.60432098", "https://www.google.com/maps/search/?api=1&amp;query=37.69432894,-6.60432098")</f>
      </c>
      <c r="P521" s="9" t="s">
        <v>739</v>
      </c>
      <c r="Q521" s="9" t="s">
        <v>297</v>
      </c>
    </row>
    <row r="522" spans="1:17" x14ac:dyDescent="0.25">
      <c r="A522" s="8" t="s">
        <v>4076</v>
      </c>
      <c r="B522" s="8" t="s">
        <v>4077</v>
      </c>
      <c r="C522" s="9" t="s">
        <v>4078</v>
      </c>
      <c r="D522" s="9" t="s">
        <v>43</v>
      </c>
      <c r="E522" s="9" t="s">
        <v>43</v>
      </c>
      <c r="F522" s="10">
        <v>1.359</v>
      </c>
      <c r="G522" s="10">
        <v>1.495</v>
      </c>
      <c r="H522" s="10"/>
      <c r="I522" s="9" t="s">
        <v>45</v>
      </c>
      <c r="J522" s="9" t="s">
        <v>4079</v>
      </c>
      <c r="K522" s="9" t="s">
        <v>4080</v>
      </c>
      <c r="L522" s="8" t="s">
        <v>4081</v>
      </c>
      <c r="M522" s="9" t="s">
        <v>49</v>
      </c>
      <c r="N522" s="9" t="s">
        <v>88</v>
      </c>
      <c r="O522" s="9">
        <f>HYPERLINK("https://www.google.com/maps/search/?api=1&amp;query=37.25621169,-6.94153858", "https://www.google.com/maps/search/?api=1&amp;query=37.25621169,-6.94153858")</f>
      </c>
      <c r="P522" s="9" t="s">
        <v>663</v>
      </c>
      <c r="Q522" s="9" t="s">
        <v>151</v>
      </c>
    </row>
    <row r="523" spans="1:17" x14ac:dyDescent="0.25">
      <c r="A523" s="8" t="s">
        <v>4082</v>
      </c>
      <c r="B523" s="8" t="s">
        <v>4083</v>
      </c>
      <c r="C523" s="9" t="s">
        <v>4084</v>
      </c>
      <c r="D523" s="9" t="s">
        <v>444</v>
      </c>
      <c r="E523" s="9" t="s">
        <v>4085</v>
      </c>
      <c r="F523" s="10">
        <v>1.359</v>
      </c>
      <c r="G523" s="10">
        <v>1.495</v>
      </c>
      <c r="H523" s="10"/>
      <c r="I523" s="9" t="s">
        <v>444</v>
      </c>
      <c r="J523" s="9" t="s">
        <v>4086</v>
      </c>
      <c r="K523" s="9" t="s">
        <v>4087</v>
      </c>
      <c r="L523" s="8" t="s">
        <v>4088</v>
      </c>
      <c r="M523" s="9" t="s">
        <v>49</v>
      </c>
      <c r="N523" s="9" t="s">
        <v>211</v>
      </c>
      <c r="O523" s="9">
        <f>HYPERLINK("https://www.google.com/maps/search/?api=1&amp;query=43.47091067,-7.0515978", "https://www.google.com/maps/search/?api=1&amp;query=43.47091067,-7.0515978")</f>
      </c>
      <c r="P523" s="9" t="s">
        <v>4089</v>
      </c>
      <c r="Q523" s="9" t="s">
        <v>4090</v>
      </c>
    </row>
    <row r="524" spans="1:17" x14ac:dyDescent="0.25">
      <c r="A524" s="8" t="s">
        <v>4091</v>
      </c>
      <c r="B524" s="8" t="s">
        <v>4092</v>
      </c>
      <c r="C524" s="9" t="s">
        <v>4093</v>
      </c>
      <c r="D524" s="9" t="s">
        <v>197</v>
      </c>
      <c r="E524" s="9" t="s">
        <v>197</v>
      </c>
      <c r="F524" s="10">
        <v>1.359</v>
      </c>
      <c r="G524" s="10">
        <v>1.495</v>
      </c>
      <c r="H524" s="10"/>
      <c r="I524" s="9" t="s">
        <v>168</v>
      </c>
      <c r="J524" s="9" t="s">
        <v>4094</v>
      </c>
      <c r="K524" s="9" t="s">
        <v>4095</v>
      </c>
      <c r="L524" s="8" t="s">
        <v>4096</v>
      </c>
      <c r="M524" s="9" t="s">
        <v>49</v>
      </c>
      <c r="N524" s="9" t="s">
        <v>3050</v>
      </c>
      <c r="O524" s="9">
        <f>HYPERLINK("https://www.google.com/maps/search/?api=1&amp;query=39.8635697,-4.07261927", "https://www.google.com/maps/search/?api=1&amp;query=39.8635697,-4.07261927")</f>
      </c>
      <c r="P524" s="9" t="s">
        <v>4097</v>
      </c>
      <c r="Q524" s="9" t="s">
        <v>3051</v>
      </c>
    </row>
    <row r="525" spans="1:17" x14ac:dyDescent="0.25">
      <c r="A525" s="8" t="s">
        <v>4098</v>
      </c>
      <c r="B525" s="8" t="s">
        <v>4099</v>
      </c>
      <c r="C525" s="9" t="s">
        <v>4100</v>
      </c>
      <c r="D525" s="9" t="s">
        <v>138</v>
      </c>
      <c r="E525" s="9" t="s">
        <v>4101</v>
      </c>
      <c r="F525" s="10">
        <v>1.359</v>
      </c>
      <c r="G525" s="10">
        <v>1.495</v>
      </c>
      <c r="H525" s="10"/>
      <c r="I525" s="9" t="s">
        <v>140</v>
      </c>
      <c r="J525" s="9" t="s">
        <v>4102</v>
      </c>
      <c r="K525" s="9" t="s">
        <v>4103</v>
      </c>
      <c r="L525" s="8" t="s">
        <v>4104</v>
      </c>
      <c r="M525" s="9" t="s">
        <v>49</v>
      </c>
      <c r="N525" s="9" t="s">
        <v>645</v>
      </c>
      <c r="O525" s="9">
        <f>HYPERLINK("https://www.google.com/maps/search/?api=1&amp;query=42.13351857,-8.79639927", "https://www.google.com/maps/search/?api=1&amp;query=42.13351857,-8.79639927")</f>
      </c>
      <c r="P525" s="9" t="s">
        <v>1268</v>
      </c>
      <c r="Q525" s="9" t="s">
        <v>966</v>
      </c>
    </row>
    <row r="526" spans="1:17" x14ac:dyDescent="0.25">
      <c r="A526" s="8" t="s">
        <v>4105</v>
      </c>
      <c r="B526" s="8" t="s">
        <v>4106</v>
      </c>
      <c r="C526" s="9" t="s">
        <v>4107</v>
      </c>
      <c r="D526" s="9" t="s">
        <v>344</v>
      </c>
      <c r="E526" s="9" t="s">
        <v>4108</v>
      </c>
      <c r="F526" s="10">
        <v>1.359</v>
      </c>
      <c r="G526" s="10">
        <v>1.495</v>
      </c>
      <c r="H526" s="10"/>
      <c r="I526" s="9" t="s">
        <v>140</v>
      </c>
      <c r="J526" s="9" t="s">
        <v>4109</v>
      </c>
      <c r="K526" s="9" t="s">
        <v>4110</v>
      </c>
      <c r="L526" s="8" t="s">
        <v>4111</v>
      </c>
      <c r="M526" s="9" t="s">
        <v>49</v>
      </c>
      <c r="N526" s="9" t="s">
        <v>211</v>
      </c>
      <c r="O526" s="9">
        <f>HYPERLINK("https://www.google.com/maps/search/?api=1&amp;query=43.50287379,-8.22186654", "https://www.google.com/maps/search/?api=1&amp;query=43.50287379,-8.22186654")</f>
      </c>
      <c r="P526" s="9" t="s">
        <v>4112</v>
      </c>
      <c r="Q526" s="9" t="s">
        <v>697</v>
      </c>
    </row>
    <row r="527" spans="1:17" x14ac:dyDescent="0.25">
      <c r="A527" s="8" t="s">
        <v>4113</v>
      </c>
      <c r="B527" s="8" t="s">
        <v>4114</v>
      </c>
      <c r="C527" s="9" t="s">
        <v>4115</v>
      </c>
      <c r="D527" s="9" t="s">
        <v>1434</v>
      </c>
      <c r="E527" s="9" t="s">
        <v>3221</v>
      </c>
      <c r="F527" s="10">
        <v>1.359</v>
      </c>
      <c r="G527" s="10">
        <v>1.495</v>
      </c>
      <c r="H527" s="10"/>
      <c r="I527" s="9" t="s">
        <v>1434</v>
      </c>
      <c r="J527" s="9" t="s">
        <v>3222</v>
      </c>
      <c r="K527" s="9" t="s">
        <v>4116</v>
      </c>
      <c r="L527" s="8" t="s">
        <v>3224</v>
      </c>
      <c r="M527" s="9" t="s">
        <v>36</v>
      </c>
      <c r="N527" s="9" t="s">
        <v>211</v>
      </c>
      <c r="O527" s="9">
        <f>HYPERLINK("https://www.google.com/maps/search/?api=1&amp;query=42.51318154,-2.75276265", "https://www.google.com/maps/search/?api=1&amp;query=42.51318154,-2.75276265")</f>
      </c>
      <c r="P527" s="9" t="s">
        <v>4117</v>
      </c>
      <c r="Q527" s="9" t="s">
        <v>1574</v>
      </c>
    </row>
    <row r="528" spans="1:17" x14ac:dyDescent="0.25">
      <c r="A528" s="8" t="s">
        <v>4118</v>
      </c>
      <c r="B528" s="8" t="s">
        <v>4119</v>
      </c>
      <c r="C528" s="9" t="s">
        <v>4120</v>
      </c>
      <c r="D528" s="9" t="s">
        <v>94</v>
      </c>
      <c r="E528" s="9" t="s">
        <v>4121</v>
      </c>
      <c r="F528" s="10">
        <v>1.359</v>
      </c>
      <c r="G528" s="10">
        <v>1.495</v>
      </c>
      <c r="H528" s="10"/>
      <c r="I528" s="9" t="s">
        <v>96</v>
      </c>
      <c r="J528" s="9" t="s">
        <v>4122</v>
      </c>
      <c r="K528" s="9" t="s">
        <v>4123</v>
      </c>
      <c r="L528" s="8" t="s">
        <v>4124</v>
      </c>
      <c r="M528" s="9" t="s">
        <v>49</v>
      </c>
      <c r="N528" s="9" t="s">
        <v>37</v>
      </c>
      <c r="O528" s="9">
        <f>HYPERLINK("https://www.google.com/maps/search/?api=1&amp;query=41.53579731,2.08504809", "https://www.google.com/maps/search/?api=1&amp;query=41.53579731,2.08504809")</f>
      </c>
      <c r="P528" s="9" t="s">
        <v>419</v>
      </c>
      <c r="Q528" s="9" t="s">
        <v>134</v>
      </c>
    </row>
    <row r="529" spans="1:17" x14ac:dyDescent="0.25">
      <c r="A529" s="8" t="s">
        <v>4125</v>
      </c>
      <c r="B529" s="8" t="s">
        <v>4126</v>
      </c>
      <c r="C529" s="9" t="s">
        <v>4127</v>
      </c>
      <c r="D529" s="9" t="s">
        <v>94</v>
      </c>
      <c r="E529" s="9" t="s">
        <v>2338</v>
      </c>
      <c r="F529" s="10">
        <v>1.359</v>
      </c>
      <c r="G529" s="10">
        <v>1.495</v>
      </c>
      <c r="H529" s="10"/>
      <c r="I529" s="9" t="s">
        <v>96</v>
      </c>
      <c r="J529" s="9" t="s">
        <v>4128</v>
      </c>
      <c r="K529" s="9" t="s">
        <v>4129</v>
      </c>
      <c r="L529" s="8" t="s">
        <v>4130</v>
      </c>
      <c r="M529" s="9" t="s">
        <v>49</v>
      </c>
      <c r="N529" s="9" t="s">
        <v>37</v>
      </c>
      <c r="O529" s="9">
        <f>HYPERLINK("https://www.google.com/maps/search/?api=1&amp;query=41.53218942,2.10464551", "https://www.google.com/maps/search/?api=1&amp;query=41.53218942,2.10464551")</f>
      </c>
      <c r="P529" s="9" t="s">
        <v>1398</v>
      </c>
      <c r="Q529" s="9" t="s">
        <v>405</v>
      </c>
    </row>
    <row r="530" spans="1:17" x14ac:dyDescent="0.25">
      <c r="A530" s="8" t="s">
        <v>4131</v>
      </c>
      <c r="B530" s="8" t="s">
        <v>4132</v>
      </c>
      <c r="C530" s="9" t="s">
        <v>4133</v>
      </c>
      <c r="D530" s="9" t="s">
        <v>83</v>
      </c>
      <c r="E530" s="9" t="s">
        <v>498</v>
      </c>
      <c r="F530" s="10">
        <v>1.359</v>
      </c>
      <c r="G530" s="10">
        <v>1.495</v>
      </c>
      <c r="H530" s="10"/>
      <c r="I530" s="9" t="s">
        <v>83</v>
      </c>
      <c r="J530" s="9" t="s">
        <v>499</v>
      </c>
      <c r="K530" s="9" t="s">
        <v>4134</v>
      </c>
      <c r="L530" s="8" t="s">
        <v>2600</v>
      </c>
      <c r="M530" s="9" t="s">
        <v>49</v>
      </c>
      <c r="N530" s="9" t="s">
        <v>37</v>
      </c>
      <c r="O530" s="9">
        <f>HYPERLINK("https://www.google.com/maps/search/?api=1&amp;query=40.25996736,-3.76192889", "https://www.google.com/maps/search/?api=1&amp;query=40.25996736,-3.76192889")</f>
      </c>
      <c r="P530" s="9" t="s">
        <v>813</v>
      </c>
      <c r="Q530" s="9" t="s">
        <v>3657</v>
      </c>
    </row>
    <row r="531" spans="1:17" x14ac:dyDescent="0.25">
      <c r="A531" s="8" t="s">
        <v>4135</v>
      </c>
      <c r="B531" s="8" t="s">
        <v>4136</v>
      </c>
      <c r="C531" s="9" t="s">
        <v>4137</v>
      </c>
      <c r="D531" s="9" t="s">
        <v>94</v>
      </c>
      <c r="E531" s="9" t="s">
        <v>94</v>
      </c>
      <c r="F531" s="10">
        <v>1.359</v>
      </c>
      <c r="G531" s="10">
        <v>1.495</v>
      </c>
      <c r="H531" s="10"/>
      <c r="I531" s="9" t="s">
        <v>96</v>
      </c>
      <c r="J531" s="9" t="s">
        <v>4138</v>
      </c>
      <c r="K531" s="9" t="s">
        <v>4139</v>
      </c>
      <c r="L531" s="8" t="s">
        <v>4140</v>
      </c>
      <c r="M531" s="9" t="s">
        <v>49</v>
      </c>
      <c r="N531" s="9" t="s">
        <v>37</v>
      </c>
      <c r="O531" s="9">
        <f>HYPERLINK("https://www.google.com/maps/search/?api=1&amp;query=41.39247765,2.13242568", "https://www.google.com/maps/search/?api=1&amp;query=41.39247765,2.13242568")</f>
      </c>
      <c r="P531" s="9" t="s">
        <v>222</v>
      </c>
      <c r="Q531" s="9" t="s">
        <v>213</v>
      </c>
    </row>
    <row r="532" spans="1:17" x14ac:dyDescent="0.25">
      <c r="A532" s="8" t="s">
        <v>4141</v>
      </c>
      <c r="B532" s="8" t="s">
        <v>4142</v>
      </c>
      <c r="C532" s="9" t="s">
        <v>4143</v>
      </c>
      <c r="D532" s="9" t="s">
        <v>290</v>
      </c>
      <c r="E532" s="9" t="s">
        <v>4144</v>
      </c>
      <c r="F532" s="10">
        <v>1.359</v>
      </c>
      <c r="G532" s="10">
        <v>1.495</v>
      </c>
      <c r="H532" s="10"/>
      <c r="I532" s="9" t="s">
        <v>292</v>
      </c>
      <c r="J532" s="9" t="s">
        <v>4145</v>
      </c>
      <c r="K532" s="9" t="s">
        <v>4146</v>
      </c>
      <c r="L532" s="8" t="s">
        <v>4147</v>
      </c>
      <c r="M532" s="9" t="s">
        <v>49</v>
      </c>
      <c r="N532" s="9" t="s">
        <v>37</v>
      </c>
      <c r="O532" s="9">
        <f>HYPERLINK("https://www.google.com/maps/search/?api=1&amp;query=41.04973461,-1.27590457", "https://www.google.com/maps/search/?api=1&amp;query=41.04973461,-1.27590457")</f>
      </c>
      <c r="P532" s="9" t="s">
        <v>4148</v>
      </c>
      <c r="Q532" s="9" t="s">
        <v>4149</v>
      </c>
    </row>
    <row r="533" spans="1:17" x14ac:dyDescent="0.25">
      <c r="A533" s="8" t="s">
        <v>4150</v>
      </c>
      <c r="B533" s="8" t="s">
        <v>4151</v>
      </c>
      <c r="C533" s="9" t="s">
        <v>4152</v>
      </c>
      <c r="D533" s="9" t="s">
        <v>83</v>
      </c>
      <c r="E533" s="9" t="s">
        <v>4153</v>
      </c>
      <c r="F533" s="10">
        <v>1.359</v>
      </c>
      <c r="G533" s="10">
        <v>1.495</v>
      </c>
      <c r="H533" s="10"/>
      <c r="I533" s="9" t="s">
        <v>83</v>
      </c>
      <c r="J533" s="9" t="s">
        <v>4154</v>
      </c>
      <c r="K533" s="9" t="s">
        <v>4155</v>
      </c>
      <c r="L533" s="8" t="s">
        <v>4156</v>
      </c>
      <c r="M533" s="9" t="s">
        <v>36</v>
      </c>
      <c r="N533" s="9" t="s">
        <v>37</v>
      </c>
      <c r="O533" s="9">
        <f>HYPERLINK("https://www.google.com/maps/search/?api=1&amp;query=40.30216123,-3.92261582", "https://www.google.com/maps/search/?api=1&amp;query=40.30216123,-3.92261582")</f>
      </c>
      <c r="P533" s="9" t="s">
        <v>4157</v>
      </c>
      <c r="Q533" s="9" t="s">
        <v>4158</v>
      </c>
    </row>
    <row r="534" spans="1:17" x14ac:dyDescent="0.25">
      <c r="A534" s="8" t="s">
        <v>4159</v>
      </c>
      <c r="B534" s="8" t="s">
        <v>4160</v>
      </c>
      <c r="C534" s="9" t="s">
        <v>4161</v>
      </c>
      <c r="D534" s="9" t="s">
        <v>83</v>
      </c>
      <c r="E534" s="9" t="s">
        <v>4162</v>
      </c>
      <c r="F534" s="10">
        <v>1.359</v>
      </c>
      <c r="G534" s="10">
        <v>1.495</v>
      </c>
      <c r="H534" s="10"/>
      <c r="I534" s="9" t="s">
        <v>83</v>
      </c>
      <c r="J534" s="9" t="s">
        <v>4163</v>
      </c>
      <c r="K534" s="9" t="s">
        <v>4164</v>
      </c>
      <c r="L534" s="8" t="s">
        <v>4165</v>
      </c>
      <c r="M534" s="9" t="s">
        <v>49</v>
      </c>
      <c r="N534" s="9" t="s">
        <v>211</v>
      </c>
      <c r="O534" s="9">
        <f>HYPERLINK("https://www.google.com/maps/search/?api=1&amp;query=40.36551301,-4.31502863", "https://www.google.com/maps/search/?api=1&amp;query=40.36551301,-4.31502863")</f>
      </c>
      <c r="P534" s="9" t="s">
        <v>4166</v>
      </c>
      <c r="Q534" s="9" t="s">
        <v>4167</v>
      </c>
    </row>
    <row r="535" spans="1:17" x14ac:dyDescent="0.25">
      <c r="A535" s="8" t="s">
        <v>4168</v>
      </c>
      <c r="B535" s="8" t="s">
        <v>4169</v>
      </c>
      <c r="C535" s="9" t="s">
        <v>4170</v>
      </c>
      <c r="D535" s="9" t="s">
        <v>94</v>
      </c>
      <c r="E535" s="9" t="s">
        <v>4171</v>
      </c>
      <c r="F535" s="10">
        <v>1.359</v>
      </c>
      <c r="G535" s="10">
        <v>1.495</v>
      </c>
      <c r="H535" s="10"/>
      <c r="I535" s="9" t="s">
        <v>96</v>
      </c>
      <c r="J535" s="9" t="s">
        <v>4172</v>
      </c>
      <c r="K535" s="9" t="s">
        <v>4173</v>
      </c>
      <c r="L535" s="8" t="s">
        <v>4174</v>
      </c>
      <c r="M535" s="9" t="s">
        <v>36</v>
      </c>
      <c r="N535" s="9" t="s">
        <v>211</v>
      </c>
      <c r="O535" s="9">
        <f>HYPERLINK("https://www.google.com/maps/search/?api=1&amp;query=41.49694334,2.19067666", "https://www.google.com/maps/search/?api=1&amp;query=41.49694334,2.19067666")</f>
      </c>
      <c r="P535" s="9" t="s">
        <v>38</v>
      </c>
      <c r="Q535" s="9" t="s">
        <v>4175</v>
      </c>
    </row>
    <row r="536" spans="1:17" x14ac:dyDescent="0.25">
      <c r="A536" s="8" t="s">
        <v>4176</v>
      </c>
      <c r="B536" s="8" t="s">
        <v>4177</v>
      </c>
      <c r="C536" s="9" t="s">
        <v>4178</v>
      </c>
      <c r="D536" s="9" t="s">
        <v>307</v>
      </c>
      <c r="E536" s="9" t="s">
        <v>4179</v>
      </c>
      <c r="F536" s="10">
        <v>1.359</v>
      </c>
      <c r="G536" s="10">
        <v>1.495</v>
      </c>
      <c r="H536" s="10"/>
      <c r="I536" s="9" t="s">
        <v>74</v>
      </c>
      <c r="J536" s="9" t="s">
        <v>4180</v>
      </c>
      <c r="K536" s="9" t="s">
        <v>4181</v>
      </c>
      <c r="L536" s="8" t="s">
        <v>4182</v>
      </c>
      <c r="M536" s="9" t="s">
        <v>49</v>
      </c>
      <c r="N536" s="9" t="s">
        <v>37</v>
      </c>
      <c r="O536" s="9">
        <f>HYPERLINK("https://www.google.com/maps/search/?api=1&amp;query=42.08776466,-5.71326636", "https://www.google.com/maps/search/?api=1&amp;query=42.08776466,-5.71326636")</f>
      </c>
      <c r="P536" s="9" t="s">
        <v>4183</v>
      </c>
      <c r="Q536" s="9" t="s">
        <v>2112</v>
      </c>
    </row>
    <row r="537" spans="1:17" x14ac:dyDescent="0.25">
      <c r="A537" s="8" t="s">
        <v>4184</v>
      </c>
      <c r="B537" s="8" t="s">
        <v>4185</v>
      </c>
      <c r="C537" s="9" t="s">
        <v>4186</v>
      </c>
      <c r="D537" s="9" t="s">
        <v>631</v>
      </c>
      <c r="E537" s="9" t="s">
        <v>4187</v>
      </c>
      <c r="F537" s="10">
        <v>1.359</v>
      </c>
      <c r="G537" s="10">
        <v>1.495</v>
      </c>
      <c r="H537" s="10"/>
      <c r="I537" s="9" t="s">
        <v>45</v>
      </c>
      <c r="J537" s="9" t="s">
        <v>4188</v>
      </c>
      <c r="K537" s="9" t="s">
        <v>4189</v>
      </c>
      <c r="L537" s="8" t="s">
        <v>4190</v>
      </c>
      <c r="M537" s="9" t="s">
        <v>49</v>
      </c>
      <c r="N537" s="9" t="s">
        <v>211</v>
      </c>
      <c r="O537" s="9">
        <f>HYPERLINK("https://www.google.com/maps/search/?api=1&amp;query=38.48071878,-4.67135745", "https://www.google.com/maps/search/?api=1&amp;query=38.48071878,-4.67135745")</f>
      </c>
      <c r="P537" s="9" t="s">
        <v>4191</v>
      </c>
      <c r="Q537" s="9" t="s">
        <v>4192</v>
      </c>
    </row>
    <row r="538" spans="1:17" x14ac:dyDescent="0.25">
      <c r="A538" s="8" t="s">
        <v>4193</v>
      </c>
      <c r="B538" s="8" t="s">
        <v>4194</v>
      </c>
      <c r="C538" s="9" t="s">
        <v>4195</v>
      </c>
      <c r="D538" s="9" t="s">
        <v>94</v>
      </c>
      <c r="E538" s="9" t="s">
        <v>4196</v>
      </c>
      <c r="F538" s="10">
        <v>1.359</v>
      </c>
      <c r="G538" s="10">
        <v>1.495</v>
      </c>
      <c r="H538" s="10"/>
      <c r="I538" s="9" t="s">
        <v>96</v>
      </c>
      <c r="J538" s="9" t="s">
        <v>4197</v>
      </c>
      <c r="K538" s="9" t="s">
        <v>4198</v>
      </c>
      <c r="L538" s="8" t="s">
        <v>4199</v>
      </c>
      <c r="M538" s="9" t="s">
        <v>49</v>
      </c>
      <c r="N538" s="9" t="s">
        <v>66</v>
      </c>
      <c r="O538" s="9">
        <f>HYPERLINK("https://www.google.com/maps/search/?api=1&amp;query=41.3928642,2.03667577", "https://www.google.com/maps/search/?api=1&amp;query=41.3928642,2.03667577")</f>
      </c>
      <c r="P538" s="9" t="s">
        <v>1100</v>
      </c>
      <c r="Q538" s="9" t="s">
        <v>4200</v>
      </c>
    </row>
    <row r="539" spans="1:17" x14ac:dyDescent="0.25">
      <c r="A539" s="8" t="s">
        <v>4201</v>
      </c>
      <c r="B539" s="8" t="s">
        <v>4202</v>
      </c>
      <c r="C539" s="9" t="s">
        <v>4203</v>
      </c>
      <c r="D539" s="9" t="s">
        <v>444</v>
      </c>
      <c r="E539" s="9" t="s">
        <v>4204</v>
      </c>
      <c r="F539" s="10">
        <v>1.359</v>
      </c>
      <c r="G539" s="10">
        <v>1.495</v>
      </c>
      <c r="H539" s="10"/>
      <c r="I539" s="9" t="s">
        <v>444</v>
      </c>
      <c r="J539" s="9" t="s">
        <v>4205</v>
      </c>
      <c r="K539" s="9" t="s">
        <v>4206</v>
      </c>
      <c r="L539" s="8" t="s">
        <v>847</v>
      </c>
      <c r="M539" s="9" t="s">
        <v>49</v>
      </c>
      <c r="N539" s="9" t="s">
        <v>357</v>
      </c>
      <c r="O539" s="9">
        <f>HYPERLINK("https://www.google.com/maps/search/?api=1&amp;query=43.53005313,-5.70702258", "https://www.google.com/maps/search/?api=1&amp;query=43.53005313,-5.70702258")</f>
      </c>
      <c r="P539" s="9" t="s">
        <v>4207</v>
      </c>
      <c r="Q539" s="9" t="s">
        <v>539</v>
      </c>
    </row>
    <row r="540" spans="1:17" x14ac:dyDescent="0.25">
      <c r="A540" s="8" t="s">
        <v>4208</v>
      </c>
      <c r="B540" s="8" t="s">
        <v>4209</v>
      </c>
      <c r="C540" s="9" t="s">
        <v>4210</v>
      </c>
      <c r="D540" s="9" t="s">
        <v>409</v>
      </c>
      <c r="E540" s="9" t="s">
        <v>409</v>
      </c>
      <c r="F540" s="10">
        <v>1.359</v>
      </c>
      <c r="G540" s="10">
        <v>1.495</v>
      </c>
      <c r="H540" s="10"/>
      <c r="I540" s="9" t="s">
        <v>292</v>
      </c>
      <c r="J540" s="9" t="s">
        <v>4211</v>
      </c>
      <c r="K540" s="9" t="s">
        <v>4212</v>
      </c>
      <c r="L540" s="8" t="s">
        <v>3899</v>
      </c>
      <c r="M540" s="9" t="s">
        <v>36</v>
      </c>
      <c r="N540" s="9" t="s">
        <v>88</v>
      </c>
      <c r="O540" s="9">
        <f>HYPERLINK("https://www.google.com/maps/search/?api=1&amp;query=41.62295657,-0.93915941", "https://www.google.com/maps/search/?api=1&amp;query=41.62295657,-0.93915941")</f>
      </c>
      <c r="P540" s="9" t="s">
        <v>2420</v>
      </c>
      <c r="Q540" s="9" t="s">
        <v>124</v>
      </c>
    </row>
    <row r="541" spans="1:17" x14ac:dyDescent="0.25">
      <c r="A541" s="8" t="s">
        <v>4213</v>
      </c>
      <c r="B541" s="8" t="s">
        <v>4214</v>
      </c>
      <c r="C541" s="9" t="s">
        <v>4215</v>
      </c>
      <c r="D541" s="9" t="s">
        <v>128</v>
      </c>
      <c r="E541" s="9" t="s">
        <v>3206</v>
      </c>
      <c r="F541" s="10">
        <v>1.359</v>
      </c>
      <c r="G541" s="10">
        <v>1.495</v>
      </c>
      <c r="H541" s="10"/>
      <c r="I541" s="9" t="s">
        <v>45</v>
      </c>
      <c r="J541" s="9" t="s">
        <v>4216</v>
      </c>
      <c r="K541" s="9" t="s">
        <v>4217</v>
      </c>
      <c r="L541" s="8" t="s">
        <v>4218</v>
      </c>
      <c r="M541" s="9" t="s">
        <v>49</v>
      </c>
      <c r="N541" s="9" t="s">
        <v>357</v>
      </c>
      <c r="O541" s="9">
        <f>HYPERLINK("https://www.google.com/maps/search/?api=1&amp;query=36.51277182,-6.27636844", "https://www.google.com/maps/search/?api=1&amp;query=36.51277182,-6.27636844")</f>
      </c>
      <c r="P541" s="9" t="s">
        <v>1565</v>
      </c>
      <c r="Q541" s="9" t="s">
        <v>4219</v>
      </c>
    </row>
    <row r="542" spans="1:17" x14ac:dyDescent="0.25">
      <c r="A542" s="8" t="s">
        <v>4220</v>
      </c>
      <c r="B542" s="8" t="s">
        <v>4221</v>
      </c>
      <c r="C542" s="9" t="s">
        <v>4222</v>
      </c>
      <c r="D542" s="9" t="s">
        <v>1434</v>
      </c>
      <c r="E542" s="9" t="s">
        <v>2899</v>
      </c>
      <c r="F542" s="10">
        <v>1.359</v>
      </c>
      <c r="G542" s="10">
        <v>1.495</v>
      </c>
      <c r="H542" s="10"/>
      <c r="I542" s="9" t="s">
        <v>1434</v>
      </c>
      <c r="J542" s="9" t="s">
        <v>4223</v>
      </c>
      <c r="K542" s="9" t="s">
        <v>4224</v>
      </c>
      <c r="L542" s="8" t="s">
        <v>2902</v>
      </c>
      <c r="M542" s="9" t="s">
        <v>49</v>
      </c>
      <c r="N542" s="9" t="s">
        <v>4225</v>
      </c>
      <c r="O542" s="9">
        <f>HYPERLINK("https://www.google.com/maps/search/?api=1&amp;query=42.45308488,-2.44804254", "https://www.google.com/maps/search/?api=1&amp;query=42.45308488,-2.44804254")</f>
      </c>
      <c r="P542" s="9" t="s">
        <v>4226</v>
      </c>
      <c r="Q542" s="9" t="s">
        <v>4227</v>
      </c>
    </row>
    <row r="543" spans="1:17" x14ac:dyDescent="0.25">
      <c r="A543" s="8" t="s">
        <v>4228</v>
      </c>
      <c r="B543" s="8" t="s">
        <v>4229</v>
      </c>
      <c r="C543" s="9" t="s">
        <v>4230</v>
      </c>
      <c r="D543" s="9" t="s">
        <v>128</v>
      </c>
      <c r="E543" s="9" t="s">
        <v>129</v>
      </c>
      <c r="F543" s="10">
        <v>1.359</v>
      </c>
      <c r="G543" s="10">
        <v>1.495</v>
      </c>
      <c r="H543" s="10"/>
      <c r="I543" s="9" t="s">
        <v>45</v>
      </c>
      <c r="J543" s="9" t="s">
        <v>1800</v>
      </c>
      <c r="K543" s="9" t="s">
        <v>4231</v>
      </c>
      <c r="L543" s="8" t="s">
        <v>1802</v>
      </c>
      <c r="M543" s="9" t="s">
        <v>100</v>
      </c>
      <c r="N543" s="9" t="s">
        <v>37</v>
      </c>
      <c r="O543" s="9">
        <f>HYPERLINK("https://www.google.com/maps/search/?api=1&amp;query=36.70769669,-6.12428183", "https://www.google.com/maps/search/?api=1&amp;query=36.70769669,-6.12428183")</f>
      </c>
      <c r="P543" s="9" t="s">
        <v>4232</v>
      </c>
      <c r="Q543" s="9" t="s">
        <v>286</v>
      </c>
    </row>
    <row r="544" spans="1:17" x14ac:dyDescent="0.25">
      <c r="A544" s="8" t="s">
        <v>4233</v>
      </c>
      <c r="B544" s="8" t="s">
        <v>4234</v>
      </c>
      <c r="C544" s="9" t="s">
        <v>4235</v>
      </c>
      <c r="D544" s="9" t="s">
        <v>83</v>
      </c>
      <c r="E544" s="9" t="s">
        <v>83</v>
      </c>
      <c r="F544" s="10">
        <v>1.359</v>
      </c>
      <c r="G544" s="10">
        <v>1.495</v>
      </c>
      <c r="H544" s="10"/>
      <c r="I544" s="9" t="s">
        <v>83</v>
      </c>
      <c r="J544" s="9" t="s">
        <v>4236</v>
      </c>
      <c r="K544" s="9" t="s">
        <v>4237</v>
      </c>
      <c r="L544" s="8" t="s">
        <v>4238</v>
      </c>
      <c r="M544" s="9" t="s">
        <v>100</v>
      </c>
      <c r="N544" s="9" t="s">
        <v>37</v>
      </c>
      <c r="O544" s="9">
        <f>HYPERLINK("https://www.google.com/maps/search/?api=1&amp;query=40.42954761,-3.70832457", "https://www.google.com/maps/search/?api=1&amp;query=40.42954761,-3.70832457")</f>
      </c>
      <c r="P544" s="9" t="s">
        <v>4239</v>
      </c>
      <c r="Q544" s="9" t="s">
        <v>4240</v>
      </c>
    </row>
    <row r="545" spans="1:17" x14ac:dyDescent="0.25">
      <c r="A545" s="8" t="s">
        <v>4241</v>
      </c>
      <c r="B545" s="8" t="s">
        <v>4242</v>
      </c>
      <c r="C545" s="9" t="s">
        <v>4243</v>
      </c>
      <c r="D545" s="9" t="s">
        <v>469</v>
      </c>
      <c r="E545" s="9" t="s">
        <v>469</v>
      </c>
      <c r="F545" s="10">
        <v>1.359</v>
      </c>
      <c r="G545" s="10">
        <v>1.495</v>
      </c>
      <c r="H545" s="10"/>
      <c r="I545" s="9" t="s">
        <v>74</v>
      </c>
      <c r="J545" s="9" t="s">
        <v>4244</v>
      </c>
      <c r="K545" s="9" t="s">
        <v>4245</v>
      </c>
      <c r="L545" s="8" t="s">
        <v>2522</v>
      </c>
      <c r="M545" s="9" t="s">
        <v>36</v>
      </c>
      <c r="N545" s="9" t="s">
        <v>357</v>
      </c>
      <c r="O545" s="9">
        <f>HYPERLINK("https://www.google.com/maps/search/?api=1&amp;query=40.9784148,-5.66276647", "https://www.google.com/maps/search/?api=1&amp;query=40.9784148,-5.66276647")</f>
      </c>
      <c r="P545" s="9" t="s">
        <v>4246</v>
      </c>
      <c r="Q545" s="9" t="s">
        <v>4247</v>
      </c>
    </row>
    <row r="546" spans="1:17" x14ac:dyDescent="0.25">
      <c r="A546" s="8" t="s">
        <v>4248</v>
      </c>
      <c r="B546" s="8" t="s">
        <v>4249</v>
      </c>
      <c r="C546" s="9" t="s">
        <v>4250</v>
      </c>
      <c r="D546" s="9" t="s">
        <v>488</v>
      </c>
      <c r="E546" s="9" t="s">
        <v>4251</v>
      </c>
      <c r="F546" s="10">
        <v>1.359</v>
      </c>
      <c r="G546" s="10">
        <v>1.495</v>
      </c>
      <c r="H546" s="10"/>
      <c r="I546" s="9" t="s">
        <v>45</v>
      </c>
      <c r="J546" s="9" t="s">
        <v>4252</v>
      </c>
      <c r="K546" s="9" t="s">
        <v>4253</v>
      </c>
      <c r="L546" s="8" t="s">
        <v>4254</v>
      </c>
      <c r="M546" s="9" t="s">
        <v>49</v>
      </c>
      <c r="N546" s="9" t="s">
        <v>88</v>
      </c>
      <c r="O546" s="9">
        <f>HYPERLINK("https://www.google.com/maps/search/?api=1&amp;query=37.72720617,-3.97493037", "https://www.google.com/maps/search/?api=1&amp;query=37.72720617,-3.97493037")</f>
      </c>
      <c r="P546" s="9" t="s">
        <v>992</v>
      </c>
      <c r="Q546" s="9" t="s">
        <v>1727</v>
      </c>
    </row>
    <row r="547" spans="1:17" x14ac:dyDescent="0.25">
      <c r="A547" s="8" t="s">
        <v>4255</v>
      </c>
      <c r="B547" s="8" t="s">
        <v>4256</v>
      </c>
      <c r="C547" s="9" t="s">
        <v>4257</v>
      </c>
      <c r="D547" s="9" t="s">
        <v>30</v>
      </c>
      <c r="E547" s="9" t="s">
        <v>1969</v>
      </c>
      <c r="F547" s="10">
        <v>1.359</v>
      </c>
      <c r="G547" s="10">
        <v>1.495</v>
      </c>
      <c r="H547" s="10"/>
      <c r="I547" s="9" t="s">
        <v>32</v>
      </c>
      <c r="J547" s="9" t="s">
        <v>4258</v>
      </c>
      <c r="K547" s="9" t="s">
        <v>4259</v>
      </c>
      <c r="L547" s="8" t="s">
        <v>1972</v>
      </c>
      <c r="M547" s="9" t="s">
        <v>49</v>
      </c>
      <c r="N547" s="9" t="s">
        <v>645</v>
      </c>
      <c r="O547" s="9">
        <f>HYPERLINK("https://www.google.com/maps/search/?api=1&amp;query=38.938639,-6.344278", "https://www.google.com/maps/search/?api=1&amp;query=38.938639,-6.344278")</f>
      </c>
      <c r="P547" s="9" t="s">
        <v>1010</v>
      </c>
      <c r="Q547" s="9" t="s">
        <v>4260</v>
      </c>
    </row>
    <row r="548" spans="1:17" x14ac:dyDescent="0.25">
      <c r="A548" s="8" t="s">
        <v>4261</v>
      </c>
      <c r="B548" s="8" t="s">
        <v>4262</v>
      </c>
      <c r="C548" s="9" t="s">
        <v>4263</v>
      </c>
      <c r="D548" s="9" t="s">
        <v>177</v>
      </c>
      <c r="E548" s="9" t="s">
        <v>177</v>
      </c>
      <c r="F548" s="10">
        <v>1.359</v>
      </c>
      <c r="G548" s="10">
        <v>1.495</v>
      </c>
      <c r="H548" s="10"/>
      <c r="I548" s="9" t="s">
        <v>74</v>
      </c>
      <c r="J548" s="9" t="s">
        <v>4264</v>
      </c>
      <c r="K548" s="9" t="s">
        <v>4265</v>
      </c>
      <c r="L548" s="8" t="s">
        <v>2320</v>
      </c>
      <c r="M548" s="9" t="s">
        <v>49</v>
      </c>
      <c r="N548" s="9" t="s">
        <v>66</v>
      </c>
      <c r="O548" s="9">
        <f>HYPERLINK("https://www.google.com/maps/search/?api=1&amp;query=41.67459073,-4.71881593", "https://www.google.com/maps/search/?api=1&amp;query=41.67459073,-4.71881593")</f>
      </c>
      <c r="P548" s="9" t="s">
        <v>1268</v>
      </c>
      <c r="Q548" s="9" t="s">
        <v>4266</v>
      </c>
    </row>
    <row r="549" spans="1:17" x14ac:dyDescent="0.25">
      <c r="A549" s="8" t="s">
        <v>4267</v>
      </c>
      <c r="B549" s="8" t="s">
        <v>4268</v>
      </c>
      <c r="C549" s="9" t="s">
        <v>4269</v>
      </c>
      <c r="D549" s="9" t="s">
        <v>400</v>
      </c>
      <c r="E549" s="9" t="s">
        <v>400</v>
      </c>
      <c r="F549" s="10">
        <v>1.359</v>
      </c>
      <c r="G549" s="10">
        <v>1.495</v>
      </c>
      <c r="H549" s="10"/>
      <c r="I549" s="9" t="s">
        <v>400</v>
      </c>
      <c r="J549" s="9" t="s">
        <v>4270</v>
      </c>
      <c r="K549" s="9" t="s">
        <v>4271</v>
      </c>
      <c r="L549" s="8" t="s">
        <v>4272</v>
      </c>
      <c r="M549" s="9" t="s">
        <v>49</v>
      </c>
      <c r="N549" s="9" t="s">
        <v>88</v>
      </c>
      <c r="O549" s="9">
        <f>HYPERLINK("https://www.google.com/maps/search/?api=1&amp;query=39.45890779,-0.37172499", "https://www.google.com/maps/search/?api=1&amp;query=39.45890779,-0.37172499")</f>
      </c>
      <c r="P549" s="9" t="s">
        <v>1565</v>
      </c>
      <c r="Q549" s="9" t="s">
        <v>565</v>
      </c>
    </row>
    <row r="550" spans="1:17" x14ac:dyDescent="0.25">
      <c r="A550" s="8" t="s">
        <v>4273</v>
      </c>
      <c r="B550" s="8" t="s">
        <v>4274</v>
      </c>
      <c r="C550" s="9" t="s">
        <v>4275</v>
      </c>
      <c r="D550" s="9" t="s">
        <v>61</v>
      </c>
      <c r="E550" s="9" t="s">
        <v>4276</v>
      </c>
      <c r="F550" s="10">
        <v>1.359</v>
      </c>
      <c r="G550" s="10">
        <v>1.495</v>
      </c>
      <c r="H550" s="10"/>
      <c r="I550" s="9" t="s">
        <v>45</v>
      </c>
      <c r="J550" s="9" t="s">
        <v>4277</v>
      </c>
      <c r="K550" s="9" t="s">
        <v>4278</v>
      </c>
      <c r="L550" s="8" t="s">
        <v>4279</v>
      </c>
      <c r="M550" s="9" t="s">
        <v>100</v>
      </c>
      <c r="N550" s="9" t="s">
        <v>37</v>
      </c>
      <c r="O550" s="9">
        <f>HYPERLINK("https://www.google.com/maps/search/?api=1&amp;query=37.52469536,-5.25205344", "https://www.google.com/maps/search/?api=1&amp;query=37.52469536,-5.25205344")</f>
      </c>
      <c r="P550" s="9" t="s">
        <v>1927</v>
      </c>
      <c r="Q550" s="9" t="s">
        <v>4280</v>
      </c>
    </row>
    <row r="551" spans="1:17" x14ac:dyDescent="0.25">
      <c r="A551" s="8" t="s">
        <v>4281</v>
      </c>
      <c r="B551" s="8" t="s">
        <v>4282</v>
      </c>
      <c r="C551" s="9" t="s">
        <v>4283</v>
      </c>
      <c r="D551" s="9" t="s">
        <v>83</v>
      </c>
      <c r="E551" s="9" t="s">
        <v>2500</v>
      </c>
      <c r="F551" s="10">
        <v>1.359</v>
      </c>
      <c r="G551" s="10">
        <v>1.495</v>
      </c>
      <c r="H551" s="10"/>
      <c r="I551" s="9" t="s">
        <v>83</v>
      </c>
      <c r="J551" s="9" t="s">
        <v>4284</v>
      </c>
      <c r="K551" s="9" t="s">
        <v>4285</v>
      </c>
      <c r="L551" s="8" t="s">
        <v>2503</v>
      </c>
      <c r="M551" s="9" t="s">
        <v>49</v>
      </c>
      <c r="N551" s="9" t="s">
        <v>37</v>
      </c>
      <c r="O551" s="9">
        <f>HYPERLINK("https://www.google.com/maps/search/?api=1&amp;query=40.54598364,-3.63457153", "https://www.google.com/maps/search/?api=1&amp;query=40.54598364,-3.63457153")</f>
      </c>
      <c r="P551" s="9" t="s">
        <v>696</v>
      </c>
      <c r="Q551" s="9" t="s">
        <v>1525</v>
      </c>
    </row>
    <row r="552" spans="1:17" x14ac:dyDescent="0.25">
      <c r="A552" s="8" t="s">
        <v>4286</v>
      </c>
      <c r="B552" s="8" t="s">
        <v>4287</v>
      </c>
      <c r="C552" s="9" t="s">
        <v>4288</v>
      </c>
      <c r="D552" s="9" t="s">
        <v>3841</v>
      </c>
      <c r="E552" s="9" t="s">
        <v>4289</v>
      </c>
      <c r="F552" s="10">
        <v>1.359</v>
      </c>
      <c r="G552" s="10">
        <v>1.495</v>
      </c>
      <c r="H552" s="10"/>
      <c r="I552" s="9" t="s">
        <v>74</v>
      </c>
      <c r="J552" s="9" t="s">
        <v>4290</v>
      </c>
      <c r="K552" s="9" t="s">
        <v>4291</v>
      </c>
      <c r="L552" s="8" t="s">
        <v>4292</v>
      </c>
      <c r="M552" s="9" t="s">
        <v>36</v>
      </c>
      <c r="N552" s="9" t="s">
        <v>211</v>
      </c>
      <c r="O552" s="9">
        <f>HYPERLINK("https://www.google.com/maps/search/?api=1&amp;query=41.56898314,-3.19253603", "https://www.google.com/maps/search/?api=1&amp;query=41.56898314,-3.19253603")</f>
      </c>
      <c r="P552" s="9" t="s">
        <v>880</v>
      </c>
      <c r="Q552" s="9" t="s">
        <v>4293</v>
      </c>
    </row>
    <row r="553" spans="1:17" x14ac:dyDescent="0.25">
      <c r="A553" s="8" t="s">
        <v>4294</v>
      </c>
      <c r="B553" s="8" t="s">
        <v>4295</v>
      </c>
      <c r="C553" s="9" t="s">
        <v>4296</v>
      </c>
      <c r="D553" s="9" t="s">
        <v>2050</v>
      </c>
      <c r="E553" s="9" t="s">
        <v>4297</v>
      </c>
      <c r="F553" s="10">
        <v>1.359</v>
      </c>
      <c r="G553" s="10">
        <v>1.495</v>
      </c>
      <c r="H553" s="10"/>
      <c r="I553" s="9" t="s">
        <v>140</v>
      </c>
      <c r="J553" s="9" t="s">
        <v>4298</v>
      </c>
      <c r="K553" s="9" t="s">
        <v>4299</v>
      </c>
      <c r="L553" s="8" t="s">
        <v>4300</v>
      </c>
      <c r="M553" s="9" t="s">
        <v>36</v>
      </c>
      <c r="N553" s="9" t="s">
        <v>211</v>
      </c>
      <c r="O553" s="9">
        <f>HYPERLINK("https://www.google.com/maps/search/?api=1&amp;query=42.30374859,-8.13054991", "https://www.google.com/maps/search/?api=1&amp;query=42.30374859,-8.13054991")</f>
      </c>
      <c r="P553" s="9" t="s">
        <v>897</v>
      </c>
      <c r="Q553" s="9" t="s">
        <v>4301</v>
      </c>
    </row>
    <row r="554" spans="1:17" x14ac:dyDescent="0.25">
      <c r="A554" s="8" t="s">
        <v>4302</v>
      </c>
      <c r="B554" s="8" t="s">
        <v>4303</v>
      </c>
      <c r="C554" s="9" t="s">
        <v>4304</v>
      </c>
      <c r="D554" s="9" t="s">
        <v>253</v>
      </c>
      <c r="E554" s="9" t="s">
        <v>4305</v>
      </c>
      <c r="F554" s="10">
        <v>1.359</v>
      </c>
      <c r="G554" s="10">
        <v>1.495</v>
      </c>
      <c r="H554" s="10"/>
      <c r="I554" s="9" t="s">
        <v>96</v>
      </c>
      <c r="J554" s="9" t="s">
        <v>4306</v>
      </c>
      <c r="K554" s="9" t="s">
        <v>4307</v>
      </c>
      <c r="L554" s="8" t="s">
        <v>4308</v>
      </c>
      <c r="M554" s="9" t="s">
        <v>49</v>
      </c>
      <c r="N554" s="9" t="s">
        <v>88</v>
      </c>
      <c r="O554" s="9">
        <f>HYPERLINK("https://www.google.com/maps/search/?api=1&amp;query=41.053694,0.43625", "https://www.google.com/maps/search/?api=1&amp;query=41.053694,0.43625")</f>
      </c>
      <c r="P554" s="9" t="s">
        <v>4309</v>
      </c>
      <c r="Q554" s="9" t="s">
        <v>2056</v>
      </c>
    </row>
    <row r="555" spans="1:17" x14ac:dyDescent="0.25">
      <c r="A555" s="8" t="s">
        <v>4310</v>
      </c>
      <c r="B555" s="8" t="s">
        <v>4311</v>
      </c>
      <c r="C555" s="9" t="s">
        <v>4312</v>
      </c>
      <c r="D555" s="9" t="s">
        <v>444</v>
      </c>
      <c r="E555" s="9" t="s">
        <v>4313</v>
      </c>
      <c r="F555" s="10">
        <v>1.359</v>
      </c>
      <c r="G555" s="10">
        <v>1.495</v>
      </c>
      <c r="H555" s="10"/>
      <c r="I555" s="9" t="s">
        <v>444</v>
      </c>
      <c r="J555" s="9" t="s">
        <v>4314</v>
      </c>
      <c r="K555" s="9" t="s">
        <v>4315</v>
      </c>
      <c r="L555" s="8" t="s">
        <v>4316</v>
      </c>
      <c r="M555" s="9" t="s">
        <v>49</v>
      </c>
      <c r="N555" s="9" t="s">
        <v>37</v>
      </c>
      <c r="O555" s="9">
        <f>HYPERLINK("https://www.google.com/maps/search/?api=1&amp;query=43.36552596,-5.83264078", "https://www.google.com/maps/search/?api=1&amp;query=43.36552596,-5.83264078")</f>
      </c>
      <c r="P555" s="9" t="s">
        <v>4317</v>
      </c>
      <c r="Q555" s="9" t="s">
        <v>565</v>
      </c>
    </row>
    <row r="556" spans="1:17" x14ac:dyDescent="0.25">
      <c r="A556" s="8" t="s">
        <v>4318</v>
      </c>
      <c r="B556" s="8" t="s">
        <v>4319</v>
      </c>
      <c r="C556" s="9" t="s">
        <v>4320</v>
      </c>
      <c r="D556" s="9" t="s">
        <v>155</v>
      </c>
      <c r="E556" s="9" t="s">
        <v>4321</v>
      </c>
      <c r="F556" s="10">
        <v>1.359</v>
      </c>
      <c r="G556" s="10">
        <v>1.495</v>
      </c>
      <c r="H556" s="10"/>
      <c r="I556" s="9" t="s">
        <v>157</v>
      </c>
      <c r="J556" s="9" t="s">
        <v>4322</v>
      </c>
      <c r="K556" s="9" t="s">
        <v>4323</v>
      </c>
      <c r="L556" s="8" t="s">
        <v>4324</v>
      </c>
      <c r="M556" s="9" t="s">
        <v>49</v>
      </c>
      <c r="N556" s="9" t="s">
        <v>88</v>
      </c>
      <c r="O556" s="9">
        <f>HYPERLINK("https://www.google.com/maps/search/?api=1&amp;query=39.70528269,3.45157418", "https://www.google.com/maps/search/?api=1&amp;query=39.70528269,3.45157418")</f>
      </c>
      <c r="P556" s="9" t="s">
        <v>4325</v>
      </c>
      <c r="Q556" s="9" t="s">
        <v>4326</v>
      </c>
    </row>
    <row r="557" spans="1:17" x14ac:dyDescent="0.25">
      <c r="A557" s="8" t="s">
        <v>4327</v>
      </c>
      <c r="B557" s="8" t="s">
        <v>4328</v>
      </c>
      <c r="C557" s="9" t="s">
        <v>4329</v>
      </c>
      <c r="D557" s="9" t="s">
        <v>1192</v>
      </c>
      <c r="E557" s="9" t="s">
        <v>2139</v>
      </c>
      <c r="F557" s="10">
        <v>1.359</v>
      </c>
      <c r="G557" s="10">
        <v>1.495</v>
      </c>
      <c r="H557" s="10"/>
      <c r="I557" s="9" t="s">
        <v>168</v>
      </c>
      <c r="J557" s="9" t="s">
        <v>4330</v>
      </c>
      <c r="K557" s="9" t="s">
        <v>4331</v>
      </c>
      <c r="L557" s="8" t="s">
        <v>2142</v>
      </c>
      <c r="M557" s="9" t="s">
        <v>49</v>
      </c>
      <c r="N557" s="9" t="s">
        <v>88</v>
      </c>
      <c r="O557" s="9">
        <f>HYPERLINK("https://www.google.com/maps/search/?api=1&amp;query=38.69769157,-4.10572762", "https://www.google.com/maps/search/?api=1&amp;query=38.69769157,-4.10572762")</f>
      </c>
      <c r="P557" s="9" t="s">
        <v>2529</v>
      </c>
      <c r="Q557" s="9" t="s">
        <v>539</v>
      </c>
    </row>
    <row r="558" spans="1:17" x14ac:dyDescent="0.25">
      <c r="A558" s="8" t="s">
        <v>4332</v>
      </c>
      <c r="B558" s="8" t="s">
        <v>4333</v>
      </c>
      <c r="C558" s="9" t="s">
        <v>4334</v>
      </c>
      <c r="D558" s="9" t="s">
        <v>187</v>
      </c>
      <c r="E558" s="9" t="s">
        <v>188</v>
      </c>
      <c r="F558" s="10">
        <v>1.359</v>
      </c>
      <c r="G558" s="10">
        <v>1.495</v>
      </c>
      <c r="H558" s="10"/>
      <c r="I558" s="9" t="s">
        <v>74</v>
      </c>
      <c r="J558" s="9" t="s">
        <v>4335</v>
      </c>
      <c r="K558" s="9" t="s">
        <v>4336</v>
      </c>
      <c r="L558" s="8" t="s">
        <v>191</v>
      </c>
      <c r="M558" s="9" t="s">
        <v>36</v>
      </c>
      <c r="N558" s="9" t="s">
        <v>37</v>
      </c>
      <c r="O558" s="9">
        <f>HYPERLINK("https://www.google.com/maps/search/?api=1&amp;query=42.58398349,-6.62939488", "https://www.google.com/maps/search/?api=1&amp;query=42.58398349,-6.62939488")</f>
      </c>
      <c r="P558" s="9" t="s">
        <v>705</v>
      </c>
      <c r="Q558" s="9" t="s">
        <v>4337</v>
      </c>
    </row>
    <row r="559" spans="1:17" x14ac:dyDescent="0.25">
      <c r="A559" s="8" t="s">
        <v>4338</v>
      </c>
      <c r="B559" s="8" t="s">
        <v>4339</v>
      </c>
      <c r="C559" s="9" t="s">
        <v>4340</v>
      </c>
      <c r="D559" s="9" t="s">
        <v>94</v>
      </c>
      <c r="E559" s="9" t="s">
        <v>94</v>
      </c>
      <c r="F559" s="10">
        <v>1.359</v>
      </c>
      <c r="G559" s="10">
        <v>1.495</v>
      </c>
      <c r="H559" s="10"/>
      <c r="I559" s="9" t="s">
        <v>96</v>
      </c>
      <c r="J559" s="9" t="s">
        <v>4341</v>
      </c>
      <c r="K559" s="9" t="s">
        <v>4342</v>
      </c>
      <c r="L559" s="8" t="s">
        <v>4343</v>
      </c>
      <c r="M559" s="9" t="s">
        <v>49</v>
      </c>
      <c r="N559" s="9" t="s">
        <v>37</v>
      </c>
      <c r="O559" s="9">
        <f>HYPERLINK("https://www.google.com/maps/search/?api=1&amp;query=41.439306,2.161444", "https://www.google.com/maps/search/?api=1&amp;query=41.439306,2.161444")</f>
      </c>
      <c r="P559" s="9" t="s">
        <v>4344</v>
      </c>
      <c r="Q559" s="9" t="s">
        <v>151</v>
      </c>
    </row>
    <row r="560" spans="1:17" x14ac:dyDescent="0.25">
      <c r="A560" s="8" t="s">
        <v>4345</v>
      </c>
      <c r="B560" s="8" t="s">
        <v>4346</v>
      </c>
      <c r="C560" s="9" t="s">
        <v>4347</v>
      </c>
      <c r="D560" s="9" t="s">
        <v>138</v>
      </c>
      <c r="E560" s="9" t="s">
        <v>4348</v>
      </c>
      <c r="F560" s="10">
        <v>1.359</v>
      </c>
      <c r="G560" s="10">
        <v>1.495</v>
      </c>
      <c r="H560" s="10"/>
      <c r="I560" s="9" t="s">
        <v>140</v>
      </c>
      <c r="J560" s="9" t="s">
        <v>4349</v>
      </c>
      <c r="K560" s="9" t="s">
        <v>4350</v>
      </c>
      <c r="L560" s="8" t="s">
        <v>4351</v>
      </c>
      <c r="M560" s="9" t="s">
        <v>36</v>
      </c>
      <c r="N560" s="9" t="s">
        <v>211</v>
      </c>
      <c r="O560" s="9">
        <f>HYPERLINK("https://www.google.com/maps/search/?api=1&amp;query=42.28307498,-8.65775998", "https://www.google.com/maps/search/?api=1&amp;query=42.28307498,-8.65775998")</f>
      </c>
      <c r="P560" s="9" t="s">
        <v>133</v>
      </c>
      <c r="Q560" s="9" t="s">
        <v>832</v>
      </c>
    </row>
    <row r="561" spans="1:17" x14ac:dyDescent="0.25">
      <c r="A561" s="8" t="s">
        <v>4352</v>
      </c>
      <c r="B561" s="8" t="s">
        <v>4353</v>
      </c>
      <c r="C561" s="9" t="s">
        <v>4354</v>
      </c>
      <c r="D561" s="9" t="s">
        <v>217</v>
      </c>
      <c r="E561" s="9" t="s">
        <v>4355</v>
      </c>
      <c r="F561" s="10">
        <v>1.359</v>
      </c>
      <c r="G561" s="10">
        <v>1.495</v>
      </c>
      <c r="H561" s="10"/>
      <c r="I561" s="9" t="s">
        <v>45</v>
      </c>
      <c r="J561" s="9" t="s">
        <v>4356</v>
      </c>
      <c r="K561" s="9" t="s">
        <v>4357</v>
      </c>
      <c r="L561" s="8" t="s">
        <v>4358</v>
      </c>
      <c r="M561" s="9" t="s">
        <v>36</v>
      </c>
      <c r="N561" s="9" t="s">
        <v>88</v>
      </c>
      <c r="O561" s="9">
        <f>HYPERLINK("https://www.google.com/maps/search/?api=1&amp;query=36.74705646,-3.8911506", "https://www.google.com/maps/search/?api=1&amp;query=36.74705646,-3.8911506")</f>
      </c>
      <c r="P561" s="9" t="s">
        <v>2373</v>
      </c>
      <c r="Q561" s="9" t="s">
        <v>4359</v>
      </c>
    </row>
    <row r="562" spans="1:17" x14ac:dyDescent="0.25">
      <c r="A562" s="8" t="s">
        <v>4360</v>
      </c>
      <c r="B562" s="8" t="s">
        <v>4361</v>
      </c>
      <c r="C562" s="9" t="s">
        <v>4362</v>
      </c>
      <c r="D562" s="9" t="s">
        <v>94</v>
      </c>
      <c r="E562" s="9" t="s">
        <v>4171</v>
      </c>
      <c r="F562" s="10">
        <v>1.359</v>
      </c>
      <c r="G562" s="10">
        <v>1.495</v>
      </c>
      <c r="H562" s="10"/>
      <c r="I562" s="9" t="s">
        <v>96</v>
      </c>
      <c r="J562" s="9" t="s">
        <v>4363</v>
      </c>
      <c r="K562" s="9" t="s">
        <v>4364</v>
      </c>
      <c r="L562" s="8" t="s">
        <v>4174</v>
      </c>
      <c r="M562" s="9" t="s">
        <v>49</v>
      </c>
      <c r="N562" s="9" t="s">
        <v>954</v>
      </c>
      <c r="O562" s="9">
        <f>HYPERLINK("https://www.google.com/maps/search/?api=1&amp;query=41.48039289,2.19252118", "https://www.google.com/maps/search/?api=1&amp;query=41.48039289,2.19252118")</f>
      </c>
      <c r="P562" s="9" t="s">
        <v>4365</v>
      </c>
      <c r="Q562" s="9" t="s">
        <v>4366</v>
      </c>
    </row>
    <row r="563" spans="1:17" x14ac:dyDescent="0.25">
      <c r="A563" s="8" t="s">
        <v>4367</v>
      </c>
      <c r="B563" s="8" t="s">
        <v>4368</v>
      </c>
      <c r="C563" s="9" t="s">
        <v>4369</v>
      </c>
      <c r="D563" s="9" t="s">
        <v>424</v>
      </c>
      <c r="E563" s="9" t="s">
        <v>4370</v>
      </c>
      <c r="F563" s="10">
        <v>1.359</v>
      </c>
      <c r="G563" s="10">
        <v>1.495</v>
      </c>
      <c r="H563" s="10"/>
      <c r="I563" s="9" t="s">
        <v>96</v>
      </c>
      <c r="J563" s="9" t="s">
        <v>4371</v>
      </c>
      <c r="K563" s="9" t="s">
        <v>4372</v>
      </c>
      <c r="L563" s="8" t="s">
        <v>4373</v>
      </c>
      <c r="M563" s="9" t="s">
        <v>36</v>
      </c>
      <c r="N563" s="9" t="s">
        <v>37</v>
      </c>
      <c r="O563" s="9">
        <f>HYPERLINK("https://www.google.com/maps/search/?api=1&amp;query=41.64296065,0.89479508", "https://www.google.com/maps/search/?api=1&amp;query=41.64296065,0.89479508")</f>
      </c>
      <c r="P563" s="9" t="s">
        <v>4374</v>
      </c>
      <c r="Q563" s="9" t="s">
        <v>394</v>
      </c>
    </row>
    <row r="564" spans="1:17" x14ac:dyDescent="0.25">
      <c r="A564" s="8" t="s">
        <v>4375</v>
      </c>
      <c r="B564" s="8" t="s">
        <v>4376</v>
      </c>
      <c r="C564" s="9" t="s">
        <v>4377</v>
      </c>
      <c r="D564" s="9" t="s">
        <v>892</v>
      </c>
      <c r="E564" s="9" t="s">
        <v>4378</v>
      </c>
      <c r="F564" s="10">
        <v>1.359</v>
      </c>
      <c r="G564" s="10">
        <v>1.495</v>
      </c>
      <c r="H564" s="10"/>
      <c r="I564" s="9" t="s">
        <v>32</v>
      </c>
      <c r="J564" s="9" t="s">
        <v>4379</v>
      </c>
      <c r="K564" s="9" t="s">
        <v>4380</v>
      </c>
      <c r="L564" s="8" t="s">
        <v>4381</v>
      </c>
      <c r="M564" s="9" t="s">
        <v>49</v>
      </c>
      <c r="N564" s="9" t="s">
        <v>88</v>
      </c>
      <c r="O564" s="9">
        <f>HYPERLINK("https://www.google.com/maps/search/?api=1&amp;query=40.01635307,-6.10354517", "https://www.google.com/maps/search/?api=1&amp;query=40.01635307,-6.10354517")</f>
      </c>
      <c r="P564" s="9" t="s">
        <v>4382</v>
      </c>
      <c r="Q564" s="9" t="s">
        <v>4383</v>
      </c>
    </row>
    <row r="565" spans="1:17" x14ac:dyDescent="0.25">
      <c r="A565" s="8" t="s">
        <v>4384</v>
      </c>
      <c r="B565" s="8" t="s">
        <v>4385</v>
      </c>
      <c r="C565" s="9" t="s">
        <v>4386</v>
      </c>
      <c r="D565" s="9" t="s">
        <v>1483</v>
      </c>
      <c r="E565" s="9" t="s">
        <v>4387</v>
      </c>
      <c r="F565" s="10">
        <v>1.359</v>
      </c>
      <c r="G565" s="10">
        <v>1.495</v>
      </c>
      <c r="H565" s="10"/>
      <c r="I565" s="9" t="s">
        <v>74</v>
      </c>
      <c r="J565" s="9" t="s">
        <v>4388</v>
      </c>
      <c r="K565" s="9" t="s">
        <v>4389</v>
      </c>
      <c r="L565" s="8" t="s">
        <v>4390</v>
      </c>
      <c r="M565" s="9" t="s">
        <v>36</v>
      </c>
      <c r="N565" s="9" t="s">
        <v>211</v>
      </c>
      <c r="O565" s="9">
        <f>HYPERLINK("https://www.google.com/maps/search/?api=1&amp;query=42.34064008,-3.76621708", "https://www.google.com/maps/search/?api=1&amp;query=42.34064008,-3.76621708")</f>
      </c>
      <c r="P565" s="9" t="s">
        <v>771</v>
      </c>
      <c r="Q565" s="9" t="s">
        <v>4391</v>
      </c>
    </row>
    <row r="566" spans="1:17" x14ac:dyDescent="0.25">
      <c r="A566" s="8" t="s">
        <v>4392</v>
      </c>
      <c r="B566" s="8" t="s">
        <v>4393</v>
      </c>
      <c r="C566" s="9" t="s">
        <v>4394</v>
      </c>
      <c r="D566" s="9" t="s">
        <v>253</v>
      </c>
      <c r="E566" s="9" t="s">
        <v>2097</v>
      </c>
      <c r="F566" s="10">
        <v>1.359</v>
      </c>
      <c r="G566" s="10">
        <v>1.495</v>
      </c>
      <c r="H566" s="10"/>
      <c r="I566" s="9" t="s">
        <v>96</v>
      </c>
      <c r="J566" s="9" t="s">
        <v>4395</v>
      </c>
      <c r="K566" s="9" t="s">
        <v>4396</v>
      </c>
      <c r="L566" s="8" t="s">
        <v>2100</v>
      </c>
      <c r="M566" s="9" t="s">
        <v>49</v>
      </c>
      <c r="N566" s="9" t="s">
        <v>88</v>
      </c>
      <c r="O566" s="9">
        <f>HYPERLINK("https://www.google.com/maps/search/?api=1&amp;query=41.28316379,1.26099444", "https://www.google.com/maps/search/?api=1&amp;query=41.28316379,1.26099444")</f>
      </c>
      <c r="P566" s="9" t="s">
        <v>1423</v>
      </c>
      <c r="Q566" s="9" t="s">
        <v>874</v>
      </c>
    </row>
    <row r="567" spans="1:17" x14ac:dyDescent="0.25">
      <c r="A567" s="8" t="s">
        <v>4397</v>
      </c>
      <c r="B567" s="8" t="s">
        <v>4398</v>
      </c>
      <c r="C567" s="9" t="s">
        <v>4399</v>
      </c>
      <c r="D567" s="9" t="s">
        <v>577</v>
      </c>
      <c r="E567" s="9" t="s">
        <v>4400</v>
      </c>
      <c r="F567" s="10">
        <v>1.359</v>
      </c>
      <c r="G567" s="10">
        <v>1.495</v>
      </c>
      <c r="H567" s="10"/>
      <c r="I567" s="9" t="s">
        <v>74</v>
      </c>
      <c r="J567" s="9" t="s">
        <v>4401</v>
      </c>
      <c r="K567" s="9" t="s">
        <v>4402</v>
      </c>
      <c r="L567" s="8" t="s">
        <v>4403</v>
      </c>
      <c r="M567" s="9" t="s">
        <v>36</v>
      </c>
      <c r="N567" s="9" t="s">
        <v>88</v>
      </c>
      <c r="O567" s="9">
        <f>HYPERLINK("https://www.google.com/maps/search/?api=1&amp;query=40.26358389,-5.01445174", "https://www.google.com/maps/search/?api=1&amp;query=40.26358389,-5.01445174")</f>
      </c>
      <c r="P567" s="9" t="s">
        <v>3530</v>
      </c>
      <c r="Q567" s="9" t="s">
        <v>4404</v>
      </c>
    </row>
    <row r="568" spans="1:17" x14ac:dyDescent="0.25">
      <c r="A568" s="8" t="s">
        <v>4405</v>
      </c>
      <c r="B568" s="8" t="s">
        <v>4406</v>
      </c>
      <c r="C568" s="9" t="s">
        <v>4407</v>
      </c>
      <c r="D568" s="9" t="s">
        <v>43</v>
      </c>
      <c r="E568" s="9" t="s">
        <v>43</v>
      </c>
      <c r="F568" s="10">
        <v>1.359</v>
      </c>
      <c r="G568" s="10">
        <v>1.495</v>
      </c>
      <c r="H568" s="10"/>
      <c r="I568" s="9" t="s">
        <v>45</v>
      </c>
      <c r="J568" s="9" t="s">
        <v>4408</v>
      </c>
      <c r="K568" s="9" t="s">
        <v>4409</v>
      </c>
      <c r="L568" s="8" t="s">
        <v>4410</v>
      </c>
      <c r="M568" s="9" t="s">
        <v>49</v>
      </c>
      <c r="N568" s="9" t="s">
        <v>88</v>
      </c>
      <c r="O568" s="9">
        <f>HYPERLINK("https://www.google.com/maps/search/?api=1&amp;query=37.28356516,-6.94567541", "https://www.google.com/maps/search/?api=1&amp;query=37.28356516,-6.94567541")</f>
      </c>
      <c r="P568" s="9" t="s">
        <v>1533</v>
      </c>
      <c r="Q568" s="9" t="s">
        <v>4411</v>
      </c>
    </row>
    <row r="569" spans="1:17" x14ac:dyDescent="0.25">
      <c r="A569" s="8" t="s">
        <v>4412</v>
      </c>
      <c r="B569" s="8" t="s">
        <v>4413</v>
      </c>
      <c r="C569" s="9" t="s">
        <v>4414</v>
      </c>
      <c r="D569" s="9" t="s">
        <v>83</v>
      </c>
      <c r="E569" s="9" t="s">
        <v>3487</v>
      </c>
      <c r="F569" s="10">
        <v>1.359</v>
      </c>
      <c r="G569" s="10">
        <v>1.495</v>
      </c>
      <c r="H569" s="10"/>
      <c r="I569" s="9" t="s">
        <v>83</v>
      </c>
      <c r="J569" s="9" t="s">
        <v>4415</v>
      </c>
      <c r="K569" s="9" t="s">
        <v>4416</v>
      </c>
      <c r="L569" s="8" t="s">
        <v>4417</v>
      </c>
      <c r="M569" s="9" t="s">
        <v>49</v>
      </c>
      <c r="N569" s="9" t="s">
        <v>37</v>
      </c>
      <c r="O569" s="9">
        <f>HYPERLINK("https://www.google.com/maps/search/?api=1&amp;query=40.34625463,-3.80538343", "https://www.google.com/maps/search/?api=1&amp;query=40.34625463,-3.80538343")</f>
      </c>
      <c r="P569" s="9" t="s">
        <v>4418</v>
      </c>
      <c r="Q569" s="9" t="s">
        <v>2489</v>
      </c>
    </row>
    <row r="570" spans="1:17" x14ac:dyDescent="0.25">
      <c r="A570" s="8" t="s">
        <v>4419</v>
      </c>
      <c r="B570" s="8" t="s">
        <v>4420</v>
      </c>
      <c r="C570" s="9" t="s">
        <v>4421</v>
      </c>
      <c r="D570" s="9" t="s">
        <v>128</v>
      </c>
      <c r="E570" s="9" t="s">
        <v>4422</v>
      </c>
      <c r="F570" s="10">
        <v>1.359</v>
      </c>
      <c r="G570" s="10">
        <v>1.495</v>
      </c>
      <c r="H570" s="10"/>
      <c r="I570" s="9" t="s">
        <v>45</v>
      </c>
      <c r="J570" s="9" t="s">
        <v>4423</v>
      </c>
      <c r="K570" s="9" t="s">
        <v>4424</v>
      </c>
      <c r="L570" s="8" t="s">
        <v>4425</v>
      </c>
      <c r="M570" s="9" t="s">
        <v>36</v>
      </c>
      <c r="N570" s="9" t="s">
        <v>211</v>
      </c>
      <c r="O570" s="9">
        <f>HYPERLINK("https://www.google.com/maps/search/?api=1&amp;query=36.17367383,-5.37276534", "https://www.google.com/maps/search/?api=1&amp;query=36.17367383,-5.37276534")</f>
      </c>
      <c r="P570" s="9" t="s">
        <v>4426</v>
      </c>
      <c r="Q570" s="9" t="s">
        <v>4427</v>
      </c>
    </row>
    <row r="571" spans="1:17" x14ac:dyDescent="0.25">
      <c r="A571" s="8" t="s">
        <v>4428</v>
      </c>
      <c r="B571" s="8" t="s">
        <v>4429</v>
      </c>
      <c r="C571" s="9" t="s">
        <v>4430</v>
      </c>
      <c r="D571" s="9" t="s">
        <v>83</v>
      </c>
      <c r="E571" s="9" t="s">
        <v>997</v>
      </c>
      <c r="F571" s="10">
        <v>1.359</v>
      </c>
      <c r="G571" s="10">
        <v>1.495</v>
      </c>
      <c r="H571" s="10"/>
      <c r="I571" s="9" t="s">
        <v>83</v>
      </c>
      <c r="J571" s="9" t="s">
        <v>4431</v>
      </c>
      <c r="K571" s="9" t="s">
        <v>4432</v>
      </c>
      <c r="L571" s="8" t="s">
        <v>1000</v>
      </c>
      <c r="M571" s="9" t="s">
        <v>36</v>
      </c>
      <c r="N571" s="9" t="s">
        <v>66</v>
      </c>
      <c r="O571" s="9">
        <f>HYPERLINK("https://www.google.com/maps/search/?api=1&amp;query=40.31641933,-3.89678542", "https://www.google.com/maps/search/?api=1&amp;query=40.31641933,-3.89678542")</f>
      </c>
      <c r="P571" s="9" t="s">
        <v>4344</v>
      </c>
      <c r="Q571" s="9" t="s">
        <v>4433</v>
      </c>
    </row>
    <row r="572" spans="1:17" x14ac:dyDescent="0.25">
      <c r="A572" s="8" t="s">
        <v>4434</v>
      </c>
      <c r="B572" s="8" t="s">
        <v>4435</v>
      </c>
      <c r="C572" s="9" t="s">
        <v>4436</v>
      </c>
      <c r="D572" s="9" t="s">
        <v>1617</v>
      </c>
      <c r="E572" s="9" t="s">
        <v>1618</v>
      </c>
      <c r="F572" s="10">
        <v>1.359</v>
      </c>
      <c r="G572" s="10">
        <v>1.495</v>
      </c>
      <c r="H572" s="10"/>
      <c r="I572" s="9" t="s">
        <v>292</v>
      </c>
      <c r="J572" s="9" t="s">
        <v>4437</v>
      </c>
      <c r="K572" s="9" t="s">
        <v>4438</v>
      </c>
      <c r="L572" s="8" t="s">
        <v>1621</v>
      </c>
      <c r="M572" s="9" t="s">
        <v>36</v>
      </c>
      <c r="N572" s="9" t="s">
        <v>88</v>
      </c>
      <c r="O572" s="9">
        <f>HYPERLINK("https://www.google.com/maps/search/?api=1&amp;query=42.51474677,-0.36135955", "https://www.google.com/maps/search/?api=1&amp;query=42.51474677,-0.36135955")</f>
      </c>
      <c r="P572" s="9" t="s">
        <v>4439</v>
      </c>
      <c r="Q572" s="9" t="s">
        <v>1760</v>
      </c>
    </row>
    <row r="573" spans="1:17" x14ac:dyDescent="0.25">
      <c r="A573" s="8" t="s">
        <v>4440</v>
      </c>
      <c r="B573" s="8" t="s">
        <v>4441</v>
      </c>
      <c r="C573" s="9" t="s">
        <v>4442</v>
      </c>
      <c r="D573" s="9" t="s">
        <v>94</v>
      </c>
      <c r="E573" s="9" t="s">
        <v>1500</v>
      </c>
      <c r="F573" s="10">
        <v>1.359</v>
      </c>
      <c r="G573" s="10">
        <v>1.495</v>
      </c>
      <c r="H573" s="10"/>
      <c r="I573" s="9" t="s">
        <v>96</v>
      </c>
      <c r="J573" s="9" t="s">
        <v>4443</v>
      </c>
      <c r="K573" s="9" t="s">
        <v>4444</v>
      </c>
      <c r="L573" s="8" t="s">
        <v>1503</v>
      </c>
      <c r="M573" s="9" t="s">
        <v>49</v>
      </c>
      <c r="N573" s="9" t="s">
        <v>37</v>
      </c>
      <c r="O573" s="9">
        <f>HYPERLINK("https://www.google.com/maps/search/?api=1&amp;query=41.26969276,2.00057676", "https://www.google.com/maps/search/?api=1&amp;query=41.26969276,2.00057676")</f>
      </c>
      <c r="P573" s="9" t="s">
        <v>2442</v>
      </c>
      <c r="Q573" s="9" t="s">
        <v>1629</v>
      </c>
    </row>
    <row r="574" spans="1:17" x14ac:dyDescent="0.25">
      <c r="A574" s="8" t="s">
        <v>4445</v>
      </c>
      <c r="B574" s="8" t="s">
        <v>4446</v>
      </c>
      <c r="C574" s="9" t="s">
        <v>4447</v>
      </c>
      <c r="D574" s="9" t="s">
        <v>344</v>
      </c>
      <c r="E574" s="9" t="s">
        <v>4448</v>
      </c>
      <c r="F574" s="10">
        <v>1.359</v>
      </c>
      <c r="G574" s="10">
        <v>1.495</v>
      </c>
      <c r="H574" s="10"/>
      <c r="I574" s="9" t="s">
        <v>140</v>
      </c>
      <c r="J574" s="9" t="s">
        <v>4449</v>
      </c>
      <c r="K574" s="9" t="s">
        <v>4450</v>
      </c>
      <c r="L574" s="8" t="s">
        <v>4451</v>
      </c>
      <c r="M574" s="9" t="s">
        <v>36</v>
      </c>
      <c r="N574" s="9" t="s">
        <v>211</v>
      </c>
      <c r="O574" s="9">
        <f>HYPERLINK("https://www.google.com/maps/search/?api=1&amp;query=42.90999713,-8.73066582", "https://www.google.com/maps/search/?api=1&amp;query=42.90999713,-8.73066582")</f>
      </c>
      <c r="P574" s="9" t="s">
        <v>1423</v>
      </c>
      <c r="Q574" s="9" t="s">
        <v>2554</v>
      </c>
    </row>
    <row r="575" spans="1:17" x14ac:dyDescent="0.25">
      <c r="A575" s="8" t="s">
        <v>4452</v>
      </c>
      <c r="B575" s="8" t="s">
        <v>4453</v>
      </c>
      <c r="C575" s="9" t="s">
        <v>4454</v>
      </c>
      <c r="D575" s="9" t="s">
        <v>409</v>
      </c>
      <c r="E575" s="9" t="s">
        <v>409</v>
      </c>
      <c r="F575" s="10">
        <v>1.359</v>
      </c>
      <c r="G575" s="10">
        <v>1.495</v>
      </c>
      <c r="H575" s="10"/>
      <c r="I575" s="9" t="s">
        <v>292</v>
      </c>
      <c r="J575" s="9" t="s">
        <v>4455</v>
      </c>
      <c r="K575" s="9" t="s">
        <v>4456</v>
      </c>
      <c r="L575" s="8" t="s">
        <v>4457</v>
      </c>
      <c r="M575" s="9" t="s">
        <v>49</v>
      </c>
      <c r="N575" s="9" t="s">
        <v>88</v>
      </c>
      <c r="O575" s="9">
        <f>HYPERLINK("https://www.google.com/maps/search/?api=1&amp;query=41.63437298,-0.90808805", "https://www.google.com/maps/search/?api=1&amp;query=41.63437298,-0.90808805")</f>
      </c>
      <c r="P575" s="9" t="s">
        <v>4458</v>
      </c>
      <c r="Q575" s="9" t="s">
        <v>1760</v>
      </c>
    </row>
    <row r="576" spans="1:17" x14ac:dyDescent="0.25">
      <c r="A576" s="8" t="s">
        <v>4459</v>
      </c>
      <c r="B576" s="8" t="s">
        <v>4460</v>
      </c>
      <c r="C576" s="9" t="s">
        <v>4461</v>
      </c>
      <c r="D576" s="9" t="s">
        <v>83</v>
      </c>
      <c r="E576" s="9" t="s">
        <v>83</v>
      </c>
      <c r="F576" s="10">
        <v>1.359</v>
      </c>
      <c r="G576" s="10">
        <v>1.495</v>
      </c>
      <c r="H576" s="10"/>
      <c r="I576" s="9" t="s">
        <v>83</v>
      </c>
      <c r="J576" s="9" t="s">
        <v>4462</v>
      </c>
      <c r="K576" s="9" t="s">
        <v>4463</v>
      </c>
      <c r="L576" s="8" t="s">
        <v>679</v>
      </c>
      <c r="M576" s="9" t="s">
        <v>49</v>
      </c>
      <c r="N576" s="9" t="s">
        <v>37</v>
      </c>
      <c r="O576" s="9">
        <f>HYPERLINK("https://www.google.com/maps/search/?api=1&amp;query=40.3758741,-3.60443726", "https://www.google.com/maps/search/?api=1&amp;query=40.3758741,-3.60443726")</f>
      </c>
      <c r="P576" s="9" t="s">
        <v>2529</v>
      </c>
      <c r="Q576" s="9" t="s">
        <v>697</v>
      </c>
    </row>
    <row r="577" spans="1:17" x14ac:dyDescent="0.25">
      <c r="A577" s="8" t="s">
        <v>4464</v>
      </c>
      <c r="B577" s="8" t="s">
        <v>4465</v>
      </c>
      <c r="C577" s="9" t="s">
        <v>4466</v>
      </c>
      <c r="D577" s="9" t="s">
        <v>1434</v>
      </c>
      <c r="E577" s="9" t="s">
        <v>4467</v>
      </c>
      <c r="F577" s="10">
        <v>1.359</v>
      </c>
      <c r="G577" s="10">
        <v>1.495</v>
      </c>
      <c r="H577" s="10"/>
      <c r="I577" s="9" t="s">
        <v>1434</v>
      </c>
      <c r="J577" s="9" t="s">
        <v>4468</v>
      </c>
      <c r="K577" s="9" t="s">
        <v>4469</v>
      </c>
      <c r="L577" s="8" t="s">
        <v>2902</v>
      </c>
      <c r="M577" s="9" t="s">
        <v>100</v>
      </c>
      <c r="N577" s="9" t="s">
        <v>37</v>
      </c>
      <c r="O577" s="9">
        <f>HYPERLINK("https://www.google.com/maps/search/?api=1&amp;query=42.45030157,-2.37046315", "https://www.google.com/maps/search/?api=1&amp;query=42.45030157,-2.37046315")</f>
      </c>
      <c r="P577" s="9" t="s">
        <v>38</v>
      </c>
      <c r="Q577" s="9" t="s">
        <v>4470</v>
      </c>
    </row>
    <row r="578" spans="1:17" x14ac:dyDescent="0.25">
      <c r="A578" s="8" t="s">
        <v>4471</v>
      </c>
      <c r="B578" s="8" t="s">
        <v>4472</v>
      </c>
      <c r="C578" s="9" t="s">
        <v>4473</v>
      </c>
      <c r="D578" s="9" t="s">
        <v>217</v>
      </c>
      <c r="E578" s="9" t="s">
        <v>271</v>
      </c>
      <c r="F578" s="10">
        <v>1.359</v>
      </c>
      <c r="G578" s="10">
        <v>1.495</v>
      </c>
      <c r="H578" s="10"/>
      <c r="I578" s="9" t="s">
        <v>45</v>
      </c>
      <c r="J578" s="9" t="s">
        <v>4474</v>
      </c>
      <c r="K578" s="9" t="s">
        <v>4475</v>
      </c>
      <c r="L578" s="8" t="s">
        <v>4476</v>
      </c>
      <c r="M578" s="9" t="s">
        <v>49</v>
      </c>
      <c r="N578" s="9" t="s">
        <v>37</v>
      </c>
      <c r="O578" s="9">
        <f>HYPERLINK("https://www.google.com/maps/search/?api=1&amp;query=36.7185,-4.484278", "https://www.google.com/maps/search/?api=1&amp;query=36.7185,-4.484278")</f>
      </c>
      <c r="P578" s="9" t="s">
        <v>897</v>
      </c>
      <c r="Q578" s="9" t="s">
        <v>4477</v>
      </c>
    </row>
    <row r="579" spans="1:17" x14ac:dyDescent="0.25">
      <c r="A579" s="8" t="s">
        <v>4478</v>
      </c>
      <c r="B579" s="8" t="s">
        <v>4479</v>
      </c>
      <c r="C579" s="9" t="s">
        <v>4480</v>
      </c>
      <c r="D579" s="9" t="s">
        <v>83</v>
      </c>
      <c r="E579" s="9" t="s">
        <v>4481</v>
      </c>
      <c r="F579" s="10">
        <v>1.359</v>
      </c>
      <c r="G579" s="10">
        <v>1.495</v>
      </c>
      <c r="H579" s="10"/>
      <c r="I579" s="9" t="s">
        <v>83</v>
      </c>
      <c r="J579" s="9" t="s">
        <v>4482</v>
      </c>
      <c r="K579" s="9" t="s">
        <v>4483</v>
      </c>
      <c r="L579" s="8" t="s">
        <v>4484</v>
      </c>
      <c r="M579" s="9" t="s">
        <v>49</v>
      </c>
      <c r="N579" s="9" t="s">
        <v>37</v>
      </c>
      <c r="O579" s="9">
        <f>HYPERLINK("https://www.google.com/maps/search/?api=1&amp;query=40.27154707,-3.70137677", "https://www.google.com/maps/search/?api=1&amp;query=40.27154707,-3.70137677")</f>
      </c>
      <c r="P579" s="9" t="s">
        <v>2786</v>
      </c>
      <c r="Q579" s="9" t="s">
        <v>3459</v>
      </c>
    </row>
    <row r="580" spans="1:17" x14ac:dyDescent="0.25">
      <c r="A580" s="8" t="s">
        <v>4485</v>
      </c>
      <c r="B580" s="8" t="s">
        <v>4486</v>
      </c>
      <c r="C580" s="9" t="s">
        <v>4487</v>
      </c>
      <c r="D580" s="9" t="s">
        <v>398</v>
      </c>
      <c r="E580" s="9" t="s">
        <v>4488</v>
      </c>
      <c r="F580" s="10">
        <v>1.359</v>
      </c>
      <c r="G580" s="10">
        <v>1.495</v>
      </c>
      <c r="H580" s="10"/>
      <c r="I580" s="9" t="s">
        <v>400</v>
      </c>
      <c r="J580" s="9" t="s">
        <v>4489</v>
      </c>
      <c r="K580" s="9" t="s">
        <v>4490</v>
      </c>
      <c r="L580" s="8" t="s">
        <v>4491</v>
      </c>
      <c r="M580" s="9" t="s">
        <v>49</v>
      </c>
      <c r="N580" s="9" t="s">
        <v>211</v>
      </c>
      <c r="O580" s="9">
        <f>HYPERLINK("https://www.google.com/maps/search/?api=1&amp;query=38.0958981,-0.6590834", "https://www.google.com/maps/search/?api=1&amp;query=38.0958981,-0.6590834")</f>
      </c>
      <c r="P580" s="9" t="s">
        <v>4492</v>
      </c>
      <c r="Q580" s="9" t="s">
        <v>4493</v>
      </c>
    </row>
    <row r="581" spans="1:17" x14ac:dyDescent="0.25">
      <c r="A581" s="8" t="s">
        <v>4494</v>
      </c>
      <c r="B581" s="8" t="s">
        <v>4495</v>
      </c>
      <c r="C581" s="9" t="s">
        <v>4496</v>
      </c>
      <c r="D581" s="9" t="s">
        <v>94</v>
      </c>
      <c r="E581" s="9" t="s">
        <v>1023</v>
      </c>
      <c r="F581" s="10">
        <v>1.359</v>
      </c>
      <c r="G581" s="10">
        <v>1.495</v>
      </c>
      <c r="H581" s="10"/>
      <c r="I581" s="9" t="s">
        <v>96</v>
      </c>
      <c r="J581" s="9" t="s">
        <v>4497</v>
      </c>
      <c r="K581" s="9" t="s">
        <v>4498</v>
      </c>
      <c r="L581" s="8" t="s">
        <v>1026</v>
      </c>
      <c r="M581" s="9" t="s">
        <v>49</v>
      </c>
      <c r="N581" s="9" t="s">
        <v>556</v>
      </c>
      <c r="O581" s="9">
        <f>HYPERLINK("https://www.google.com/maps/search/?api=1&amp;query=41.48265137,2.05089769", "https://www.google.com/maps/search/?api=1&amp;query=41.48265137,2.05089769")</f>
      </c>
      <c r="P581" s="9" t="s">
        <v>924</v>
      </c>
      <c r="Q581" s="9" t="s">
        <v>2632</v>
      </c>
    </row>
    <row r="582" spans="1:17" x14ac:dyDescent="0.25">
      <c r="A582" s="8" t="s">
        <v>4499</v>
      </c>
      <c r="B582" s="8" t="s">
        <v>4500</v>
      </c>
      <c r="C582" s="9" t="s">
        <v>4501</v>
      </c>
      <c r="D582" s="9" t="s">
        <v>379</v>
      </c>
      <c r="E582" s="9" t="s">
        <v>4502</v>
      </c>
      <c r="F582" s="10">
        <v>1.359</v>
      </c>
      <c r="G582" s="10">
        <v>1.495</v>
      </c>
      <c r="H582" s="10"/>
      <c r="I582" s="9" t="s">
        <v>379</v>
      </c>
      <c r="J582" s="9" t="s">
        <v>4503</v>
      </c>
      <c r="K582" s="9" t="s">
        <v>4504</v>
      </c>
      <c r="L582" s="8" t="s">
        <v>4505</v>
      </c>
      <c r="M582" s="9" t="s">
        <v>49</v>
      </c>
      <c r="N582" s="9" t="s">
        <v>88</v>
      </c>
      <c r="O582" s="9">
        <f>HYPERLINK("https://www.google.com/maps/search/?api=1&amp;query=43.13065014,-1.63032103", "https://www.google.com/maps/search/?api=1&amp;query=43.13065014,-1.63032103")</f>
      </c>
      <c r="P582" s="9" t="s">
        <v>2480</v>
      </c>
      <c r="Q582" s="9" t="s">
        <v>4506</v>
      </c>
    </row>
    <row r="583" spans="1:17" x14ac:dyDescent="0.25">
      <c r="A583" s="8" t="s">
        <v>4507</v>
      </c>
      <c r="B583" s="8" t="s">
        <v>4508</v>
      </c>
      <c r="C583" s="9" t="s">
        <v>4509</v>
      </c>
      <c r="D583" s="9" t="s">
        <v>94</v>
      </c>
      <c r="E583" s="9" t="s">
        <v>4510</v>
      </c>
      <c r="F583" s="10">
        <v>1.359</v>
      </c>
      <c r="G583" s="10">
        <v>1.495</v>
      </c>
      <c r="H583" s="10"/>
      <c r="I583" s="9" t="s">
        <v>96</v>
      </c>
      <c r="J583" s="9" t="s">
        <v>4511</v>
      </c>
      <c r="K583" s="9" t="s">
        <v>4512</v>
      </c>
      <c r="L583" s="8" t="s">
        <v>4513</v>
      </c>
      <c r="M583" s="9" t="s">
        <v>36</v>
      </c>
      <c r="N583" s="9" t="s">
        <v>88</v>
      </c>
      <c r="O583" s="9">
        <f>HYPERLINK("https://www.google.com/maps/search/?api=1&amp;query=41.48253949,2.33365851", "https://www.google.com/maps/search/?api=1&amp;query=41.48253949,2.33365851")</f>
      </c>
      <c r="P583" s="9" t="s">
        <v>172</v>
      </c>
      <c r="Q583" s="9" t="s">
        <v>112</v>
      </c>
    </row>
    <row r="584" spans="1:17" x14ac:dyDescent="0.25">
      <c r="A584" s="8" t="s">
        <v>4514</v>
      </c>
      <c r="B584" s="8" t="s">
        <v>4515</v>
      </c>
      <c r="C584" s="9" t="s">
        <v>4516</v>
      </c>
      <c r="D584" s="9" t="s">
        <v>808</v>
      </c>
      <c r="E584" s="9" t="s">
        <v>3495</v>
      </c>
      <c r="F584" s="10">
        <v>1.359</v>
      </c>
      <c r="G584" s="10">
        <v>1.495</v>
      </c>
      <c r="H584" s="10"/>
      <c r="I584" s="9" t="s">
        <v>808</v>
      </c>
      <c r="J584" s="9" t="s">
        <v>3496</v>
      </c>
      <c r="K584" s="9" t="s">
        <v>4517</v>
      </c>
      <c r="L584" s="8" t="s">
        <v>3498</v>
      </c>
      <c r="M584" s="9" t="s">
        <v>36</v>
      </c>
      <c r="N584" s="9" t="s">
        <v>37</v>
      </c>
      <c r="O584" s="9">
        <f>HYPERLINK("https://www.google.com/maps/search/?api=1&amp;query=43.33399329,-4.33198065", "https://www.google.com/maps/search/?api=1&amp;query=43.33399329,-4.33198065")</f>
      </c>
      <c r="P584" s="9" t="s">
        <v>374</v>
      </c>
      <c r="Q584" s="9" t="s">
        <v>4518</v>
      </c>
    </row>
    <row r="585" spans="1:17" x14ac:dyDescent="0.25">
      <c r="A585" s="8" t="s">
        <v>4519</v>
      </c>
      <c r="B585" s="8" t="s">
        <v>4520</v>
      </c>
      <c r="C585" s="9" t="s">
        <v>4521</v>
      </c>
      <c r="D585" s="9" t="s">
        <v>892</v>
      </c>
      <c r="E585" s="9" t="s">
        <v>893</v>
      </c>
      <c r="F585" s="10">
        <v>1.359</v>
      </c>
      <c r="G585" s="10">
        <v>1.495</v>
      </c>
      <c r="H585" s="10"/>
      <c r="I585" s="9" t="s">
        <v>32</v>
      </c>
      <c r="J585" s="9" t="s">
        <v>4522</v>
      </c>
      <c r="K585" s="9" t="s">
        <v>4523</v>
      </c>
      <c r="L585" s="8" t="s">
        <v>896</v>
      </c>
      <c r="M585" s="9" t="s">
        <v>100</v>
      </c>
      <c r="N585" s="9" t="s">
        <v>357</v>
      </c>
      <c r="O585" s="9">
        <f>HYPERLINK("https://www.google.com/maps/search/?api=1&amp;query=39.89604583,-5.54379687", "https://www.google.com/maps/search/?api=1&amp;query=39.89604583,-5.54379687")</f>
      </c>
      <c r="P585" s="9" t="s">
        <v>1645</v>
      </c>
      <c r="Q585" s="9" t="s">
        <v>173</v>
      </c>
    </row>
    <row r="586" spans="1:17" x14ac:dyDescent="0.25">
      <c r="A586" s="8" t="s">
        <v>4524</v>
      </c>
      <c r="B586" s="8" t="s">
        <v>4525</v>
      </c>
      <c r="C586" s="9" t="s">
        <v>4526</v>
      </c>
      <c r="D586" s="9" t="s">
        <v>83</v>
      </c>
      <c r="E586" s="9" t="s">
        <v>83</v>
      </c>
      <c r="F586" s="10">
        <v>1.359</v>
      </c>
      <c r="G586" s="10">
        <v>1.495</v>
      </c>
      <c r="H586" s="10"/>
      <c r="I586" s="9" t="s">
        <v>83</v>
      </c>
      <c r="J586" s="9" t="s">
        <v>4527</v>
      </c>
      <c r="K586" s="9" t="s">
        <v>4528</v>
      </c>
      <c r="L586" s="8" t="s">
        <v>4529</v>
      </c>
      <c r="M586" s="9" t="s">
        <v>36</v>
      </c>
      <c r="N586" s="9" t="s">
        <v>88</v>
      </c>
      <c r="O586" s="9">
        <f>HYPERLINK("https://www.google.com/maps/search/?api=1&amp;query=40.33986247,-3.66868771", "https://www.google.com/maps/search/?api=1&amp;query=40.33986247,-3.66868771")</f>
      </c>
      <c r="P586" s="9" t="s">
        <v>38</v>
      </c>
      <c r="Q586" s="9" t="s">
        <v>539</v>
      </c>
    </row>
    <row r="587" spans="1:17" x14ac:dyDescent="0.25">
      <c r="A587" s="8" t="s">
        <v>4530</v>
      </c>
      <c r="B587" s="8" t="s">
        <v>4531</v>
      </c>
      <c r="C587" s="9" t="s">
        <v>4532</v>
      </c>
      <c r="D587" s="9" t="s">
        <v>892</v>
      </c>
      <c r="E587" s="9" t="s">
        <v>4378</v>
      </c>
      <c r="F587" s="10">
        <v>1.359</v>
      </c>
      <c r="G587" s="10">
        <v>1.495</v>
      </c>
      <c r="H587" s="10"/>
      <c r="I587" s="9" t="s">
        <v>32</v>
      </c>
      <c r="J587" s="9" t="s">
        <v>4533</v>
      </c>
      <c r="K587" s="9" t="s">
        <v>4534</v>
      </c>
      <c r="L587" s="8" t="s">
        <v>4381</v>
      </c>
      <c r="M587" s="9" t="s">
        <v>36</v>
      </c>
      <c r="N587" s="9" t="s">
        <v>88</v>
      </c>
      <c r="O587" s="9">
        <f>HYPERLINK("https://www.google.com/maps/search/?api=1&amp;query=40.03208927,-6.07552519", "https://www.google.com/maps/search/?api=1&amp;query=40.03208927,-6.07552519")</f>
      </c>
      <c r="P587" s="9" t="s">
        <v>321</v>
      </c>
      <c r="Q587" s="9" t="s">
        <v>1760</v>
      </c>
    </row>
    <row r="588" spans="1:17" x14ac:dyDescent="0.25">
      <c r="A588" s="8" t="s">
        <v>4535</v>
      </c>
      <c r="B588" s="8" t="s">
        <v>4536</v>
      </c>
      <c r="C588" s="9" t="s">
        <v>4537</v>
      </c>
      <c r="D588" s="9" t="s">
        <v>280</v>
      </c>
      <c r="E588" s="9" t="s">
        <v>4538</v>
      </c>
      <c r="F588" s="10">
        <v>1.359</v>
      </c>
      <c r="G588" s="10">
        <v>1.495</v>
      </c>
      <c r="H588" s="10"/>
      <c r="I588" s="9" t="s">
        <v>118</v>
      </c>
      <c r="J588" s="9" t="s">
        <v>4539</v>
      </c>
      <c r="K588" s="9" t="s">
        <v>4540</v>
      </c>
      <c r="L588" s="8" t="s">
        <v>4541</v>
      </c>
      <c r="M588" s="9" t="s">
        <v>36</v>
      </c>
      <c r="N588" s="9" t="s">
        <v>4542</v>
      </c>
      <c r="O588" s="9">
        <f>HYPERLINK("https://www.google.com/maps/search/?api=1&amp;query=43.04831445,-2.22724261", "https://www.google.com/maps/search/?api=1&amp;query=43.04831445,-2.22724261")</f>
      </c>
      <c r="P588" s="9" t="s">
        <v>4207</v>
      </c>
      <c r="Q588" s="9" t="s">
        <v>4543</v>
      </c>
    </row>
    <row r="589" spans="1:17" x14ac:dyDescent="0.25">
      <c r="A589" s="8" t="s">
        <v>4544</v>
      </c>
      <c r="B589" s="8" t="s">
        <v>4545</v>
      </c>
      <c r="C589" s="9" t="s">
        <v>4546</v>
      </c>
      <c r="D589" s="9" t="s">
        <v>892</v>
      </c>
      <c r="E589" s="9" t="s">
        <v>4547</v>
      </c>
      <c r="F589" s="10">
        <v>1.359</v>
      </c>
      <c r="G589" s="10">
        <v>1.495</v>
      </c>
      <c r="H589" s="10"/>
      <c r="I589" s="9" t="s">
        <v>32</v>
      </c>
      <c r="J589" s="9" t="s">
        <v>4548</v>
      </c>
      <c r="K589" s="9" t="s">
        <v>4549</v>
      </c>
      <c r="L589" s="8" t="s">
        <v>4550</v>
      </c>
      <c r="M589" s="9" t="s">
        <v>49</v>
      </c>
      <c r="N589" s="9" t="s">
        <v>37</v>
      </c>
      <c r="O589" s="9">
        <f>HYPERLINK("https://www.google.com/maps/search/?api=1&amp;query=39.8829821,-6.27614049", "https://www.google.com/maps/search/?api=1&amp;query=39.8829821,-6.27614049")</f>
      </c>
      <c r="P589" s="9" t="s">
        <v>50</v>
      </c>
      <c r="Q589" s="9" t="s">
        <v>4551</v>
      </c>
    </row>
    <row r="590" spans="1:17" x14ac:dyDescent="0.25">
      <c r="A590" s="8" t="s">
        <v>4552</v>
      </c>
      <c r="B590" s="8" t="s">
        <v>4553</v>
      </c>
      <c r="C590" s="9" t="s">
        <v>4554</v>
      </c>
      <c r="D590" s="9" t="s">
        <v>469</v>
      </c>
      <c r="E590" s="9" t="s">
        <v>4555</v>
      </c>
      <c r="F590" s="10">
        <v>1.359</v>
      </c>
      <c r="G590" s="10">
        <v>1.495</v>
      </c>
      <c r="H590" s="10"/>
      <c r="I590" s="9" t="s">
        <v>74</v>
      </c>
      <c r="J590" s="9" t="s">
        <v>4556</v>
      </c>
      <c r="K590" s="9" t="s">
        <v>4557</v>
      </c>
      <c r="L590" s="8" t="s">
        <v>4558</v>
      </c>
      <c r="M590" s="9" t="s">
        <v>49</v>
      </c>
      <c r="N590" s="9" t="s">
        <v>37</v>
      </c>
      <c r="O590" s="9">
        <f>HYPERLINK("https://www.google.com/maps/search/?api=1&amp;query=40.87806241,-5.98305296", "https://www.google.com/maps/search/?api=1&amp;query=40.87806241,-5.98305296")</f>
      </c>
      <c r="P590" s="9" t="s">
        <v>4559</v>
      </c>
      <c r="Q590" s="9" t="s">
        <v>4560</v>
      </c>
    </row>
    <row r="591" spans="1:17" x14ac:dyDescent="0.25">
      <c r="A591" s="8" t="s">
        <v>4561</v>
      </c>
      <c r="B591" s="8" t="s">
        <v>4562</v>
      </c>
      <c r="C591" s="9" t="s">
        <v>4563</v>
      </c>
      <c r="D591" s="9" t="s">
        <v>61</v>
      </c>
      <c r="E591" s="9" t="s">
        <v>61</v>
      </c>
      <c r="F591" s="10">
        <v>1.359</v>
      </c>
      <c r="G591" s="10">
        <v>1.495</v>
      </c>
      <c r="H591" s="10"/>
      <c r="I591" s="9" t="s">
        <v>45</v>
      </c>
      <c r="J591" s="9" t="s">
        <v>4564</v>
      </c>
      <c r="K591" s="9" t="s">
        <v>4565</v>
      </c>
      <c r="L591" s="8" t="s">
        <v>4566</v>
      </c>
      <c r="M591" s="9" t="s">
        <v>49</v>
      </c>
      <c r="N591" s="9" t="s">
        <v>211</v>
      </c>
      <c r="O591" s="9">
        <f>HYPERLINK("https://www.google.com/maps/search/?api=1&amp;query=37.37674909,-5.97437019", "https://www.google.com/maps/search/?api=1&amp;query=37.37674909,-5.97437019")</f>
      </c>
      <c r="P591" s="9" t="s">
        <v>521</v>
      </c>
      <c r="Q591" s="9" t="s">
        <v>4567</v>
      </c>
    </row>
    <row r="592" spans="1:17" x14ac:dyDescent="0.25">
      <c r="A592" s="8" t="s">
        <v>4568</v>
      </c>
      <c r="B592" s="8" t="s">
        <v>4569</v>
      </c>
      <c r="C592" s="9" t="s">
        <v>4570</v>
      </c>
      <c r="D592" s="9" t="s">
        <v>128</v>
      </c>
      <c r="E592" s="9" t="s">
        <v>4571</v>
      </c>
      <c r="F592" s="10">
        <v>1.359</v>
      </c>
      <c r="G592" s="10">
        <v>1.495</v>
      </c>
      <c r="H592" s="10"/>
      <c r="I592" s="9" t="s">
        <v>45</v>
      </c>
      <c r="J592" s="9" t="s">
        <v>4572</v>
      </c>
      <c r="K592" s="9" t="s">
        <v>4573</v>
      </c>
      <c r="L592" s="8" t="s">
        <v>4574</v>
      </c>
      <c r="M592" s="9" t="s">
        <v>100</v>
      </c>
      <c r="N592" s="9" t="s">
        <v>88</v>
      </c>
      <c r="O592" s="9">
        <f>HYPERLINK("https://www.google.com/maps/search/?api=1&amp;query=36.599583,-6.240222", "https://www.google.com/maps/search/?api=1&amp;query=36.599583,-6.240222")</f>
      </c>
      <c r="P592" s="9" t="s">
        <v>4575</v>
      </c>
      <c r="Q592" s="9" t="s">
        <v>4576</v>
      </c>
    </row>
    <row r="593" spans="1:17" x14ac:dyDescent="0.25">
      <c r="A593" s="8" t="s">
        <v>4577</v>
      </c>
      <c r="B593" s="8" t="s">
        <v>4578</v>
      </c>
      <c r="C593" s="9" t="s">
        <v>4579</v>
      </c>
      <c r="D593" s="9" t="s">
        <v>444</v>
      </c>
      <c r="E593" s="9" t="s">
        <v>4580</v>
      </c>
      <c r="F593" s="10">
        <v>1.359</v>
      </c>
      <c r="G593" s="10">
        <v>1.495</v>
      </c>
      <c r="H593" s="10"/>
      <c r="I593" s="9" t="s">
        <v>444</v>
      </c>
      <c r="J593" s="9" t="s">
        <v>4581</v>
      </c>
      <c r="K593" s="9" t="s">
        <v>4582</v>
      </c>
      <c r="L593" s="8" t="s">
        <v>4583</v>
      </c>
      <c r="M593" s="9" t="s">
        <v>49</v>
      </c>
      <c r="N593" s="9" t="s">
        <v>211</v>
      </c>
      <c r="O593" s="9">
        <f>HYPERLINK("https://www.google.com/maps/search/?api=1&amp;query=43.53366531,-5.64593456", "https://www.google.com/maps/search/?api=1&amp;query=43.53366531,-5.64593456")</f>
      </c>
      <c r="P593" s="9" t="s">
        <v>1803</v>
      </c>
      <c r="Q593" s="9" t="s">
        <v>112</v>
      </c>
    </row>
    <row r="594" spans="1:17" x14ac:dyDescent="0.25">
      <c r="A594" s="8" t="s">
        <v>4584</v>
      </c>
      <c r="B594" s="8" t="s">
        <v>4585</v>
      </c>
      <c r="C594" s="9" t="s">
        <v>4586</v>
      </c>
      <c r="D594" s="9" t="s">
        <v>197</v>
      </c>
      <c r="E594" s="9" t="s">
        <v>2838</v>
      </c>
      <c r="F594" s="10">
        <v>1.359</v>
      </c>
      <c r="G594" s="10">
        <v>1.495</v>
      </c>
      <c r="H594" s="10"/>
      <c r="I594" s="9" t="s">
        <v>168</v>
      </c>
      <c r="J594" s="9" t="s">
        <v>4587</v>
      </c>
      <c r="K594" s="9" t="s">
        <v>4588</v>
      </c>
      <c r="L594" s="8" t="s">
        <v>2841</v>
      </c>
      <c r="M594" s="9" t="s">
        <v>49</v>
      </c>
      <c r="N594" s="9" t="s">
        <v>645</v>
      </c>
      <c r="O594" s="9">
        <f>HYPERLINK("https://www.google.com/maps/search/?api=1&amp;query=40.05779745,-3.86450579", "https://www.google.com/maps/search/?api=1&amp;query=40.05779745,-3.86450579")</f>
      </c>
      <c r="P594" s="9" t="s">
        <v>1250</v>
      </c>
      <c r="Q594" s="9" t="s">
        <v>2842</v>
      </c>
    </row>
    <row r="595" spans="1:17" x14ac:dyDescent="0.25">
      <c r="A595" s="8" t="s">
        <v>4589</v>
      </c>
      <c r="B595" s="8" t="s">
        <v>4590</v>
      </c>
      <c r="C595" s="9" t="s">
        <v>4591</v>
      </c>
      <c r="D595" s="9" t="s">
        <v>197</v>
      </c>
      <c r="E595" s="9" t="s">
        <v>198</v>
      </c>
      <c r="F595" s="10">
        <v>1.359</v>
      </c>
      <c r="G595" s="10">
        <v>1.495</v>
      </c>
      <c r="H595" s="10"/>
      <c r="I595" s="9" t="s">
        <v>168</v>
      </c>
      <c r="J595" s="9" t="s">
        <v>4592</v>
      </c>
      <c r="K595" s="9" t="s">
        <v>4593</v>
      </c>
      <c r="L595" s="8" t="s">
        <v>201</v>
      </c>
      <c r="M595" s="9" t="s">
        <v>36</v>
      </c>
      <c r="N595" s="9" t="s">
        <v>88</v>
      </c>
      <c r="O595" s="9">
        <f>HYPERLINK("https://www.google.com/maps/search/?api=1&amp;query=40.10511394,-3.64508507", "https://www.google.com/maps/search/?api=1&amp;query=40.10511394,-3.64508507")</f>
      </c>
      <c r="P595" s="9" t="s">
        <v>38</v>
      </c>
      <c r="Q595" s="9" t="s">
        <v>4594</v>
      </c>
    </row>
    <row r="596" spans="1:17" x14ac:dyDescent="0.25">
      <c r="A596" s="8" t="s">
        <v>4595</v>
      </c>
      <c r="B596" s="8" t="s">
        <v>4596</v>
      </c>
      <c r="C596" s="9" t="s">
        <v>4597</v>
      </c>
      <c r="D596" s="9" t="s">
        <v>409</v>
      </c>
      <c r="E596" s="9" t="s">
        <v>409</v>
      </c>
      <c r="F596" s="10">
        <v>1.359</v>
      </c>
      <c r="G596" s="10">
        <v>1.495</v>
      </c>
      <c r="H596" s="10"/>
      <c r="I596" s="9" t="s">
        <v>292</v>
      </c>
      <c r="J596" s="9" t="s">
        <v>4598</v>
      </c>
      <c r="K596" s="9" t="s">
        <v>4599</v>
      </c>
      <c r="L596" s="8" t="s">
        <v>4600</v>
      </c>
      <c r="M596" s="9" t="s">
        <v>36</v>
      </c>
      <c r="N596" s="9" t="s">
        <v>211</v>
      </c>
      <c r="O596" s="9">
        <f>HYPERLINK("https://www.google.com/maps/search/?api=1&amp;query=41.60978685,-0.88195654", "https://www.google.com/maps/search/?api=1&amp;query=41.60978685,-0.88195654")</f>
      </c>
      <c r="P596" s="9" t="s">
        <v>2984</v>
      </c>
      <c r="Q596" s="9" t="s">
        <v>286</v>
      </c>
    </row>
    <row r="597" spans="1:17" x14ac:dyDescent="0.25">
      <c r="A597" s="8" t="s">
        <v>4601</v>
      </c>
      <c r="B597" s="8" t="s">
        <v>4602</v>
      </c>
      <c r="C597" s="9" t="s">
        <v>4603</v>
      </c>
      <c r="D597" s="9" t="s">
        <v>280</v>
      </c>
      <c r="E597" s="9" t="s">
        <v>685</v>
      </c>
      <c r="F597" s="10">
        <v>1.359</v>
      </c>
      <c r="G597" s="10">
        <v>1.495</v>
      </c>
      <c r="H597" s="10"/>
      <c r="I597" s="9" t="s">
        <v>118</v>
      </c>
      <c r="J597" s="9" t="s">
        <v>4604</v>
      </c>
      <c r="K597" s="9" t="s">
        <v>4605</v>
      </c>
      <c r="L597" s="8" t="s">
        <v>1597</v>
      </c>
      <c r="M597" s="9" t="s">
        <v>49</v>
      </c>
      <c r="N597" s="9" t="s">
        <v>37</v>
      </c>
      <c r="O597" s="9">
        <f>HYPERLINK("https://www.google.com/maps/search/?api=1&amp;query=43.33788088,-1.76534524", "https://www.google.com/maps/search/?api=1&amp;query=43.33788088,-1.76534524")</f>
      </c>
      <c r="P597" s="9" t="s">
        <v>56</v>
      </c>
      <c r="Q597" s="9" t="s">
        <v>627</v>
      </c>
    </row>
    <row r="598" spans="1:17" x14ac:dyDescent="0.25">
      <c r="A598" s="8" t="s">
        <v>4606</v>
      </c>
      <c r="B598" s="8" t="s">
        <v>4607</v>
      </c>
      <c r="C598" s="9" t="s">
        <v>4608</v>
      </c>
      <c r="D598" s="9" t="s">
        <v>187</v>
      </c>
      <c r="E598" s="9" t="s">
        <v>2273</v>
      </c>
      <c r="F598" s="10">
        <v>1.359</v>
      </c>
      <c r="G598" s="10">
        <v>1.495</v>
      </c>
      <c r="H598" s="10"/>
      <c r="I598" s="9" t="s">
        <v>74</v>
      </c>
      <c r="J598" s="9" t="s">
        <v>4609</v>
      </c>
      <c r="K598" s="9" t="s">
        <v>4610</v>
      </c>
      <c r="L598" s="8" t="s">
        <v>4611</v>
      </c>
      <c r="M598" s="9" t="s">
        <v>49</v>
      </c>
      <c r="N598" s="9" t="s">
        <v>211</v>
      </c>
      <c r="O598" s="9">
        <f>HYPERLINK("https://www.google.com/maps/search/?api=1&amp;query=42.60222953,-5.55721263", "https://www.google.com/maps/search/?api=1&amp;query=42.60222953,-5.55721263")</f>
      </c>
      <c r="P598" s="9" t="s">
        <v>4612</v>
      </c>
      <c r="Q598" s="9" t="s">
        <v>4613</v>
      </c>
    </row>
    <row r="599" spans="1:17" x14ac:dyDescent="0.25">
      <c r="A599" s="8" t="s">
        <v>4614</v>
      </c>
      <c r="B599" s="8" t="s">
        <v>4615</v>
      </c>
      <c r="C599" s="9" t="s">
        <v>4616</v>
      </c>
      <c r="D599" s="9" t="s">
        <v>94</v>
      </c>
      <c r="E599" s="9" t="s">
        <v>4617</v>
      </c>
      <c r="F599" s="10">
        <v>1.359</v>
      </c>
      <c r="G599" s="10">
        <v>1.495</v>
      </c>
      <c r="H599" s="10"/>
      <c r="I599" s="9" t="s">
        <v>96</v>
      </c>
      <c r="J599" s="9" t="s">
        <v>4618</v>
      </c>
      <c r="K599" s="9" t="s">
        <v>4619</v>
      </c>
      <c r="L599" s="8" t="s">
        <v>4620</v>
      </c>
      <c r="M599" s="9" t="s">
        <v>49</v>
      </c>
      <c r="N599" s="9" t="s">
        <v>37</v>
      </c>
      <c r="O599" s="9">
        <f>HYPERLINK("https://www.google.com/maps/search/?api=1&amp;query=41.58788671,2.17966581", "https://www.google.com/maps/search/?api=1&amp;query=41.58788671,2.17966581")</f>
      </c>
      <c r="P599" s="9" t="s">
        <v>1637</v>
      </c>
      <c r="Q599" s="9" t="s">
        <v>1804</v>
      </c>
    </row>
    <row r="600" spans="1:17" x14ac:dyDescent="0.25">
      <c r="A600" s="8" t="s">
        <v>4621</v>
      </c>
      <c r="B600" s="8" t="s">
        <v>4622</v>
      </c>
      <c r="C600" s="9" t="s">
        <v>4623</v>
      </c>
      <c r="D600" s="9" t="s">
        <v>400</v>
      </c>
      <c r="E600" s="9" t="s">
        <v>400</v>
      </c>
      <c r="F600" s="10">
        <v>1.359</v>
      </c>
      <c r="G600" s="10">
        <v>1.495</v>
      </c>
      <c r="H600" s="10"/>
      <c r="I600" s="9" t="s">
        <v>400</v>
      </c>
      <c r="J600" s="9" t="s">
        <v>4624</v>
      </c>
      <c r="K600" s="9" t="s">
        <v>4625</v>
      </c>
      <c r="L600" s="8" t="s">
        <v>4626</v>
      </c>
      <c r="M600" s="9" t="s">
        <v>49</v>
      </c>
      <c r="N600" s="9" t="s">
        <v>88</v>
      </c>
      <c r="O600" s="9">
        <f>HYPERLINK("https://www.google.com/maps/search/?api=1&amp;query=39.46296038,-0.40660907", "https://www.google.com/maps/search/?api=1&amp;query=39.46296038,-0.40660907")</f>
      </c>
      <c r="P600" s="9" t="s">
        <v>3751</v>
      </c>
      <c r="Q600" s="9" t="s">
        <v>4627</v>
      </c>
    </row>
    <row r="601" spans="1:17" x14ac:dyDescent="0.25">
      <c r="A601" s="8" t="s">
        <v>4628</v>
      </c>
      <c r="B601" s="8" t="s">
        <v>4629</v>
      </c>
      <c r="C601" s="9" t="s">
        <v>4630</v>
      </c>
      <c r="D601" s="9" t="s">
        <v>344</v>
      </c>
      <c r="E601" s="9" t="s">
        <v>4631</v>
      </c>
      <c r="F601" s="10">
        <v>1.359</v>
      </c>
      <c r="G601" s="10">
        <v>1.495</v>
      </c>
      <c r="H601" s="10"/>
      <c r="I601" s="9" t="s">
        <v>140</v>
      </c>
      <c r="J601" s="9" t="s">
        <v>4632</v>
      </c>
      <c r="K601" s="9" t="s">
        <v>4633</v>
      </c>
      <c r="L601" s="8" t="s">
        <v>4634</v>
      </c>
      <c r="M601" s="9" t="s">
        <v>36</v>
      </c>
      <c r="N601" s="9" t="s">
        <v>88</v>
      </c>
      <c r="O601" s="9">
        <f>HYPERLINK("https://www.google.com/maps/search/?api=1&amp;query=43.47224306,-8.16188278", "https://www.google.com/maps/search/?api=1&amp;query=43.47224306,-8.16188278")</f>
      </c>
      <c r="P601" s="9" t="s">
        <v>4635</v>
      </c>
      <c r="Q601" s="9" t="s">
        <v>4636</v>
      </c>
    </row>
    <row r="602" spans="1:17" x14ac:dyDescent="0.25">
      <c r="A602" s="8" t="s">
        <v>4637</v>
      </c>
      <c r="B602" s="8" t="s">
        <v>4638</v>
      </c>
      <c r="C602" s="9" t="s">
        <v>4639</v>
      </c>
      <c r="D602" s="9" t="s">
        <v>83</v>
      </c>
      <c r="E602" s="9" t="s">
        <v>4640</v>
      </c>
      <c r="F602" s="10">
        <v>1.359</v>
      </c>
      <c r="G602" s="10">
        <v>1.495</v>
      </c>
      <c r="H602" s="10"/>
      <c r="I602" s="9" t="s">
        <v>83</v>
      </c>
      <c r="J602" s="9" t="s">
        <v>4641</v>
      </c>
      <c r="K602" s="9" t="s">
        <v>4642</v>
      </c>
      <c r="L602" s="8" t="s">
        <v>4643</v>
      </c>
      <c r="M602" s="9" t="s">
        <v>49</v>
      </c>
      <c r="N602" s="9" t="s">
        <v>66</v>
      </c>
      <c r="O602" s="9">
        <f>HYPERLINK("https://www.google.com/maps/search/?api=1&amp;query=40.78587845,-3.61415427", "https://www.google.com/maps/search/?api=1&amp;query=40.78587845,-3.61415427")</f>
      </c>
      <c r="P602" s="9" t="s">
        <v>646</v>
      </c>
      <c r="Q602" s="9" t="s">
        <v>4644</v>
      </c>
    </row>
    <row r="603" spans="1:17" x14ac:dyDescent="0.25">
      <c r="A603" s="8" t="s">
        <v>4645</v>
      </c>
      <c r="B603" s="8" t="s">
        <v>4646</v>
      </c>
      <c r="C603" s="9" t="s">
        <v>4647</v>
      </c>
      <c r="D603" s="9" t="s">
        <v>409</v>
      </c>
      <c r="E603" s="9" t="s">
        <v>409</v>
      </c>
      <c r="F603" s="10">
        <v>1.359</v>
      </c>
      <c r="G603" s="10">
        <v>1.495</v>
      </c>
      <c r="H603" s="10"/>
      <c r="I603" s="9" t="s">
        <v>292</v>
      </c>
      <c r="J603" s="9" t="s">
        <v>4648</v>
      </c>
      <c r="K603" s="9" t="s">
        <v>4649</v>
      </c>
      <c r="L603" s="8" t="s">
        <v>4457</v>
      </c>
      <c r="M603" s="9" t="s">
        <v>36</v>
      </c>
      <c r="N603" s="9" t="s">
        <v>37</v>
      </c>
      <c r="O603" s="9">
        <f>HYPERLINK("https://www.google.com/maps/search/?api=1&amp;query=41.63338153,-0.90931038", "https://www.google.com/maps/search/?api=1&amp;query=41.63338153,-0.90931038")</f>
      </c>
      <c r="P603" s="9" t="s">
        <v>663</v>
      </c>
      <c r="Q603" s="9" t="s">
        <v>134</v>
      </c>
    </row>
    <row r="604" spans="1:17" x14ac:dyDescent="0.25">
      <c r="A604" s="8" t="s">
        <v>4650</v>
      </c>
      <c r="B604" s="8" t="s">
        <v>4651</v>
      </c>
      <c r="C604" s="9" t="s">
        <v>4652</v>
      </c>
      <c r="D604" s="9" t="s">
        <v>61</v>
      </c>
      <c r="E604" s="9" t="s">
        <v>4653</v>
      </c>
      <c r="F604" s="10">
        <v>1.359</v>
      </c>
      <c r="G604" s="10">
        <v>1.495</v>
      </c>
      <c r="H604" s="10"/>
      <c r="I604" s="9" t="s">
        <v>45</v>
      </c>
      <c r="J604" s="9" t="s">
        <v>4654</v>
      </c>
      <c r="K604" s="9" t="s">
        <v>4655</v>
      </c>
      <c r="L604" s="8" t="s">
        <v>4656</v>
      </c>
      <c r="M604" s="9" t="s">
        <v>49</v>
      </c>
      <c r="N604" s="9" t="s">
        <v>88</v>
      </c>
      <c r="O604" s="9">
        <f>HYPERLINK("https://www.google.com/maps/search/?api=1&amp;query=37.371056,-6.027944", "https://www.google.com/maps/search/?api=1&amp;query=37.371056,-6.027944")</f>
      </c>
      <c r="P604" s="9" t="s">
        <v>4183</v>
      </c>
      <c r="Q604" s="9" t="s">
        <v>1059</v>
      </c>
    </row>
    <row r="605" spans="1:17" x14ac:dyDescent="0.25">
      <c r="A605" s="8" t="s">
        <v>4657</v>
      </c>
      <c r="B605" s="8" t="s">
        <v>4658</v>
      </c>
      <c r="C605" s="9" t="s">
        <v>4659</v>
      </c>
      <c r="D605" s="9" t="s">
        <v>94</v>
      </c>
      <c r="E605" s="9" t="s">
        <v>4660</v>
      </c>
      <c r="F605" s="10">
        <v>1.359</v>
      </c>
      <c r="G605" s="10">
        <v>1.495</v>
      </c>
      <c r="H605" s="10"/>
      <c r="I605" s="9" t="s">
        <v>96</v>
      </c>
      <c r="J605" s="9" t="s">
        <v>4661</v>
      </c>
      <c r="K605" s="9" t="s">
        <v>4662</v>
      </c>
      <c r="L605" s="8" t="s">
        <v>4663</v>
      </c>
      <c r="M605" s="9" t="s">
        <v>100</v>
      </c>
      <c r="N605" s="9" t="s">
        <v>37</v>
      </c>
      <c r="O605" s="9">
        <f>HYPERLINK("https://www.google.com/maps/search/?api=1&amp;query=41.47696319,1.92147224", "https://www.google.com/maps/search/?api=1&amp;query=41.47696319,1.92147224")</f>
      </c>
      <c r="P605" s="9" t="s">
        <v>419</v>
      </c>
      <c r="Q605" s="9" t="s">
        <v>1341</v>
      </c>
    </row>
    <row r="606" spans="1:17" x14ac:dyDescent="0.25">
      <c r="A606" s="8" t="s">
        <v>4664</v>
      </c>
      <c r="B606" s="8" t="s">
        <v>4665</v>
      </c>
      <c r="C606" s="9" t="s">
        <v>4666</v>
      </c>
      <c r="D606" s="9" t="s">
        <v>94</v>
      </c>
      <c r="E606" s="9" t="s">
        <v>3366</v>
      </c>
      <c r="F606" s="10">
        <v>1.359</v>
      </c>
      <c r="G606" s="10">
        <v>1.495</v>
      </c>
      <c r="H606" s="10"/>
      <c r="I606" s="9" t="s">
        <v>96</v>
      </c>
      <c r="J606" s="9" t="s">
        <v>3367</v>
      </c>
      <c r="K606" s="9" t="s">
        <v>4667</v>
      </c>
      <c r="L606" s="8" t="s">
        <v>3369</v>
      </c>
      <c r="M606" s="9" t="s">
        <v>49</v>
      </c>
      <c r="N606" s="9" t="s">
        <v>88</v>
      </c>
      <c r="O606" s="9">
        <f>HYPERLINK("https://www.google.com/maps/search/?api=1&amp;query=41.74499237,1.57897694", "https://www.google.com/maps/search/?api=1&amp;query=41.74499237,1.57897694")</f>
      </c>
      <c r="P606" s="9" t="s">
        <v>3370</v>
      </c>
      <c r="Q606" s="9" t="s">
        <v>1591</v>
      </c>
    </row>
    <row r="607" spans="1:17" x14ac:dyDescent="0.25">
      <c r="A607" s="8" t="s">
        <v>4668</v>
      </c>
      <c r="B607" s="8" t="s">
        <v>4669</v>
      </c>
      <c r="C607" s="9" t="s">
        <v>4670</v>
      </c>
      <c r="D607" s="9" t="s">
        <v>919</v>
      </c>
      <c r="E607" s="9" t="s">
        <v>4671</v>
      </c>
      <c r="F607" s="10">
        <v>1.359</v>
      </c>
      <c r="G607" s="10">
        <v>1.495</v>
      </c>
      <c r="H607" s="10"/>
      <c r="I607" s="9" t="s">
        <v>118</v>
      </c>
      <c r="J607" s="9" t="s">
        <v>4672</v>
      </c>
      <c r="K607" s="9" t="s">
        <v>4673</v>
      </c>
      <c r="L607" s="8" t="s">
        <v>4674</v>
      </c>
      <c r="M607" s="9" t="s">
        <v>49</v>
      </c>
      <c r="N607" s="9" t="s">
        <v>88</v>
      </c>
      <c r="O607" s="9">
        <f>HYPERLINK("https://www.google.com/maps/search/?api=1&amp;query=42.87701825,-2.61719785", "https://www.google.com/maps/search/?api=1&amp;query=42.87701825,-2.61719785")</f>
      </c>
      <c r="P607" s="9" t="s">
        <v>38</v>
      </c>
      <c r="Q607" s="9" t="s">
        <v>627</v>
      </c>
    </row>
    <row r="608" spans="1:17" x14ac:dyDescent="0.25">
      <c r="A608" s="8" t="s">
        <v>4675</v>
      </c>
      <c r="B608" s="8" t="s">
        <v>4676</v>
      </c>
      <c r="C608" s="9" t="s">
        <v>4677</v>
      </c>
      <c r="D608" s="9" t="s">
        <v>379</v>
      </c>
      <c r="E608" s="9" t="s">
        <v>4678</v>
      </c>
      <c r="F608" s="10">
        <v>1.359</v>
      </c>
      <c r="G608" s="10">
        <v>1.495</v>
      </c>
      <c r="H608" s="10"/>
      <c r="I608" s="9" t="s">
        <v>379</v>
      </c>
      <c r="J608" s="9" t="s">
        <v>4679</v>
      </c>
      <c r="K608" s="9" t="s">
        <v>4680</v>
      </c>
      <c r="L608" s="8" t="s">
        <v>4681</v>
      </c>
      <c r="M608" s="9" t="s">
        <v>49</v>
      </c>
      <c r="N608" s="9" t="s">
        <v>37</v>
      </c>
      <c r="O608" s="9">
        <f>HYPERLINK("https://www.google.com/maps/search/?api=1&amp;query=42.86173541,-1.74393139", "https://www.google.com/maps/search/?api=1&amp;query=42.86173541,-1.74393139")</f>
      </c>
      <c r="P608" s="9" t="s">
        <v>1067</v>
      </c>
      <c r="Q608" s="9" t="s">
        <v>4682</v>
      </c>
    </row>
    <row r="609" spans="1:17" x14ac:dyDescent="0.25">
      <c r="A609" s="8" t="s">
        <v>4683</v>
      </c>
      <c r="B609" s="8" t="s">
        <v>4684</v>
      </c>
      <c r="C609" s="9" t="s">
        <v>4685</v>
      </c>
      <c r="D609" s="9" t="s">
        <v>94</v>
      </c>
      <c r="E609" s="9" t="s">
        <v>4686</v>
      </c>
      <c r="F609" s="10">
        <v>1.359</v>
      </c>
      <c r="G609" s="10">
        <v>1.495</v>
      </c>
      <c r="H609" s="10"/>
      <c r="I609" s="9" t="s">
        <v>96</v>
      </c>
      <c r="J609" s="9" t="s">
        <v>4687</v>
      </c>
      <c r="K609" s="9" t="s">
        <v>4688</v>
      </c>
      <c r="L609" s="8" t="s">
        <v>4689</v>
      </c>
      <c r="M609" s="9" t="s">
        <v>36</v>
      </c>
      <c r="N609" s="9" t="s">
        <v>88</v>
      </c>
      <c r="O609" s="9">
        <f>HYPERLINK("https://www.google.com/maps/search/?api=1&amp;query=41.27485272,2.04817289", "https://www.google.com/maps/search/?api=1&amp;query=41.27485272,2.04817289")</f>
      </c>
      <c r="P609" s="9" t="s">
        <v>2529</v>
      </c>
      <c r="Q609" s="9" t="s">
        <v>4690</v>
      </c>
    </row>
    <row r="610" spans="1:17" x14ac:dyDescent="0.25">
      <c r="A610" s="8" t="s">
        <v>4691</v>
      </c>
      <c r="B610" s="8" t="s">
        <v>4692</v>
      </c>
      <c r="C610" s="9" t="s">
        <v>4693</v>
      </c>
      <c r="D610" s="9" t="s">
        <v>94</v>
      </c>
      <c r="E610" s="9" t="s">
        <v>95</v>
      </c>
      <c r="F610" s="10">
        <v>1.359</v>
      </c>
      <c r="G610" s="10">
        <v>1.495</v>
      </c>
      <c r="H610" s="10"/>
      <c r="I610" s="9" t="s">
        <v>96</v>
      </c>
      <c r="J610" s="9" t="s">
        <v>4694</v>
      </c>
      <c r="K610" s="9" t="s">
        <v>4695</v>
      </c>
      <c r="L610" s="8" t="s">
        <v>99</v>
      </c>
      <c r="M610" s="9" t="s">
        <v>36</v>
      </c>
      <c r="N610" s="9" t="s">
        <v>88</v>
      </c>
      <c r="O610" s="9">
        <f>HYPERLINK("https://www.google.com/maps/search/?api=1&amp;query=41.92814246,2.2446949", "https://www.google.com/maps/search/?api=1&amp;query=41.92814246,2.2446949")</f>
      </c>
      <c r="P610" s="9" t="s">
        <v>789</v>
      </c>
      <c r="Q610" s="9" t="s">
        <v>4696</v>
      </c>
    </row>
    <row r="611" spans="1:17" x14ac:dyDescent="0.25">
      <c r="A611" s="8" t="s">
        <v>4697</v>
      </c>
      <c r="B611" s="8" t="s">
        <v>4698</v>
      </c>
      <c r="C611" s="9" t="s">
        <v>4699</v>
      </c>
      <c r="D611" s="9" t="s">
        <v>217</v>
      </c>
      <c r="E611" s="9" t="s">
        <v>1224</v>
      </c>
      <c r="F611" s="10">
        <v>1.359</v>
      </c>
      <c r="G611" s="10">
        <v>1.495</v>
      </c>
      <c r="H611" s="10"/>
      <c r="I611" s="9" t="s">
        <v>45</v>
      </c>
      <c r="J611" s="9" t="s">
        <v>4700</v>
      </c>
      <c r="K611" s="9" t="s">
        <v>4701</v>
      </c>
      <c r="L611" s="8" t="s">
        <v>1227</v>
      </c>
      <c r="M611" s="9" t="s">
        <v>49</v>
      </c>
      <c r="N611" s="9" t="s">
        <v>37</v>
      </c>
      <c r="O611" s="9">
        <f>HYPERLINK("https://www.google.com/maps/search/?api=1&amp;query=37.02939565,-4.53462453", "https://www.google.com/maps/search/?api=1&amp;query=37.02939565,-4.53462453")</f>
      </c>
      <c r="P611" s="9" t="s">
        <v>4702</v>
      </c>
      <c r="Q611" s="9" t="s">
        <v>4703</v>
      </c>
    </row>
    <row r="612" spans="1:17" x14ac:dyDescent="0.25">
      <c r="A612" s="8" t="s">
        <v>4704</v>
      </c>
      <c r="B612" s="8" t="s">
        <v>4705</v>
      </c>
      <c r="C612" s="9" t="s">
        <v>4706</v>
      </c>
      <c r="D612" s="9" t="s">
        <v>177</v>
      </c>
      <c r="E612" s="9" t="s">
        <v>4707</v>
      </c>
      <c r="F612" s="10">
        <v>1.359</v>
      </c>
      <c r="G612" s="10">
        <v>1.495</v>
      </c>
      <c r="H612" s="10"/>
      <c r="I612" s="9" t="s">
        <v>74</v>
      </c>
      <c r="J612" s="9" t="s">
        <v>4708</v>
      </c>
      <c r="K612" s="9" t="s">
        <v>4709</v>
      </c>
      <c r="L612" s="8" t="s">
        <v>4710</v>
      </c>
      <c r="M612" s="9" t="s">
        <v>49</v>
      </c>
      <c r="N612" s="9" t="s">
        <v>645</v>
      </c>
      <c r="O612" s="9">
        <f>HYPERLINK("https://www.google.com/maps/search/?api=1&amp;query=41.62276186,-4.77387941", "https://www.google.com/maps/search/?api=1&amp;query=41.62276186,-4.77387941")</f>
      </c>
      <c r="P612" s="9" t="s">
        <v>4711</v>
      </c>
      <c r="Q612" s="9" t="s">
        <v>4712</v>
      </c>
    </row>
    <row r="613" spans="1:17" x14ac:dyDescent="0.25">
      <c r="A613" s="8" t="s">
        <v>4713</v>
      </c>
      <c r="B613" s="8" t="s">
        <v>4714</v>
      </c>
      <c r="C613" s="9" t="s">
        <v>4715</v>
      </c>
      <c r="D613" s="9" t="s">
        <v>379</v>
      </c>
      <c r="E613" s="9" t="s">
        <v>4716</v>
      </c>
      <c r="F613" s="10">
        <v>1.359</v>
      </c>
      <c r="G613" s="10">
        <v>1.495</v>
      </c>
      <c r="H613" s="10"/>
      <c r="I613" s="9" t="s">
        <v>379</v>
      </c>
      <c r="J613" s="9" t="s">
        <v>4717</v>
      </c>
      <c r="K613" s="9" t="s">
        <v>4718</v>
      </c>
      <c r="L613" s="8" t="s">
        <v>4719</v>
      </c>
      <c r="M613" s="9" t="s">
        <v>49</v>
      </c>
      <c r="N613" s="9" t="s">
        <v>4720</v>
      </c>
      <c r="O613" s="9">
        <f>HYPERLINK("https://www.google.com/maps/search/?api=1&amp;query=42.35054706,-1.93794606", "https://www.google.com/maps/search/?api=1&amp;query=42.35054706,-1.93794606")</f>
      </c>
      <c r="P613" s="9" t="s">
        <v>1203</v>
      </c>
      <c r="Q613" s="9" t="s">
        <v>4721</v>
      </c>
    </row>
    <row r="614" spans="1:17" x14ac:dyDescent="0.25">
      <c r="A614" s="8" t="s">
        <v>4722</v>
      </c>
      <c r="B614" s="8" t="s">
        <v>4723</v>
      </c>
      <c r="C614" s="9" t="s">
        <v>4724</v>
      </c>
      <c r="D614" s="9" t="s">
        <v>30</v>
      </c>
      <c r="E614" s="9" t="s">
        <v>4725</v>
      </c>
      <c r="F614" s="10">
        <v>1.359</v>
      </c>
      <c r="G614" s="10">
        <v>1.495</v>
      </c>
      <c r="H614" s="10"/>
      <c r="I614" s="9" t="s">
        <v>32</v>
      </c>
      <c r="J614" s="9" t="s">
        <v>4726</v>
      </c>
      <c r="K614" s="9" t="s">
        <v>4727</v>
      </c>
      <c r="L614" s="8" t="s">
        <v>4728</v>
      </c>
      <c r="M614" s="9" t="s">
        <v>49</v>
      </c>
      <c r="N614" s="9" t="s">
        <v>88</v>
      </c>
      <c r="O614" s="9">
        <f>HYPERLINK("https://www.google.com/maps/search/?api=1&amp;query=38.5129072,-6.45043196", "https://www.google.com/maps/search/?api=1&amp;query=38.5129072,-6.45043196")</f>
      </c>
      <c r="P614" s="9" t="s">
        <v>1741</v>
      </c>
      <c r="Q614" s="9" t="s">
        <v>4729</v>
      </c>
    </row>
    <row r="615" spans="1:17" x14ac:dyDescent="0.25">
      <c r="A615" s="8" t="s">
        <v>4730</v>
      </c>
      <c r="B615" s="8" t="s">
        <v>4731</v>
      </c>
      <c r="C615" s="9" t="s">
        <v>4732</v>
      </c>
      <c r="D615" s="9" t="s">
        <v>94</v>
      </c>
      <c r="E615" s="9" t="s">
        <v>4733</v>
      </c>
      <c r="F615" s="10">
        <v>1.359</v>
      </c>
      <c r="G615" s="10">
        <v>1.495</v>
      </c>
      <c r="H615" s="10"/>
      <c r="I615" s="9" t="s">
        <v>96</v>
      </c>
      <c r="J615" s="9" t="s">
        <v>4734</v>
      </c>
      <c r="K615" s="9" t="s">
        <v>4735</v>
      </c>
      <c r="L615" s="8" t="s">
        <v>4736</v>
      </c>
      <c r="M615" s="9" t="s">
        <v>49</v>
      </c>
      <c r="N615" s="9" t="s">
        <v>37</v>
      </c>
      <c r="O615" s="9">
        <f>HYPERLINK("https://www.google.com/maps/search/?api=1&amp;query=41.23847194,1.82745394", "https://www.google.com/maps/search/?api=1&amp;query=41.23847194,1.82745394")</f>
      </c>
      <c r="P615" s="9" t="s">
        <v>4737</v>
      </c>
      <c r="Q615" s="9" t="s">
        <v>4738</v>
      </c>
    </row>
    <row r="616" spans="1:17" x14ac:dyDescent="0.25">
      <c r="A616" s="8" t="s">
        <v>4739</v>
      </c>
      <c r="B616" s="8" t="s">
        <v>4740</v>
      </c>
      <c r="C616" s="9" t="s">
        <v>4741</v>
      </c>
      <c r="D616" s="9" t="s">
        <v>217</v>
      </c>
      <c r="E616" s="9" t="s">
        <v>271</v>
      </c>
      <c r="F616" s="10">
        <v>1.359</v>
      </c>
      <c r="G616" s="10">
        <v>1.495</v>
      </c>
      <c r="H616" s="10"/>
      <c r="I616" s="9" t="s">
        <v>45</v>
      </c>
      <c r="J616" s="9" t="s">
        <v>4742</v>
      </c>
      <c r="K616" s="9" t="s">
        <v>4743</v>
      </c>
      <c r="L616" s="8" t="s">
        <v>4744</v>
      </c>
      <c r="M616" s="9" t="s">
        <v>49</v>
      </c>
      <c r="N616" s="9" t="s">
        <v>37</v>
      </c>
      <c r="O616" s="9">
        <f>HYPERLINK("https://www.google.com/maps/search/?api=1&amp;query=36.7363102,-4.43447382", "https://www.google.com/maps/search/?api=1&amp;query=36.7363102,-4.43447382")</f>
      </c>
      <c r="P616" s="9" t="s">
        <v>1524</v>
      </c>
      <c r="Q616" s="9" t="s">
        <v>2530</v>
      </c>
    </row>
    <row r="617" spans="1:17" x14ac:dyDescent="0.25">
      <c r="A617" s="8" t="s">
        <v>4745</v>
      </c>
      <c r="B617" s="8" t="s">
        <v>4746</v>
      </c>
      <c r="C617" s="9" t="s">
        <v>4747</v>
      </c>
      <c r="D617" s="9" t="s">
        <v>94</v>
      </c>
      <c r="E617" s="9" t="s">
        <v>2338</v>
      </c>
      <c r="F617" s="10">
        <v>1.359</v>
      </c>
      <c r="G617" s="10">
        <v>1.495</v>
      </c>
      <c r="H617" s="10"/>
      <c r="I617" s="9" t="s">
        <v>96</v>
      </c>
      <c r="J617" s="9" t="s">
        <v>4748</v>
      </c>
      <c r="K617" s="9" t="s">
        <v>4749</v>
      </c>
      <c r="L617" s="8" t="s">
        <v>4750</v>
      </c>
      <c r="M617" s="9" t="s">
        <v>49</v>
      </c>
      <c r="N617" s="9" t="s">
        <v>954</v>
      </c>
      <c r="O617" s="9">
        <f>HYPERLINK("https://www.google.com/maps/search/?api=1&amp;query=41.5609186,2.1010004", "https://www.google.com/maps/search/?api=1&amp;query=41.5609186,2.1010004")</f>
      </c>
      <c r="P617" s="9" t="s">
        <v>663</v>
      </c>
      <c r="Q617" s="9" t="s">
        <v>3148</v>
      </c>
    </row>
    <row r="618" spans="1:17" x14ac:dyDescent="0.25">
      <c r="A618" s="8" t="s">
        <v>4751</v>
      </c>
      <c r="B618" s="8" t="s">
        <v>4752</v>
      </c>
      <c r="C618" s="9" t="s">
        <v>4753</v>
      </c>
      <c r="D618" s="9" t="s">
        <v>253</v>
      </c>
      <c r="E618" s="9" t="s">
        <v>943</v>
      </c>
      <c r="F618" s="10">
        <v>1.359</v>
      </c>
      <c r="G618" s="10">
        <v>1.495</v>
      </c>
      <c r="H618" s="10"/>
      <c r="I618" s="9" t="s">
        <v>96</v>
      </c>
      <c r="J618" s="9" t="s">
        <v>4754</v>
      </c>
      <c r="K618" s="9" t="s">
        <v>4755</v>
      </c>
      <c r="L618" s="8" t="s">
        <v>946</v>
      </c>
      <c r="M618" s="9" t="s">
        <v>49</v>
      </c>
      <c r="N618" s="9" t="s">
        <v>88</v>
      </c>
      <c r="O618" s="9">
        <f>HYPERLINK("https://www.google.com/maps/search/?api=1&amp;query=41.14457351,1.10345991", "https://www.google.com/maps/search/?api=1&amp;query=41.14457351,1.10345991")</f>
      </c>
      <c r="P618" s="9" t="s">
        <v>3934</v>
      </c>
      <c r="Q618" s="9" t="s">
        <v>804</v>
      </c>
    </row>
    <row r="619" spans="1:17" x14ac:dyDescent="0.25">
      <c r="A619" s="8" t="s">
        <v>4756</v>
      </c>
      <c r="B619" s="8" t="s">
        <v>4757</v>
      </c>
      <c r="C619" s="9" t="s">
        <v>4758</v>
      </c>
      <c r="D619" s="9" t="s">
        <v>128</v>
      </c>
      <c r="E619" s="9" t="s">
        <v>4759</v>
      </c>
      <c r="F619" s="10">
        <v>1.359</v>
      </c>
      <c r="G619" s="10">
        <v>1.495</v>
      </c>
      <c r="H619" s="10"/>
      <c r="I619" s="9" t="s">
        <v>45</v>
      </c>
      <c r="J619" s="9" t="s">
        <v>4760</v>
      </c>
      <c r="K619" s="9" t="s">
        <v>4761</v>
      </c>
      <c r="L619" s="8" t="s">
        <v>4762</v>
      </c>
      <c r="M619" s="9" t="s">
        <v>36</v>
      </c>
      <c r="N619" s="9" t="s">
        <v>66</v>
      </c>
      <c r="O619" s="9">
        <f>HYPERLINK("https://www.google.com/maps/search/?api=1&amp;query=36.33987621,-6.09364168", "https://www.google.com/maps/search/?api=1&amp;query=36.33987621,-6.09364168")</f>
      </c>
      <c r="P619" s="9" t="s">
        <v>4763</v>
      </c>
      <c r="Q619" s="9" t="s">
        <v>2787</v>
      </c>
    </row>
    <row r="620" spans="1:17" x14ac:dyDescent="0.25">
      <c r="A620" s="8" t="s">
        <v>4764</v>
      </c>
      <c r="B620" s="8" t="s">
        <v>4765</v>
      </c>
      <c r="C620" s="9" t="s">
        <v>4766</v>
      </c>
      <c r="D620" s="9" t="s">
        <v>1847</v>
      </c>
      <c r="E620" s="9" t="s">
        <v>4767</v>
      </c>
      <c r="F620" s="10">
        <v>1.359</v>
      </c>
      <c r="G620" s="10">
        <v>1.495</v>
      </c>
      <c r="H620" s="10"/>
      <c r="I620" s="9" t="s">
        <v>74</v>
      </c>
      <c r="J620" s="9" t="s">
        <v>4768</v>
      </c>
      <c r="K620" s="9" t="s">
        <v>4769</v>
      </c>
      <c r="L620" s="8" t="s">
        <v>4770</v>
      </c>
      <c r="M620" s="9" t="s">
        <v>36</v>
      </c>
      <c r="N620" s="9" t="s">
        <v>122</v>
      </c>
      <c r="O620" s="9">
        <f>HYPERLINK("https://www.google.com/maps/search/?api=1&amp;query=41.21936505,-3.59135849", "https://www.google.com/maps/search/?api=1&amp;query=41.21936505,-3.59135849")</f>
      </c>
      <c r="P620" s="9" t="s">
        <v>1203</v>
      </c>
      <c r="Q620" s="9" t="s">
        <v>4771</v>
      </c>
    </row>
    <row r="621" spans="1:17" x14ac:dyDescent="0.25">
      <c r="A621" s="8" t="s">
        <v>4772</v>
      </c>
      <c r="B621" s="8" t="s">
        <v>4773</v>
      </c>
      <c r="C621" s="9" t="s">
        <v>4774</v>
      </c>
      <c r="D621" s="9" t="s">
        <v>379</v>
      </c>
      <c r="E621" s="9" t="s">
        <v>4775</v>
      </c>
      <c r="F621" s="10">
        <v>1.359</v>
      </c>
      <c r="G621" s="10">
        <v>1.495</v>
      </c>
      <c r="H621" s="10"/>
      <c r="I621" s="9" t="s">
        <v>379</v>
      </c>
      <c r="J621" s="9" t="s">
        <v>4776</v>
      </c>
      <c r="K621" s="9" t="s">
        <v>4777</v>
      </c>
      <c r="L621" s="8" t="s">
        <v>4778</v>
      </c>
      <c r="M621" s="9" t="s">
        <v>49</v>
      </c>
      <c r="N621" s="9" t="s">
        <v>37</v>
      </c>
      <c r="O621" s="9">
        <f>HYPERLINK("https://www.google.com/maps/search/?api=1&amp;query=42.20028187,-1.67499162", "https://www.google.com/maps/search/?api=1&amp;query=42.20028187,-1.67499162")</f>
      </c>
      <c r="P621" s="9" t="s">
        <v>172</v>
      </c>
      <c r="Q621" s="9" t="s">
        <v>4779</v>
      </c>
    </row>
    <row r="622" spans="1:17" x14ac:dyDescent="0.25">
      <c r="A622" s="8" t="s">
        <v>4780</v>
      </c>
      <c r="B622" s="8" t="s">
        <v>4781</v>
      </c>
      <c r="C622" s="9" t="s">
        <v>4782</v>
      </c>
      <c r="D622" s="9" t="s">
        <v>83</v>
      </c>
      <c r="E622" s="9" t="s">
        <v>997</v>
      </c>
      <c r="F622" s="10">
        <v>1.359</v>
      </c>
      <c r="G622" s="10">
        <v>1.495</v>
      </c>
      <c r="H622" s="10"/>
      <c r="I622" s="9" t="s">
        <v>83</v>
      </c>
      <c r="J622" s="9" t="s">
        <v>4783</v>
      </c>
      <c r="K622" s="9" t="s">
        <v>4784</v>
      </c>
      <c r="L622" s="8" t="s">
        <v>4785</v>
      </c>
      <c r="M622" s="9" t="s">
        <v>49</v>
      </c>
      <c r="N622" s="9" t="s">
        <v>339</v>
      </c>
      <c r="O622" s="9">
        <f>HYPERLINK("https://www.google.com/maps/search/?api=1&amp;query=40.31666864,-3.84885196", "https://www.google.com/maps/search/?api=1&amp;query=40.31666864,-3.84885196")</f>
      </c>
      <c r="P622" s="9" t="s">
        <v>4786</v>
      </c>
      <c r="Q622" s="9" t="s">
        <v>4787</v>
      </c>
    </row>
    <row r="623" spans="1:17" x14ac:dyDescent="0.25">
      <c r="A623" s="8" t="s">
        <v>4788</v>
      </c>
      <c r="B623" s="8" t="s">
        <v>4789</v>
      </c>
      <c r="C623" s="9" t="s">
        <v>4790</v>
      </c>
      <c r="D623" s="9" t="s">
        <v>43</v>
      </c>
      <c r="E623" s="9" t="s">
        <v>4791</v>
      </c>
      <c r="F623" s="10">
        <v>1.359</v>
      </c>
      <c r="G623" s="10">
        <v>1.495</v>
      </c>
      <c r="H623" s="10"/>
      <c r="I623" s="9" t="s">
        <v>45</v>
      </c>
      <c r="J623" s="9" t="s">
        <v>4792</v>
      </c>
      <c r="K623" s="9" t="s">
        <v>4793</v>
      </c>
      <c r="L623" s="8" t="s">
        <v>4794</v>
      </c>
      <c r="M623" s="9" t="s">
        <v>49</v>
      </c>
      <c r="N623" s="9" t="s">
        <v>122</v>
      </c>
      <c r="O623" s="9">
        <f>HYPERLINK("https://www.google.com/maps/search/?api=1&amp;query=37.49725604,-7.26847485", "https://www.google.com/maps/search/?api=1&amp;query=37.49725604,-7.26847485")</f>
      </c>
      <c r="P623" s="9" t="s">
        <v>3165</v>
      </c>
      <c r="Q623" s="9" t="s">
        <v>1742</v>
      </c>
    </row>
    <row r="624" spans="1:17" x14ac:dyDescent="0.25">
      <c r="A624" s="8" t="s">
        <v>4795</v>
      </c>
      <c r="B624" s="8" t="s">
        <v>4796</v>
      </c>
      <c r="C624" s="9" t="s">
        <v>4797</v>
      </c>
      <c r="D624" s="9" t="s">
        <v>398</v>
      </c>
      <c r="E624" s="9" t="s">
        <v>2361</v>
      </c>
      <c r="F624" s="10">
        <v>1.359</v>
      </c>
      <c r="G624" s="10">
        <v>1.495</v>
      </c>
      <c r="H624" s="10"/>
      <c r="I624" s="9" t="s">
        <v>400</v>
      </c>
      <c r="J624" s="9" t="s">
        <v>4798</v>
      </c>
      <c r="K624" s="9" t="s">
        <v>4799</v>
      </c>
      <c r="L624" s="8" t="s">
        <v>2364</v>
      </c>
      <c r="M624" s="9" t="s">
        <v>49</v>
      </c>
      <c r="N624" s="9" t="s">
        <v>3326</v>
      </c>
      <c r="O624" s="9">
        <f>HYPERLINK("https://www.google.com/maps/search/?api=1&amp;query=37.98834587,-0.68720032", "https://www.google.com/maps/search/?api=1&amp;query=37.98834587,-0.68720032")</f>
      </c>
      <c r="P624" s="9" t="s">
        <v>696</v>
      </c>
      <c r="Q624" s="9" t="s">
        <v>4613</v>
      </c>
    </row>
    <row r="625" spans="1:17" x14ac:dyDescent="0.25">
      <c r="A625" s="8" t="s">
        <v>4800</v>
      </c>
      <c r="B625" s="8" t="s">
        <v>4801</v>
      </c>
      <c r="C625" s="9" t="s">
        <v>4802</v>
      </c>
      <c r="D625" s="9" t="s">
        <v>253</v>
      </c>
      <c r="E625" s="9" t="s">
        <v>4803</v>
      </c>
      <c r="F625" s="10">
        <v>1.359</v>
      </c>
      <c r="G625" s="10">
        <v>1.495</v>
      </c>
      <c r="H625" s="10"/>
      <c r="I625" s="9" t="s">
        <v>96</v>
      </c>
      <c r="J625" s="9" t="s">
        <v>4804</v>
      </c>
      <c r="K625" s="9" t="s">
        <v>4805</v>
      </c>
      <c r="L625" s="8" t="s">
        <v>4806</v>
      </c>
      <c r="M625" s="9" t="s">
        <v>36</v>
      </c>
      <c r="N625" s="9" t="s">
        <v>88</v>
      </c>
      <c r="O625" s="9">
        <f>HYPERLINK("https://www.google.com/maps/search/?api=1&amp;query=41.23472426,1.56579154", "https://www.google.com/maps/search/?api=1&amp;query=41.23472426,1.56579154")</f>
      </c>
      <c r="P625" s="9" t="s">
        <v>4807</v>
      </c>
      <c r="Q625" s="9" t="s">
        <v>823</v>
      </c>
    </row>
    <row r="626" spans="1:17" x14ac:dyDescent="0.25">
      <c r="A626" s="8" t="s">
        <v>4808</v>
      </c>
      <c r="B626" s="8" t="s">
        <v>4809</v>
      </c>
      <c r="C626" s="9" t="s">
        <v>4056</v>
      </c>
      <c r="D626" s="9" t="s">
        <v>1617</v>
      </c>
      <c r="E626" s="9" t="s">
        <v>4810</v>
      </c>
      <c r="F626" s="10">
        <v>1.359</v>
      </c>
      <c r="G626" s="10">
        <v>1.495</v>
      </c>
      <c r="H626" s="10"/>
      <c r="I626" s="9" t="s">
        <v>292</v>
      </c>
      <c r="J626" s="9" t="s">
        <v>4811</v>
      </c>
      <c r="K626" s="9" t="s">
        <v>4812</v>
      </c>
      <c r="L626" s="8" t="s">
        <v>4813</v>
      </c>
      <c r="M626" s="9" t="s">
        <v>49</v>
      </c>
      <c r="N626" s="9" t="s">
        <v>4814</v>
      </c>
      <c r="O626" s="9">
        <f>HYPERLINK("https://www.google.com/maps/search/?api=1&amp;query=41.52013542,0.33461957", "https://www.google.com/maps/search/?api=1&amp;query=41.52013542,0.33461957")</f>
      </c>
      <c r="P626" s="9" t="s">
        <v>172</v>
      </c>
      <c r="Q626" s="9" t="s">
        <v>3771</v>
      </c>
    </row>
    <row r="627" spans="1:17" x14ac:dyDescent="0.25">
      <c r="A627" s="8" t="s">
        <v>4815</v>
      </c>
      <c r="B627" s="8" t="s">
        <v>4816</v>
      </c>
      <c r="C627" s="9" t="s">
        <v>4817</v>
      </c>
      <c r="D627" s="9" t="s">
        <v>516</v>
      </c>
      <c r="E627" s="9" t="s">
        <v>4818</v>
      </c>
      <c r="F627" s="10">
        <v>1.359</v>
      </c>
      <c r="G627" s="10">
        <v>1.495</v>
      </c>
      <c r="H627" s="10"/>
      <c r="I627" s="9" t="s">
        <v>140</v>
      </c>
      <c r="J627" s="9" t="s">
        <v>4819</v>
      </c>
      <c r="K627" s="9" t="s">
        <v>4820</v>
      </c>
      <c r="L627" s="8" t="s">
        <v>4821</v>
      </c>
      <c r="M627" s="9" t="s">
        <v>49</v>
      </c>
      <c r="N627" s="9" t="s">
        <v>211</v>
      </c>
      <c r="O627" s="9">
        <f>HYPERLINK("https://www.google.com/maps/search/?api=1&amp;query=43.57680321,-7.26894862", "https://www.google.com/maps/search/?api=1&amp;query=43.57680321,-7.26894862")</f>
      </c>
      <c r="P627" s="9" t="s">
        <v>321</v>
      </c>
      <c r="Q627" s="9" t="s">
        <v>1864</v>
      </c>
    </row>
    <row r="628" spans="1:17" x14ac:dyDescent="0.25">
      <c r="A628" s="8" t="s">
        <v>4822</v>
      </c>
      <c r="B628" s="8" t="s">
        <v>4823</v>
      </c>
      <c r="C628" s="9" t="s">
        <v>4824</v>
      </c>
      <c r="D628" s="9" t="s">
        <v>187</v>
      </c>
      <c r="E628" s="9" t="s">
        <v>4825</v>
      </c>
      <c r="F628" s="10">
        <v>1.359</v>
      </c>
      <c r="G628" s="10">
        <v>1.495</v>
      </c>
      <c r="H628" s="10"/>
      <c r="I628" s="9" t="s">
        <v>74</v>
      </c>
      <c r="J628" s="9" t="s">
        <v>4826</v>
      </c>
      <c r="K628" s="9" t="s">
        <v>4827</v>
      </c>
      <c r="L628" s="8" t="s">
        <v>1318</v>
      </c>
      <c r="M628" s="9" t="s">
        <v>49</v>
      </c>
      <c r="N628" s="9" t="s">
        <v>211</v>
      </c>
      <c r="O628" s="9">
        <f>HYPERLINK("https://www.google.com/maps/search/?api=1&amp;query=42.45496737,-5.52088572", "https://www.google.com/maps/search/?api=1&amp;query=42.45496737,-5.52088572")</f>
      </c>
      <c r="P628" s="9" t="s">
        <v>321</v>
      </c>
      <c r="Q628" s="9" t="s">
        <v>1319</v>
      </c>
    </row>
    <row r="629" spans="1:17" x14ac:dyDescent="0.25">
      <c r="A629" s="8" t="s">
        <v>4828</v>
      </c>
      <c r="B629" s="8" t="s">
        <v>4829</v>
      </c>
      <c r="C629" s="9" t="s">
        <v>4830</v>
      </c>
      <c r="D629" s="9" t="s">
        <v>434</v>
      </c>
      <c r="E629" s="9" t="s">
        <v>4831</v>
      </c>
      <c r="F629" s="10">
        <v>1.359</v>
      </c>
      <c r="G629" s="10">
        <v>1.495</v>
      </c>
      <c r="H629" s="10"/>
      <c r="I629" s="9" t="s">
        <v>96</v>
      </c>
      <c r="J629" s="9" t="s">
        <v>4832</v>
      </c>
      <c r="K629" s="9" t="s">
        <v>4833</v>
      </c>
      <c r="L629" s="8" t="s">
        <v>4834</v>
      </c>
      <c r="M629" s="9" t="s">
        <v>36</v>
      </c>
      <c r="N629" s="9" t="s">
        <v>88</v>
      </c>
      <c r="O629" s="9">
        <f>HYPERLINK("https://www.google.com/maps/search/?api=1&amp;query=42.02525053,2.86502755", "https://www.google.com/maps/search/?api=1&amp;query=42.02525053,2.86502755")</f>
      </c>
      <c r="P629" s="9" t="s">
        <v>4835</v>
      </c>
      <c r="Q629" s="9" t="s">
        <v>4836</v>
      </c>
    </row>
    <row r="630" spans="1:17" x14ac:dyDescent="0.25">
      <c r="A630" s="8" t="s">
        <v>4837</v>
      </c>
      <c r="B630" s="8" t="s">
        <v>4838</v>
      </c>
      <c r="C630" s="9" t="s">
        <v>4839</v>
      </c>
      <c r="D630" s="9" t="s">
        <v>106</v>
      </c>
      <c r="E630" s="9" t="s">
        <v>4840</v>
      </c>
      <c r="F630" s="10">
        <v>1.359</v>
      </c>
      <c r="G630" s="10">
        <v>1.495</v>
      </c>
      <c r="H630" s="10"/>
      <c r="I630" s="9" t="s">
        <v>106</v>
      </c>
      <c r="J630" s="9" t="s">
        <v>4841</v>
      </c>
      <c r="K630" s="9" t="s">
        <v>4842</v>
      </c>
      <c r="L630" s="8" t="s">
        <v>4843</v>
      </c>
      <c r="M630" s="9" t="s">
        <v>49</v>
      </c>
      <c r="N630" s="9" t="s">
        <v>88</v>
      </c>
      <c r="O630" s="9">
        <f>HYPERLINK("https://www.google.com/maps/search/?api=1&amp;query=37.68981491,-1.66279172", "https://www.google.com/maps/search/?api=1&amp;query=37.68981491,-1.66279172")</f>
      </c>
      <c r="P630" s="9" t="s">
        <v>4844</v>
      </c>
      <c r="Q630" s="9" t="s">
        <v>4845</v>
      </c>
    </row>
    <row r="631" spans="1:17" x14ac:dyDescent="0.25">
      <c r="A631" s="8" t="s">
        <v>4846</v>
      </c>
      <c r="B631" s="8" t="s">
        <v>4847</v>
      </c>
      <c r="C631" s="9" t="s">
        <v>4848</v>
      </c>
      <c r="D631" s="9" t="s">
        <v>94</v>
      </c>
      <c r="E631" s="9" t="s">
        <v>94</v>
      </c>
      <c r="F631" s="10">
        <v>1.359</v>
      </c>
      <c r="G631" s="10">
        <v>1.495</v>
      </c>
      <c r="H631" s="10"/>
      <c r="I631" s="9" t="s">
        <v>96</v>
      </c>
      <c r="J631" s="9" t="s">
        <v>4849</v>
      </c>
      <c r="K631" s="9" t="s">
        <v>4850</v>
      </c>
      <c r="L631" s="8" t="s">
        <v>4851</v>
      </c>
      <c r="M631" s="9" t="s">
        <v>36</v>
      </c>
      <c r="N631" s="9" t="s">
        <v>37</v>
      </c>
      <c r="O631" s="9">
        <f>HYPERLINK("https://www.google.com/maps/search/?api=1&amp;query=41.3825807,2.10649208", "https://www.google.com/maps/search/?api=1&amp;query=41.3825807,2.10649208")</f>
      </c>
      <c r="P631" s="9" t="s">
        <v>1702</v>
      </c>
      <c r="Q631" s="9" t="s">
        <v>1188</v>
      </c>
    </row>
    <row r="632" spans="1:17" x14ac:dyDescent="0.25">
      <c r="A632" s="8" t="s">
        <v>4852</v>
      </c>
      <c r="B632" s="8" t="s">
        <v>4853</v>
      </c>
      <c r="C632" s="9" t="s">
        <v>4854</v>
      </c>
      <c r="D632" s="9" t="s">
        <v>1434</v>
      </c>
      <c r="E632" s="9" t="s">
        <v>4855</v>
      </c>
      <c r="F632" s="10">
        <v>1.359</v>
      </c>
      <c r="G632" s="10">
        <v>1.495</v>
      </c>
      <c r="H632" s="10"/>
      <c r="I632" s="9" t="s">
        <v>1434</v>
      </c>
      <c r="J632" s="9" t="s">
        <v>4856</v>
      </c>
      <c r="K632" s="9" t="s">
        <v>4857</v>
      </c>
      <c r="L632" s="8" t="s">
        <v>4858</v>
      </c>
      <c r="M632" s="9" t="s">
        <v>49</v>
      </c>
      <c r="N632" s="9" t="s">
        <v>211</v>
      </c>
      <c r="O632" s="9">
        <f>HYPERLINK("https://www.google.com/maps/search/?api=1&amp;query=42.29187351,-1.97126629", "https://www.google.com/maps/search/?api=1&amp;query=42.29187351,-1.97126629")</f>
      </c>
      <c r="P632" s="9" t="s">
        <v>608</v>
      </c>
      <c r="Q632" s="9" t="s">
        <v>925</v>
      </c>
    </row>
    <row r="633" spans="1:17" x14ac:dyDescent="0.25">
      <c r="A633" s="8" t="s">
        <v>4859</v>
      </c>
      <c r="B633" s="8" t="s">
        <v>4860</v>
      </c>
      <c r="C633" s="9" t="s">
        <v>4861</v>
      </c>
      <c r="D633" s="9" t="s">
        <v>94</v>
      </c>
      <c r="E633" s="9" t="s">
        <v>4171</v>
      </c>
      <c r="F633" s="10">
        <v>1.359</v>
      </c>
      <c r="G633" s="10">
        <v>1.495</v>
      </c>
      <c r="H633" s="10"/>
      <c r="I633" s="9" t="s">
        <v>96</v>
      </c>
      <c r="J633" s="9" t="s">
        <v>4862</v>
      </c>
      <c r="K633" s="9" t="s">
        <v>4863</v>
      </c>
      <c r="L633" s="8" t="s">
        <v>4174</v>
      </c>
      <c r="M633" s="9" t="s">
        <v>100</v>
      </c>
      <c r="N633" s="9" t="s">
        <v>37</v>
      </c>
      <c r="O633" s="9">
        <f>HYPERLINK("https://www.google.com/maps/search/?api=1&amp;query=41.46691225,2.17776058", "https://www.google.com/maps/search/?api=1&amp;query=41.46691225,2.17776058")</f>
      </c>
      <c r="P633" s="9" t="s">
        <v>4864</v>
      </c>
      <c r="Q633" s="9" t="s">
        <v>4865</v>
      </c>
    </row>
    <row r="634" spans="1:17" x14ac:dyDescent="0.25">
      <c r="A634" s="8" t="s">
        <v>4866</v>
      </c>
      <c r="B634" s="8" t="s">
        <v>4867</v>
      </c>
      <c r="C634" s="9" t="s">
        <v>4868</v>
      </c>
      <c r="D634" s="9" t="s">
        <v>155</v>
      </c>
      <c r="E634" s="9" t="s">
        <v>4869</v>
      </c>
      <c r="F634" s="10">
        <v>1.359</v>
      </c>
      <c r="G634" s="10">
        <v>1.495</v>
      </c>
      <c r="H634" s="10"/>
      <c r="I634" s="9" t="s">
        <v>157</v>
      </c>
      <c r="J634" s="9" t="s">
        <v>4870</v>
      </c>
      <c r="K634" s="9" t="s">
        <v>4871</v>
      </c>
      <c r="L634" s="8" t="s">
        <v>4872</v>
      </c>
      <c r="M634" s="9" t="s">
        <v>49</v>
      </c>
      <c r="N634" s="9" t="s">
        <v>4873</v>
      </c>
      <c r="O634" s="9">
        <f>HYPERLINK("https://www.google.com/maps/search/?api=1&amp;query=39.89118382,4.24886588", "https://www.google.com/maps/search/?api=1&amp;query=39.89118382,4.24886588")</f>
      </c>
      <c r="P634" s="9" t="s">
        <v>4874</v>
      </c>
      <c r="Q634" s="9" t="s">
        <v>772</v>
      </c>
    </row>
    <row r="635" spans="1:17" x14ac:dyDescent="0.25">
      <c r="A635" s="8" t="s">
        <v>4875</v>
      </c>
      <c r="B635" s="8" t="s">
        <v>4876</v>
      </c>
      <c r="C635" s="9" t="s">
        <v>4877</v>
      </c>
      <c r="D635" s="9" t="s">
        <v>116</v>
      </c>
      <c r="E635" s="9" t="s">
        <v>818</v>
      </c>
      <c r="F635" s="10">
        <v>1.359</v>
      </c>
      <c r="G635" s="10">
        <v>1.495</v>
      </c>
      <c r="H635" s="10"/>
      <c r="I635" s="9" t="s">
        <v>118</v>
      </c>
      <c r="J635" s="9" t="s">
        <v>819</v>
      </c>
      <c r="K635" s="9" t="s">
        <v>4878</v>
      </c>
      <c r="L635" s="8" t="s">
        <v>821</v>
      </c>
      <c r="M635" s="9" t="s">
        <v>36</v>
      </c>
      <c r="N635" s="9" t="s">
        <v>37</v>
      </c>
      <c r="O635" s="9">
        <f>HYPERLINK("https://www.google.com/maps/search/?api=1&amp;query=43.18981529,-2.89442529", "https://www.google.com/maps/search/?api=1&amp;query=43.18981529,-2.89442529")</f>
      </c>
      <c r="P635" s="9" t="s">
        <v>564</v>
      </c>
      <c r="Q635" s="9" t="s">
        <v>925</v>
      </c>
    </row>
    <row r="636" spans="1:17" x14ac:dyDescent="0.25">
      <c r="A636" s="8" t="s">
        <v>4879</v>
      </c>
      <c r="B636" s="8" t="s">
        <v>4880</v>
      </c>
      <c r="C636" s="9" t="s">
        <v>4881</v>
      </c>
      <c r="D636" s="9" t="s">
        <v>43</v>
      </c>
      <c r="E636" s="9" t="s">
        <v>4882</v>
      </c>
      <c r="F636" s="10">
        <v>1.359</v>
      </c>
      <c r="G636" s="10">
        <v>1.495</v>
      </c>
      <c r="H636" s="10"/>
      <c r="I636" s="9" t="s">
        <v>45</v>
      </c>
      <c r="J636" s="9" t="s">
        <v>4883</v>
      </c>
      <c r="K636" s="9" t="s">
        <v>4884</v>
      </c>
      <c r="L636" s="8" t="s">
        <v>4885</v>
      </c>
      <c r="M636" s="9" t="s">
        <v>36</v>
      </c>
      <c r="N636" s="9" t="s">
        <v>88</v>
      </c>
      <c r="O636" s="9">
        <f>HYPERLINK("https://www.google.com/maps/search/?api=1&amp;query=37.88953102,-6.5559115", "https://www.google.com/maps/search/?api=1&amp;query=37.88953102,-6.5559115")</f>
      </c>
      <c r="P636" s="9" t="s">
        <v>1250</v>
      </c>
      <c r="Q636" s="9" t="s">
        <v>4696</v>
      </c>
    </row>
    <row r="637" spans="1:17" x14ac:dyDescent="0.25">
      <c r="A637" s="8" t="s">
        <v>4886</v>
      </c>
      <c r="B637" s="8" t="s">
        <v>4887</v>
      </c>
      <c r="C637" s="9" t="s">
        <v>4888</v>
      </c>
      <c r="D637" s="9" t="s">
        <v>409</v>
      </c>
      <c r="E637" s="9" t="s">
        <v>2659</v>
      </c>
      <c r="F637" s="10">
        <v>1.359</v>
      </c>
      <c r="G637" s="10">
        <v>1.495</v>
      </c>
      <c r="H637" s="10"/>
      <c r="I637" s="9" t="s">
        <v>292</v>
      </c>
      <c r="J637" s="9" t="s">
        <v>4889</v>
      </c>
      <c r="K637" s="9" t="s">
        <v>4890</v>
      </c>
      <c r="L637" s="8" t="s">
        <v>2662</v>
      </c>
      <c r="M637" s="9" t="s">
        <v>36</v>
      </c>
      <c r="N637" s="9" t="s">
        <v>37</v>
      </c>
      <c r="O637" s="9">
        <f>HYPERLINK("https://www.google.com/maps/search/?api=1&amp;query=41.52434575,-1.27346883", "https://www.google.com/maps/search/?api=1&amp;query=41.52434575,-1.27346883")</f>
      </c>
      <c r="P637" s="9" t="s">
        <v>56</v>
      </c>
      <c r="Q637" s="9" t="s">
        <v>673</v>
      </c>
    </row>
    <row r="638" spans="1:17" x14ac:dyDescent="0.25">
      <c r="A638" s="8" t="s">
        <v>4891</v>
      </c>
      <c r="B638" s="8" t="s">
        <v>4892</v>
      </c>
      <c r="C638" s="9" t="s">
        <v>4893</v>
      </c>
      <c r="D638" s="9" t="s">
        <v>94</v>
      </c>
      <c r="E638" s="9" t="s">
        <v>4171</v>
      </c>
      <c r="F638" s="10">
        <v>1.359</v>
      </c>
      <c r="G638" s="10">
        <v>1.495</v>
      </c>
      <c r="H638" s="10"/>
      <c r="I638" s="9" t="s">
        <v>96</v>
      </c>
      <c r="J638" s="9" t="s">
        <v>4894</v>
      </c>
      <c r="K638" s="9" t="s">
        <v>4895</v>
      </c>
      <c r="L638" s="8" t="s">
        <v>4174</v>
      </c>
      <c r="M638" s="9" t="s">
        <v>49</v>
      </c>
      <c r="N638" s="9" t="s">
        <v>37</v>
      </c>
      <c r="O638" s="9">
        <f>HYPERLINK("https://www.google.com/maps/search/?api=1&amp;query=41.49525234,2.19160735", "https://www.google.com/maps/search/?api=1&amp;query=41.49525234,2.19160735")</f>
      </c>
      <c r="P638" s="9" t="s">
        <v>888</v>
      </c>
      <c r="Q638" s="9" t="s">
        <v>102</v>
      </c>
    </row>
    <row r="639" spans="1:17" x14ac:dyDescent="0.25">
      <c r="A639" s="8" t="s">
        <v>4896</v>
      </c>
      <c r="B639" s="8" t="s">
        <v>4897</v>
      </c>
      <c r="C639" s="9" t="s">
        <v>4898</v>
      </c>
      <c r="D639" s="9" t="s">
        <v>83</v>
      </c>
      <c r="E639" s="9" t="s">
        <v>4899</v>
      </c>
      <c r="F639" s="10">
        <v>1.359</v>
      </c>
      <c r="G639" s="10">
        <v>1.495</v>
      </c>
      <c r="H639" s="10"/>
      <c r="I639" s="9" t="s">
        <v>83</v>
      </c>
      <c r="J639" s="9" t="s">
        <v>4900</v>
      </c>
      <c r="K639" s="9" t="s">
        <v>4901</v>
      </c>
      <c r="L639" s="8" t="s">
        <v>4902</v>
      </c>
      <c r="M639" s="9" t="s">
        <v>49</v>
      </c>
      <c r="N639" s="9" t="s">
        <v>88</v>
      </c>
      <c r="O639" s="9">
        <f>HYPERLINK("https://www.google.com/maps/search/?api=1&amp;query=40.38512391,-3.40794148", "https://www.google.com/maps/search/?api=1&amp;query=40.38512391,-3.40794148")</f>
      </c>
      <c r="P639" s="9" t="s">
        <v>172</v>
      </c>
      <c r="Q639" s="9" t="s">
        <v>4903</v>
      </c>
    </row>
    <row r="640" spans="1:17" x14ac:dyDescent="0.25">
      <c r="A640" s="8" t="s">
        <v>4904</v>
      </c>
      <c r="B640" s="8" t="s">
        <v>4905</v>
      </c>
      <c r="C640" s="9" t="s">
        <v>4906</v>
      </c>
      <c r="D640" s="9" t="s">
        <v>892</v>
      </c>
      <c r="E640" s="9" t="s">
        <v>4907</v>
      </c>
      <c r="F640" s="10">
        <v>1.359</v>
      </c>
      <c r="G640" s="10">
        <v>1.495</v>
      </c>
      <c r="H640" s="10"/>
      <c r="I640" s="9" t="s">
        <v>32</v>
      </c>
      <c r="J640" s="9" t="s">
        <v>4908</v>
      </c>
      <c r="K640" s="9" t="s">
        <v>4909</v>
      </c>
      <c r="L640" s="8" t="s">
        <v>4910</v>
      </c>
      <c r="M640" s="9" t="s">
        <v>49</v>
      </c>
      <c r="N640" s="9" t="s">
        <v>37</v>
      </c>
      <c r="O640" s="9">
        <f>HYPERLINK("https://www.google.com/maps/search/?api=1&amp;query=39.68790674,-5.71987996", "https://www.google.com/maps/search/?api=1&amp;query=39.68790674,-5.71987996")</f>
      </c>
      <c r="P640" s="9" t="s">
        <v>521</v>
      </c>
      <c r="Q640" s="9" t="s">
        <v>4911</v>
      </c>
    </row>
    <row r="641" spans="1:17" x14ac:dyDescent="0.25">
      <c r="A641" s="8" t="s">
        <v>4912</v>
      </c>
      <c r="B641" s="8" t="s">
        <v>4913</v>
      </c>
      <c r="C641" s="9" t="s">
        <v>4914</v>
      </c>
      <c r="D641" s="9" t="s">
        <v>83</v>
      </c>
      <c r="E641" s="9" t="s">
        <v>3085</v>
      </c>
      <c r="F641" s="10">
        <v>1.359</v>
      </c>
      <c r="G641" s="10">
        <v>1.495</v>
      </c>
      <c r="H641" s="10"/>
      <c r="I641" s="9" t="s">
        <v>83</v>
      </c>
      <c r="J641" s="9" t="s">
        <v>4915</v>
      </c>
      <c r="K641" s="9" t="s">
        <v>4916</v>
      </c>
      <c r="L641" s="8" t="s">
        <v>3088</v>
      </c>
      <c r="M641" s="9" t="s">
        <v>36</v>
      </c>
      <c r="N641" s="9" t="s">
        <v>37</v>
      </c>
      <c r="O641" s="9">
        <f>HYPERLINK("https://www.google.com/maps/search/?api=1&amp;query=40.24649502,-3.68948553", "https://www.google.com/maps/search/?api=1&amp;query=40.24649502,-3.68948553")</f>
      </c>
      <c r="P641" s="9" t="s">
        <v>4917</v>
      </c>
      <c r="Q641" s="9" t="s">
        <v>4918</v>
      </c>
    </row>
    <row r="642" spans="1:17" x14ac:dyDescent="0.25">
      <c r="A642" s="8" t="s">
        <v>4919</v>
      </c>
      <c r="B642" s="8" t="s">
        <v>4920</v>
      </c>
      <c r="C642" s="9" t="s">
        <v>4921</v>
      </c>
      <c r="D642" s="9" t="s">
        <v>106</v>
      </c>
      <c r="E642" s="9" t="s">
        <v>4922</v>
      </c>
      <c r="F642" s="10">
        <v>1.359</v>
      </c>
      <c r="G642" s="10">
        <v>1.495</v>
      </c>
      <c r="H642" s="10"/>
      <c r="I642" s="9" t="s">
        <v>106</v>
      </c>
      <c r="J642" s="9" t="s">
        <v>4923</v>
      </c>
      <c r="K642" s="9" t="s">
        <v>4924</v>
      </c>
      <c r="L642" s="8" t="s">
        <v>753</v>
      </c>
      <c r="M642" s="9" t="s">
        <v>36</v>
      </c>
      <c r="N642" s="9" t="s">
        <v>122</v>
      </c>
      <c r="O642" s="9">
        <f>HYPERLINK("https://www.google.com/maps/search/?api=1&amp;query=37.544545,-1.45640571", "https://www.google.com/maps/search/?api=1&amp;query=37.544545,-1.45640571")</f>
      </c>
      <c r="P642" s="9" t="s">
        <v>3140</v>
      </c>
      <c r="Q642" s="9" t="s">
        <v>4925</v>
      </c>
    </row>
    <row r="643" spans="1:17" x14ac:dyDescent="0.25">
      <c r="A643" s="8" t="s">
        <v>4926</v>
      </c>
      <c r="B643" s="8" t="s">
        <v>4927</v>
      </c>
      <c r="C643" s="9" t="s">
        <v>4928</v>
      </c>
      <c r="D643" s="9" t="s">
        <v>2288</v>
      </c>
      <c r="E643" s="9" t="s">
        <v>2288</v>
      </c>
      <c r="F643" s="10">
        <v>1.359</v>
      </c>
      <c r="G643" s="10">
        <v>1.495</v>
      </c>
      <c r="H643" s="10"/>
      <c r="I643" s="9" t="s">
        <v>168</v>
      </c>
      <c r="J643" s="9" t="s">
        <v>4929</v>
      </c>
      <c r="K643" s="9" t="s">
        <v>4930</v>
      </c>
      <c r="L643" s="8" t="s">
        <v>4931</v>
      </c>
      <c r="M643" s="9" t="s">
        <v>36</v>
      </c>
      <c r="N643" s="9" t="s">
        <v>88</v>
      </c>
      <c r="O643" s="9">
        <f>HYPERLINK("https://www.google.com/maps/search/?api=1&amp;query=39.03268985,-1.8914363", "https://www.google.com/maps/search/?api=1&amp;query=39.03268985,-1.8914363")</f>
      </c>
      <c r="P643" s="9" t="s">
        <v>1590</v>
      </c>
      <c r="Q643" s="9" t="s">
        <v>4932</v>
      </c>
    </row>
    <row r="644" spans="1:17" x14ac:dyDescent="0.25">
      <c r="A644" s="8" t="s">
        <v>4933</v>
      </c>
      <c r="B644" s="8" t="s">
        <v>4934</v>
      </c>
      <c r="C644" s="9" t="s">
        <v>4935</v>
      </c>
      <c r="D644" s="9" t="s">
        <v>94</v>
      </c>
      <c r="E644" s="9" t="s">
        <v>4936</v>
      </c>
      <c r="F644" s="10">
        <v>1.359</v>
      </c>
      <c r="G644" s="10">
        <v>1.495</v>
      </c>
      <c r="H644" s="10"/>
      <c r="I644" s="9" t="s">
        <v>96</v>
      </c>
      <c r="J644" s="9" t="s">
        <v>4937</v>
      </c>
      <c r="K644" s="9" t="s">
        <v>4938</v>
      </c>
      <c r="L644" s="8" t="s">
        <v>4939</v>
      </c>
      <c r="M644" s="9" t="s">
        <v>49</v>
      </c>
      <c r="N644" s="9" t="s">
        <v>88</v>
      </c>
      <c r="O644" s="9">
        <f>HYPERLINK("https://www.google.com/maps/search/?api=1&amp;query=41.38275621,1.92727812", "https://www.google.com/maps/search/?api=1&amp;query=41.38275621,1.92727812")</f>
      </c>
      <c r="P644" s="9" t="s">
        <v>4492</v>
      </c>
      <c r="Q644" s="9" t="s">
        <v>4940</v>
      </c>
    </row>
    <row r="645" spans="1:17" x14ac:dyDescent="0.25">
      <c r="A645" s="8" t="s">
        <v>4941</v>
      </c>
      <c r="B645" s="8" t="s">
        <v>4942</v>
      </c>
      <c r="C645" s="9" t="s">
        <v>4943</v>
      </c>
      <c r="D645" s="9" t="s">
        <v>72</v>
      </c>
      <c r="E645" s="9" t="s">
        <v>72</v>
      </c>
      <c r="F645" s="10">
        <v>1.359</v>
      </c>
      <c r="G645" s="10">
        <v>1.495</v>
      </c>
      <c r="H645" s="10"/>
      <c r="I645" s="9" t="s">
        <v>74</v>
      </c>
      <c r="J645" s="9" t="s">
        <v>4944</v>
      </c>
      <c r="K645" s="9" t="s">
        <v>4945</v>
      </c>
      <c r="L645" s="8" t="s">
        <v>4946</v>
      </c>
      <c r="M645" s="9" t="s">
        <v>49</v>
      </c>
      <c r="N645" s="9" t="s">
        <v>211</v>
      </c>
      <c r="O645" s="9">
        <f>HYPERLINK("https://www.google.com/maps/search/?api=1&amp;query=42.02589329,-4.54894949", "https://www.google.com/maps/search/?api=1&amp;query=42.02589329,-4.54894949")</f>
      </c>
      <c r="P645" s="9" t="s">
        <v>4947</v>
      </c>
      <c r="Q645" s="9" t="s">
        <v>4948</v>
      </c>
    </row>
    <row r="646" spans="1:17" x14ac:dyDescent="0.25">
      <c r="A646" s="8" t="s">
        <v>4949</v>
      </c>
      <c r="B646" s="8" t="s">
        <v>4950</v>
      </c>
      <c r="C646" s="9" t="s">
        <v>4951</v>
      </c>
      <c r="D646" s="9" t="s">
        <v>344</v>
      </c>
      <c r="E646" s="9" t="s">
        <v>4049</v>
      </c>
      <c r="F646" s="10">
        <v>1.359</v>
      </c>
      <c r="G646" s="10">
        <v>1.495</v>
      </c>
      <c r="H646" s="10"/>
      <c r="I646" s="9" t="s">
        <v>140</v>
      </c>
      <c r="J646" s="9" t="s">
        <v>4952</v>
      </c>
      <c r="K646" s="9" t="s">
        <v>4953</v>
      </c>
      <c r="L646" s="8" t="s">
        <v>4052</v>
      </c>
      <c r="M646" s="9" t="s">
        <v>36</v>
      </c>
      <c r="N646" s="9" t="s">
        <v>211</v>
      </c>
      <c r="O646" s="9">
        <f>HYPERLINK("https://www.google.com/maps/search/?api=1&amp;query=43.34128816,-8.20368109", "https://www.google.com/maps/search/?api=1&amp;query=43.34128816,-8.20368109")</f>
      </c>
      <c r="P646" s="9" t="s">
        <v>4954</v>
      </c>
      <c r="Q646" s="9" t="s">
        <v>714</v>
      </c>
    </row>
    <row r="647" spans="1:17" x14ac:dyDescent="0.25">
      <c r="A647" s="8" t="s">
        <v>4955</v>
      </c>
      <c r="B647" s="8" t="s">
        <v>4956</v>
      </c>
      <c r="C647" s="9" t="s">
        <v>4957</v>
      </c>
      <c r="D647" s="9" t="s">
        <v>83</v>
      </c>
      <c r="E647" s="9" t="s">
        <v>83</v>
      </c>
      <c r="F647" s="10">
        <v>1.359</v>
      </c>
      <c r="G647" s="10">
        <v>1.495</v>
      </c>
      <c r="H647" s="10"/>
      <c r="I647" s="9" t="s">
        <v>83</v>
      </c>
      <c r="J647" s="9" t="s">
        <v>4958</v>
      </c>
      <c r="K647" s="9" t="s">
        <v>4959</v>
      </c>
      <c r="L647" s="8" t="s">
        <v>4960</v>
      </c>
      <c r="M647" s="9" t="s">
        <v>49</v>
      </c>
      <c r="N647" s="9" t="s">
        <v>88</v>
      </c>
      <c r="O647" s="9">
        <f>HYPERLINK("https://www.google.com/maps/search/?api=1&amp;query=40.36841372,-3.76600521", "https://www.google.com/maps/search/?api=1&amp;query=40.36841372,-3.76600521")</f>
      </c>
      <c r="P647" s="9" t="s">
        <v>2516</v>
      </c>
      <c r="Q647" s="9" t="s">
        <v>697</v>
      </c>
    </row>
    <row r="648" spans="1:17" x14ac:dyDescent="0.25">
      <c r="A648" s="8" t="s">
        <v>4961</v>
      </c>
      <c r="B648" s="8" t="s">
        <v>4962</v>
      </c>
      <c r="C648" s="9" t="s">
        <v>4963</v>
      </c>
      <c r="D648" s="9" t="s">
        <v>398</v>
      </c>
      <c r="E648" s="9" t="s">
        <v>827</v>
      </c>
      <c r="F648" s="10">
        <v>1.359</v>
      </c>
      <c r="G648" s="10">
        <v>1.495</v>
      </c>
      <c r="H648" s="10"/>
      <c r="I648" s="9" t="s">
        <v>400</v>
      </c>
      <c r="J648" s="9" t="s">
        <v>4964</v>
      </c>
      <c r="K648" s="9" t="s">
        <v>4965</v>
      </c>
      <c r="L648" s="8" t="s">
        <v>4966</v>
      </c>
      <c r="M648" s="9" t="s">
        <v>36</v>
      </c>
      <c r="N648" s="9" t="s">
        <v>4967</v>
      </c>
      <c r="O648" s="9">
        <f>HYPERLINK("https://www.google.com/maps/search/?api=1&amp;query=38.25101951,-0.69830216", "https://www.google.com/maps/search/?api=1&amp;query=38.25101951,-0.69830216")</f>
      </c>
      <c r="P648" s="9" t="s">
        <v>404</v>
      </c>
      <c r="Q648" s="9" t="s">
        <v>1556</v>
      </c>
    </row>
    <row r="649" spans="1:17" x14ac:dyDescent="0.25">
      <c r="A649" s="8" t="s">
        <v>4968</v>
      </c>
      <c r="B649" s="8" t="s">
        <v>4969</v>
      </c>
      <c r="C649" s="9" t="s">
        <v>4970</v>
      </c>
      <c r="D649" s="9" t="s">
        <v>83</v>
      </c>
      <c r="E649" s="9" t="s">
        <v>4971</v>
      </c>
      <c r="F649" s="10">
        <v>1.359</v>
      </c>
      <c r="G649" s="10">
        <v>1.495</v>
      </c>
      <c r="H649" s="10"/>
      <c r="I649" s="9" t="s">
        <v>83</v>
      </c>
      <c r="J649" s="9" t="s">
        <v>4972</v>
      </c>
      <c r="K649" s="9" t="s">
        <v>4973</v>
      </c>
      <c r="L649" s="8" t="s">
        <v>4974</v>
      </c>
      <c r="M649" s="9" t="s">
        <v>49</v>
      </c>
      <c r="N649" s="9" t="s">
        <v>645</v>
      </c>
      <c r="O649" s="9">
        <f>HYPERLINK("https://www.google.com/maps/search/?api=1&amp;query=40.50779723,-3.87658337", "https://www.google.com/maps/search/?api=1&amp;query=40.50779723,-3.87658337")</f>
      </c>
      <c r="P649" s="9" t="s">
        <v>2465</v>
      </c>
      <c r="Q649" s="9" t="s">
        <v>2719</v>
      </c>
    </row>
    <row r="650" spans="1:17" x14ac:dyDescent="0.25">
      <c r="A650" s="8" t="s">
        <v>4975</v>
      </c>
      <c r="B650" s="8" t="s">
        <v>4976</v>
      </c>
      <c r="C650" s="9" t="s">
        <v>4977</v>
      </c>
      <c r="D650" s="9" t="s">
        <v>379</v>
      </c>
      <c r="E650" s="9" t="s">
        <v>4502</v>
      </c>
      <c r="F650" s="10">
        <v>1.359</v>
      </c>
      <c r="G650" s="10">
        <v>1.495</v>
      </c>
      <c r="H650" s="10"/>
      <c r="I650" s="9" t="s">
        <v>379</v>
      </c>
      <c r="J650" s="9" t="s">
        <v>4978</v>
      </c>
      <c r="K650" s="9" t="s">
        <v>4979</v>
      </c>
      <c r="L650" s="8" t="s">
        <v>4505</v>
      </c>
      <c r="M650" s="9" t="s">
        <v>36</v>
      </c>
      <c r="N650" s="9" t="s">
        <v>88</v>
      </c>
      <c r="O650" s="9">
        <f>HYPERLINK("https://www.google.com/maps/search/?api=1&amp;query=43.12997685,-1.63139181", "https://www.google.com/maps/search/?api=1&amp;query=43.12997685,-1.63139181")</f>
      </c>
      <c r="P650" s="9" t="s">
        <v>2480</v>
      </c>
      <c r="Q650" s="9" t="s">
        <v>4053</v>
      </c>
    </row>
    <row r="651" spans="1:17" x14ac:dyDescent="0.25">
      <c r="A651" s="8" t="s">
        <v>4980</v>
      </c>
      <c r="B651" s="8" t="s">
        <v>4981</v>
      </c>
      <c r="C651" s="9" t="s">
        <v>4982</v>
      </c>
      <c r="D651" s="9" t="s">
        <v>166</v>
      </c>
      <c r="E651" s="9" t="s">
        <v>166</v>
      </c>
      <c r="F651" s="10">
        <v>1.359</v>
      </c>
      <c r="G651" s="10">
        <v>1.495</v>
      </c>
      <c r="H651" s="10"/>
      <c r="I651" s="9" t="s">
        <v>168</v>
      </c>
      <c r="J651" s="9" t="s">
        <v>4983</v>
      </c>
      <c r="K651" s="9" t="s">
        <v>4984</v>
      </c>
      <c r="L651" s="8" t="s">
        <v>4985</v>
      </c>
      <c r="M651" s="9" t="s">
        <v>49</v>
      </c>
      <c r="N651" s="9" t="s">
        <v>66</v>
      </c>
      <c r="O651" s="9">
        <f>HYPERLINK("https://www.google.com/maps/search/?api=1&amp;query=40.6333902,-3.18478244", "https://www.google.com/maps/search/?api=1&amp;query=40.6333902,-3.18478244")</f>
      </c>
      <c r="P651" s="9" t="s">
        <v>955</v>
      </c>
      <c r="Q651" s="9" t="s">
        <v>4986</v>
      </c>
    </row>
    <row r="652" spans="1:17" x14ac:dyDescent="0.25">
      <c r="A652" s="8" t="s">
        <v>4987</v>
      </c>
      <c r="B652" s="8" t="s">
        <v>4988</v>
      </c>
      <c r="C652" s="9" t="s">
        <v>4989</v>
      </c>
      <c r="D652" s="9" t="s">
        <v>138</v>
      </c>
      <c r="E652" s="9" t="s">
        <v>2402</v>
      </c>
      <c r="F652" s="10">
        <v>1.359</v>
      </c>
      <c r="G652" s="10">
        <v>1.495</v>
      </c>
      <c r="H652" s="10"/>
      <c r="I652" s="9" t="s">
        <v>140</v>
      </c>
      <c r="J652" s="9" t="s">
        <v>4990</v>
      </c>
      <c r="K652" s="9" t="s">
        <v>4991</v>
      </c>
      <c r="L652" s="8" t="s">
        <v>2405</v>
      </c>
      <c r="M652" s="9" t="s">
        <v>100</v>
      </c>
      <c r="N652" s="9" t="s">
        <v>211</v>
      </c>
      <c r="O652" s="9">
        <f>HYPERLINK("https://www.google.com/maps/search/?api=1&amp;query=42.17552324,-8.49562816", "https://www.google.com/maps/search/?api=1&amp;query=42.17552324,-8.49562816")</f>
      </c>
      <c r="P652" s="9" t="s">
        <v>439</v>
      </c>
      <c r="Q652" s="9" t="s">
        <v>1566</v>
      </c>
    </row>
    <row r="653" spans="1:17" x14ac:dyDescent="0.25">
      <c r="A653" s="8" t="s">
        <v>4992</v>
      </c>
      <c r="B653" s="8" t="s">
        <v>4993</v>
      </c>
      <c r="C653" s="9" t="s">
        <v>4994</v>
      </c>
      <c r="D653" s="9" t="s">
        <v>919</v>
      </c>
      <c r="E653" s="9" t="s">
        <v>1105</v>
      </c>
      <c r="F653" s="10">
        <v>1.359</v>
      </c>
      <c r="G653" s="10">
        <v>1.495</v>
      </c>
      <c r="H653" s="10"/>
      <c r="I653" s="9" t="s">
        <v>118</v>
      </c>
      <c r="J653" s="9" t="s">
        <v>4995</v>
      </c>
      <c r="K653" s="9" t="s">
        <v>4996</v>
      </c>
      <c r="L653" s="8" t="s">
        <v>1108</v>
      </c>
      <c r="M653" s="9" t="s">
        <v>49</v>
      </c>
      <c r="N653" s="9" t="s">
        <v>37</v>
      </c>
      <c r="O653" s="9">
        <f>HYPERLINK("https://www.google.com/maps/search/?api=1&amp;query=42.74312841,-2.91351802", "https://www.google.com/maps/search/?api=1&amp;query=42.74312841,-2.91351802")</f>
      </c>
      <c r="P653" s="9" t="s">
        <v>564</v>
      </c>
      <c r="Q653" s="9" t="s">
        <v>925</v>
      </c>
    </row>
    <row r="654" spans="1:17" x14ac:dyDescent="0.25">
      <c r="A654" s="8" t="s">
        <v>4997</v>
      </c>
      <c r="B654" s="8" t="s">
        <v>4998</v>
      </c>
      <c r="C654" s="9" t="s">
        <v>4999</v>
      </c>
      <c r="D654" s="9" t="s">
        <v>253</v>
      </c>
      <c r="E654" s="9" t="s">
        <v>5000</v>
      </c>
      <c r="F654" s="10">
        <v>1.359</v>
      </c>
      <c r="G654" s="10">
        <v>1.495</v>
      </c>
      <c r="H654" s="10"/>
      <c r="I654" s="9" t="s">
        <v>96</v>
      </c>
      <c r="J654" s="9" t="s">
        <v>5001</v>
      </c>
      <c r="K654" s="9" t="s">
        <v>5002</v>
      </c>
      <c r="L654" s="8" t="s">
        <v>5003</v>
      </c>
      <c r="M654" s="9" t="s">
        <v>49</v>
      </c>
      <c r="N654" s="9" t="s">
        <v>88</v>
      </c>
      <c r="O654" s="9">
        <f>HYPERLINK("https://www.google.com/maps/search/?api=1&amp;query=40.70915305,0.58811294", "https://www.google.com/maps/search/?api=1&amp;query=40.70915305,0.58811294")</f>
      </c>
      <c r="P654" s="9" t="s">
        <v>5004</v>
      </c>
      <c r="Q654" s="9" t="s">
        <v>124</v>
      </c>
    </row>
    <row r="655" spans="1:17" x14ac:dyDescent="0.25">
      <c r="A655" s="8" t="s">
        <v>5005</v>
      </c>
      <c r="B655" s="8" t="s">
        <v>5006</v>
      </c>
      <c r="C655" s="9" t="s">
        <v>5007</v>
      </c>
      <c r="D655" s="9" t="s">
        <v>808</v>
      </c>
      <c r="E655" s="9" t="s">
        <v>5008</v>
      </c>
      <c r="F655" s="10">
        <v>1.359</v>
      </c>
      <c r="G655" s="10">
        <v>1.495</v>
      </c>
      <c r="H655" s="10"/>
      <c r="I655" s="9" t="s">
        <v>808</v>
      </c>
      <c r="J655" s="9" t="s">
        <v>5009</v>
      </c>
      <c r="K655" s="9" t="s">
        <v>5010</v>
      </c>
      <c r="L655" s="8" t="s">
        <v>5011</v>
      </c>
      <c r="M655" s="9" t="s">
        <v>36</v>
      </c>
      <c r="N655" s="9" t="s">
        <v>645</v>
      </c>
      <c r="O655" s="9">
        <f>HYPERLINK("https://www.google.com/maps/search/?api=1&amp;query=43.44960783,-3.55924605", "https://www.google.com/maps/search/?api=1&amp;query=43.44960783,-3.55924605")</f>
      </c>
      <c r="P655" s="9" t="s">
        <v>1100</v>
      </c>
      <c r="Q655" s="9" t="s">
        <v>5012</v>
      </c>
    </row>
    <row r="656" spans="1:17" x14ac:dyDescent="0.25">
      <c r="A656" s="8" t="s">
        <v>5013</v>
      </c>
      <c r="B656" s="8" t="s">
        <v>5014</v>
      </c>
      <c r="C656" s="9" t="s">
        <v>5015</v>
      </c>
      <c r="D656" s="9" t="s">
        <v>434</v>
      </c>
      <c r="E656" s="9" t="s">
        <v>5016</v>
      </c>
      <c r="F656" s="10">
        <v>1.359</v>
      </c>
      <c r="G656" s="10">
        <v>1.495</v>
      </c>
      <c r="H656" s="10"/>
      <c r="I656" s="9" t="s">
        <v>96</v>
      </c>
      <c r="J656" s="9" t="s">
        <v>5017</v>
      </c>
      <c r="K656" s="9" t="s">
        <v>5018</v>
      </c>
      <c r="L656" s="8" t="s">
        <v>5019</v>
      </c>
      <c r="M656" s="9" t="s">
        <v>49</v>
      </c>
      <c r="N656" s="9" t="s">
        <v>37</v>
      </c>
      <c r="O656" s="9">
        <f>HYPERLINK("https://www.google.com/maps/search/?api=1&amp;query=41.77232947,2.73988713", "https://www.google.com/maps/search/?api=1&amp;query=41.77232947,2.73988713")</f>
      </c>
      <c r="P656" s="9" t="s">
        <v>50</v>
      </c>
      <c r="Q656" s="9" t="s">
        <v>2976</v>
      </c>
    </row>
    <row r="657" spans="1:17" x14ac:dyDescent="0.25">
      <c r="A657" s="8" t="s">
        <v>5020</v>
      </c>
      <c r="B657" s="8" t="s">
        <v>5021</v>
      </c>
      <c r="C657" s="9" t="s">
        <v>5022</v>
      </c>
      <c r="D657" s="9" t="s">
        <v>30</v>
      </c>
      <c r="E657" s="9" t="s">
        <v>30</v>
      </c>
      <c r="F657" s="10">
        <v>1.359</v>
      </c>
      <c r="G657" s="10">
        <v>1.495</v>
      </c>
      <c r="H657" s="10"/>
      <c r="I657" s="9" t="s">
        <v>32</v>
      </c>
      <c r="J657" s="9" t="s">
        <v>5023</v>
      </c>
      <c r="K657" s="9" t="s">
        <v>5024</v>
      </c>
      <c r="L657" s="8" t="s">
        <v>5025</v>
      </c>
      <c r="M657" s="9" t="s">
        <v>36</v>
      </c>
      <c r="N657" s="9" t="s">
        <v>37</v>
      </c>
      <c r="O657" s="9">
        <f>HYPERLINK("https://www.google.com/maps/search/?api=1&amp;query=38.87771225,-6.94599492", "https://www.google.com/maps/search/?api=1&amp;query=38.87771225,-6.94599492")</f>
      </c>
      <c r="P657" s="9" t="s">
        <v>880</v>
      </c>
      <c r="Q657" s="9" t="s">
        <v>5026</v>
      </c>
    </row>
    <row r="658" spans="1:17" x14ac:dyDescent="0.25">
      <c r="A658" s="8" t="s">
        <v>5027</v>
      </c>
      <c r="B658" s="8" t="s">
        <v>5028</v>
      </c>
      <c r="C658" s="9" t="s">
        <v>5029</v>
      </c>
      <c r="D658" s="9" t="s">
        <v>808</v>
      </c>
      <c r="E658" s="9" t="s">
        <v>5030</v>
      </c>
      <c r="F658" s="10">
        <v>1.359</v>
      </c>
      <c r="G658" s="10">
        <v>1.495</v>
      </c>
      <c r="H658" s="10"/>
      <c r="I658" s="9" t="s">
        <v>808</v>
      </c>
      <c r="J658" s="9" t="s">
        <v>5031</v>
      </c>
      <c r="K658" s="9" t="s">
        <v>5032</v>
      </c>
      <c r="L658" s="8" t="s">
        <v>5033</v>
      </c>
      <c r="M658" s="9" t="s">
        <v>49</v>
      </c>
      <c r="N658" s="9" t="s">
        <v>211</v>
      </c>
      <c r="O658" s="9">
        <f>HYPERLINK("https://www.google.com/maps/search/?api=1&amp;query=43.38310653,-3.85858703", "https://www.google.com/maps/search/?api=1&amp;query=43.38310653,-3.85858703")</f>
      </c>
      <c r="P658" s="9" t="s">
        <v>1067</v>
      </c>
      <c r="Q658" s="9" t="s">
        <v>5034</v>
      </c>
    </row>
    <row r="659" spans="1:17" x14ac:dyDescent="0.25">
      <c r="A659" s="8" t="s">
        <v>5035</v>
      </c>
      <c r="B659" s="8" t="s">
        <v>5036</v>
      </c>
      <c r="C659" s="9" t="s">
        <v>5037</v>
      </c>
      <c r="D659" s="9" t="s">
        <v>83</v>
      </c>
      <c r="E659" s="9" t="s">
        <v>83</v>
      </c>
      <c r="F659" s="10">
        <v>1.359</v>
      </c>
      <c r="G659" s="10">
        <v>1.495</v>
      </c>
      <c r="H659" s="10"/>
      <c r="I659" s="9" t="s">
        <v>83</v>
      </c>
      <c r="J659" s="9" t="s">
        <v>5038</v>
      </c>
      <c r="K659" s="9" t="s">
        <v>5039</v>
      </c>
      <c r="L659" s="8" t="s">
        <v>2593</v>
      </c>
      <c r="M659" s="9" t="s">
        <v>49</v>
      </c>
      <c r="N659" s="9" t="s">
        <v>88</v>
      </c>
      <c r="O659" s="9">
        <f>HYPERLINK("https://www.google.com/maps/search/?api=1&amp;query=40.38731369,-3.72985407", "https://www.google.com/maps/search/?api=1&amp;query=40.38731369,-3.72985407")</f>
      </c>
      <c r="P659" s="9" t="s">
        <v>608</v>
      </c>
      <c r="Q659" s="9" t="s">
        <v>112</v>
      </c>
    </row>
    <row r="660" spans="1:17" x14ac:dyDescent="0.25">
      <c r="A660" s="8" t="s">
        <v>5040</v>
      </c>
      <c r="B660" s="8" t="s">
        <v>5041</v>
      </c>
      <c r="C660" s="9" t="s">
        <v>5042</v>
      </c>
      <c r="D660" s="9" t="s">
        <v>83</v>
      </c>
      <c r="E660" s="9" t="s">
        <v>83</v>
      </c>
      <c r="F660" s="10">
        <v>1.359</v>
      </c>
      <c r="G660" s="10">
        <v>1.495</v>
      </c>
      <c r="H660" s="10"/>
      <c r="I660" s="9" t="s">
        <v>83</v>
      </c>
      <c r="J660" s="9" t="s">
        <v>5043</v>
      </c>
      <c r="K660" s="9" t="s">
        <v>5044</v>
      </c>
      <c r="L660" s="8" t="s">
        <v>5045</v>
      </c>
      <c r="M660" s="9" t="s">
        <v>100</v>
      </c>
      <c r="N660" s="9" t="s">
        <v>88</v>
      </c>
      <c r="O660" s="9">
        <f>HYPERLINK("https://www.google.com/maps/search/?api=1&amp;query=40.50340365,-3.68580731", "https://www.google.com/maps/search/?api=1&amp;query=40.50340365,-3.68580731")</f>
      </c>
      <c r="P660" s="9" t="s">
        <v>5046</v>
      </c>
      <c r="Q660" s="9" t="s">
        <v>5047</v>
      </c>
    </row>
    <row r="661" spans="1:17" x14ac:dyDescent="0.25">
      <c r="A661" s="8" t="s">
        <v>5048</v>
      </c>
      <c r="B661" s="8" t="s">
        <v>5049</v>
      </c>
      <c r="C661" s="9" t="s">
        <v>5050</v>
      </c>
      <c r="D661" s="9" t="s">
        <v>253</v>
      </c>
      <c r="E661" s="9" t="s">
        <v>253</v>
      </c>
      <c r="F661" s="10">
        <v>1.359</v>
      </c>
      <c r="G661" s="10">
        <v>1.495</v>
      </c>
      <c r="H661" s="10"/>
      <c r="I661" s="9" t="s">
        <v>96</v>
      </c>
      <c r="J661" s="9" t="s">
        <v>5051</v>
      </c>
      <c r="K661" s="9" t="s">
        <v>5052</v>
      </c>
      <c r="L661" s="8" t="s">
        <v>5053</v>
      </c>
      <c r="M661" s="9" t="s">
        <v>49</v>
      </c>
      <c r="N661" s="9" t="s">
        <v>37</v>
      </c>
      <c r="O661" s="9">
        <f>HYPERLINK("https://www.google.com/maps/search/?api=1&amp;query=41.11169298,1.24304508", "https://www.google.com/maps/search/?api=1&amp;query=41.11169298,1.24304508")</f>
      </c>
      <c r="P661" s="9" t="s">
        <v>880</v>
      </c>
      <c r="Q661" s="9" t="s">
        <v>5054</v>
      </c>
    </row>
    <row r="662" spans="1:17" x14ac:dyDescent="0.25">
      <c r="A662" s="8" t="s">
        <v>5055</v>
      </c>
      <c r="B662" s="8" t="s">
        <v>5056</v>
      </c>
      <c r="C662" s="9" t="s">
        <v>5057</v>
      </c>
      <c r="D662" s="9" t="s">
        <v>217</v>
      </c>
      <c r="E662" s="9" t="s">
        <v>5058</v>
      </c>
      <c r="F662" s="10">
        <v>1.359</v>
      </c>
      <c r="G662" s="10">
        <v>1.495</v>
      </c>
      <c r="H662" s="10"/>
      <c r="I662" s="9" t="s">
        <v>45</v>
      </c>
      <c r="J662" s="9" t="s">
        <v>5059</v>
      </c>
      <c r="K662" s="9" t="s">
        <v>5060</v>
      </c>
      <c r="L662" s="8" t="s">
        <v>5061</v>
      </c>
      <c r="M662" s="9" t="s">
        <v>49</v>
      </c>
      <c r="N662" s="9" t="s">
        <v>37</v>
      </c>
      <c r="O662" s="9">
        <f>HYPERLINK("https://www.google.com/maps/search/?api=1&amp;query=36.51760753,-4.82980733", "https://www.google.com/maps/search/?api=1&amp;query=36.51760753,-4.82980733")</f>
      </c>
      <c r="P662" s="9" t="s">
        <v>1250</v>
      </c>
      <c r="Q662" s="9" t="s">
        <v>2112</v>
      </c>
    </row>
    <row r="663" spans="1:17" x14ac:dyDescent="0.25">
      <c r="A663" s="8" t="s">
        <v>5062</v>
      </c>
      <c r="B663" s="8" t="s">
        <v>5063</v>
      </c>
      <c r="C663" s="9" t="s">
        <v>5064</v>
      </c>
      <c r="D663" s="9" t="s">
        <v>138</v>
      </c>
      <c r="E663" s="9" t="s">
        <v>5065</v>
      </c>
      <c r="F663" s="10">
        <v>1.359</v>
      </c>
      <c r="G663" s="10">
        <v>1.495</v>
      </c>
      <c r="H663" s="10"/>
      <c r="I663" s="9" t="s">
        <v>140</v>
      </c>
      <c r="J663" s="9" t="s">
        <v>5066</v>
      </c>
      <c r="K663" s="9" t="s">
        <v>5067</v>
      </c>
      <c r="L663" s="8" t="s">
        <v>5068</v>
      </c>
      <c r="M663" s="9" t="s">
        <v>49</v>
      </c>
      <c r="N663" s="9" t="s">
        <v>211</v>
      </c>
      <c r="O663" s="9">
        <f>HYPERLINK("https://www.google.com/maps/search/?api=1&amp;query=42.20429124,-8.75298594", "https://www.google.com/maps/search/?api=1&amp;query=42.20429124,-8.75298594")</f>
      </c>
      <c r="P663" s="9" t="s">
        <v>2809</v>
      </c>
      <c r="Q663" s="9" t="s">
        <v>772</v>
      </c>
    </row>
    <row r="664" spans="1:17" x14ac:dyDescent="0.25">
      <c r="A664" s="8" t="s">
        <v>5069</v>
      </c>
      <c r="B664" s="8" t="s">
        <v>5070</v>
      </c>
      <c r="C664" s="9" t="s">
        <v>5071</v>
      </c>
      <c r="D664" s="9" t="s">
        <v>253</v>
      </c>
      <c r="E664" s="9" t="s">
        <v>5072</v>
      </c>
      <c r="F664" s="10">
        <v>1.359</v>
      </c>
      <c r="G664" s="10">
        <v>1.495</v>
      </c>
      <c r="H664" s="10"/>
      <c r="I664" s="9" t="s">
        <v>96</v>
      </c>
      <c r="J664" s="9" t="s">
        <v>5073</v>
      </c>
      <c r="K664" s="9" t="s">
        <v>5074</v>
      </c>
      <c r="L664" s="8" t="s">
        <v>5075</v>
      </c>
      <c r="M664" s="9" t="s">
        <v>49</v>
      </c>
      <c r="N664" s="9" t="s">
        <v>37</v>
      </c>
      <c r="O664" s="9">
        <f>HYPERLINK("https://www.google.com/maps/search/?api=1&amp;query=41.28902843,1.59358164", "https://www.google.com/maps/search/?api=1&amp;query=41.28902843,1.59358164")</f>
      </c>
      <c r="P664" s="9" t="s">
        <v>1067</v>
      </c>
      <c r="Q664" s="9" t="s">
        <v>5076</v>
      </c>
    </row>
    <row r="665" spans="1:17" x14ac:dyDescent="0.25">
      <c r="A665" s="8" t="s">
        <v>5077</v>
      </c>
      <c r="B665" s="8" t="s">
        <v>5078</v>
      </c>
      <c r="C665" s="9" t="s">
        <v>5079</v>
      </c>
      <c r="D665" s="9" t="s">
        <v>197</v>
      </c>
      <c r="E665" s="9" t="s">
        <v>5080</v>
      </c>
      <c r="F665" s="10">
        <v>1.359</v>
      </c>
      <c r="G665" s="10">
        <v>1.495</v>
      </c>
      <c r="H665" s="10"/>
      <c r="I665" s="9" t="s">
        <v>168</v>
      </c>
      <c r="J665" s="9" t="s">
        <v>5081</v>
      </c>
      <c r="K665" s="9" t="s">
        <v>5082</v>
      </c>
      <c r="L665" s="8" t="s">
        <v>5083</v>
      </c>
      <c r="M665" s="9" t="s">
        <v>100</v>
      </c>
      <c r="N665" s="9" t="s">
        <v>88</v>
      </c>
      <c r="O665" s="9">
        <f>HYPERLINK("https://www.google.com/maps/search/?api=1&amp;query=39.9135643,-4.00803613", "https://www.google.com/maps/search/?api=1&amp;query=39.9135643,-4.00803613")</f>
      </c>
      <c r="P665" s="9" t="s">
        <v>2625</v>
      </c>
      <c r="Q665" s="9" t="s">
        <v>112</v>
      </c>
    </row>
    <row r="666" spans="1:17" x14ac:dyDescent="0.25">
      <c r="A666" s="8" t="s">
        <v>5084</v>
      </c>
      <c r="B666" s="8" t="s">
        <v>5085</v>
      </c>
      <c r="C666" s="9" t="s">
        <v>5086</v>
      </c>
      <c r="D666" s="9" t="s">
        <v>344</v>
      </c>
      <c r="E666" s="9" t="s">
        <v>5087</v>
      </c>
      <c r="F666" s="10">
        <v>1.359</v>
      </c>
      <c r="G666" s="10">
        <v>1.495</v>
      </c>
      <c r="H666" s="10"/>
      <c r="I666" s="9" t="s">
        <v>140</v>
      </c>
      <c r="J666" s="9" t="s">
        <v>5088</v>
      </c>
      <c r="K666" s="9" t="s">
        <v>5089</v>
      </c>
      <c r="L666" s="8" t="s">
        <v>5090</v>
      </c>
      <c r="M666" s="9" t="s">
        <v>36</v>
      </c>
      <c r="N666" s="9" t="s">
        <v>3164</v>
      </c>
      <c r="O666" s="9">
        <f>HYPERLINK("https://www.google.com/maps/search/?api=1&amp;query=42.91224595,-8.00626819", "https://www.google.com/maps/search/?api=1&amp;query=42.91224595,-8.00626819")</f>
      </c>
      <c r="P666" s="9" t="s">
        <v>1212</v>
      </c>
      <c r="Q666" s="9" t="s">
        <v>5091</v>
      </c>
    </row>
    <row r="667" spans="1:17" x14ac:dyDescent="0.25">
      <c r="A667" s="8" t="s">
        <v>5092</v>
      </c>
      <c r="B667" s="8" t="s">
        <v>5093</v>
      </c>
      <c r="C667" s="9" t="s">
        <v>5094</v>
      </c>
      <c r="D667" s="9" t="s">
        <v>61</v>
      </c>
      <c r="E667" s="9" t="s">
        <v>3997</v>
      </c>
      <c r="F667" s="10">
        <v>1.359</v>
      </c>
      <c r="G667" s="10">
        <v>1.495</v>
      </c>
      <c r="H667" s="10"/>
      <c r="I667" s="9" t="s">
        <v>45</v>
      </c>
      <c r="J667" s="9" t="s">
        <v>5095</v>
      </c>
      <c r="K667" s="9" t="s">
        <v>5096</v>
      </c>
      <c r="L667" s="8" t="s">
        <v>4000</v>
      </c>
      <c r="M667" s="9" t="s">
        <v>49</v>
      </c>
      <c r="N667" s="9" t="s">
        <v>66</v>
      </c>
      <c r="O667" s="9">
        <f>HYPERLINK("https://www.google.com/maps/search/?api=1&amp;query=37.32658528,-5.85301461", "https://www.google.com/maps/search/?api=1&amp;query=37.32658528,-5.85301461")</f>
      </c>
      <c r="P667" s="9" t="s">
        <v>5097</v>
      </c>
      <c r="Q667" s="9" t="s">
        <v>966</v>
      </c>
    </row>
    <row r="668" spans="1:17" x14ac:dyDescent="0.25">
      <c r="A668" s="8" t="s">
        <v>5098</v>
      </c>
      <c r="B668" s="8" t="s">
        <v>5099</v>
      </c>
      <c r="C668" s="9" t="s">
        <v>5100</v>
      </c>
      <c r="D668" s="9" t="s">
        <v>116</v>
      </c>
      <c r="E668" s="9" t="s">
        <v>5101</v>
      </c>
      <c r="F668" s="10">
        <v>1.359</v>
      </c>
      <c r="G668" s="10">
        <v>1.495</v>
      </c>
      <c r="H668" s="10"/>
      <c r="I668" s="9" t="s">
        <v>118</v>
      </c>
      <c r="J668" s="9" t="s">
        <v>5102</v>
      </c>
      <c r="K668" s="9" t="s">
        <v>5103</v>
      </c>
      <c r="L668" s="8" t="s">
        <v>5104</v>
      </c>
      <c r="M668" s="9" t="s">
        <v>49</v>
      </c>
      <c r="N668" s="9" t="s">
        <v>88</v>
      </c>
      <c r="O668" s="9">
        <f>HYPERLINK("https://www.google.com/maps/search/?api=1&amp;query=43.22648383,-2.88917613", "https://www.google.com/maps/search/?api=1&amp;query=43.22648383,-2.88917613")</f>
      </c>
      <c r="P668" s="9" t="s">
        <v>646</v>
      </c>
      <c r="Q668" s="9" t="s">
        <v>539</v>
      </c>
    </row>
    <row r="669" spans="1:17" x14ac:dyDescent="0.25">
      <c r="A669" s="8" t="s">
        <v>5105</v>
      </c>
      <c r="B669" s="8" t="s">
        <v>5106</v>
      </c>
      <c r="C669" s="9" t="s">
        <v>5107</v>
      </c>
      <c r="D669" s="9" t="s">
        <v>808</v>
      </c>
      <c r="E669" s="9" t="s">
        <v>5108</v>
      </c>
      <c r="F669" s="10">
        <v>1.359</v>
      </c>
      <c r="G669" s="10">
        <v>1.495</v>
      </c>
      <c r="H669" s="10"/>
      <c r="I669" s="9" t="s">
        <v>808</v>
      </c>
      <c r="J669" s="9" t="s">
        <v>5109</v>
      </c>
      <c r="K669" s="9" t="s">
        <v>5110</v>
      </c>
      <c r="L669" s="8" t="s">
        <v>5111</v>
      </c>
      <c r="M669" s="9" t="s">
        <v>36</v>
      </c>
      <c r="N669" s="9" t="s">
        <v>211</v>
      </c>
      <c r="O669" s="9">
        <f>HYPERLINK("https://www.google.com/maps/search/?api=1&amp;query=43.39010646,-3.70448987", "https://www.google.com/maps/search/?api=1&amp;query=43.39010646,-3.70448987")</f>
      </c>
      <c r="P669" s="9" t="s">
        <v>572</v>
      </c>
      <c r="Q669" s="9" t="s">
        <v>1711</v>
      </c>
    </row>
    <row r="670" spans="1:17" x14ac:dyDescent="0.25">
      <c r="A670" s="8" t="s">
        <v>5112</v>
      </c>
      <c r="B670" s="8" t="s">
        <v>5113</v>
      </c>
      <c r="C670" s="9" t="s">
        <v>5114</v>
      </c>
      <c r="D670" s="9" t="s">
        <v>516</v>
      </c>
      <c r="E670" s="9" t="s">
        <v>5115</v>
      </c>
      <c r="F670" s="10">
        <v>1.359</v>
      </c>
      <c r="G670" s="10">
        <v>1.495</v>
      </c>
      <c r="H670" s="10"/>
      <c r="I670" s="9" t="s">
        <v>140</v>
      </c>
      <c r="J670" s="9" t="s">
        <v>5116</v>
      </c>
      <c r="K670" s="9" t="s">
        <v>5117</v>
      </c>
      <c r="L670" s="8" t="s">
        <v>5118</v>
      </c>
      <c r="M670" s="9" t="s">
        <v>49</v>
      </c>
      <c r="N670" s="9" t="s">
        <v>211</v>
      </c>
      <c r="O670" s="9">
        <f>HYPERLINK("https://www.google.com/maps/search/?api=1&amp;query=42.52894188,-7.50742135", "https://www.google.com/maps/search/?api=1&amp;query=42.52894188,-7.50742135")</f>
      </c>
      <c r="P670" s="9" t="s">
        <v>521</v>
      </c>
      <c r="Q670" s="9" t="s">
        <v>1382</v>
      </c>
    </row>
    <row r="671" spans="1:17" x14ac:dyDescent="0.25">
      <c r="A671" s="8" t="s">
        <v>5119</v>
      </c>
      <c r="B671" s="8" t="s">
        <v>5120</v>
      </c>
      <c r="C671" s="9" t="s">
        <v>5121</v>
      </c>
      <c r="D671" s="9" t="s">
        <v>94</v>
      </c>
      <c r="E671" s="9" t="s">
        <v>5122</v>
      </c>
      <c r="F671" s="10">
        <v>1.359</v>
      </c>
      <c r="G671" s="10">
        <v>1.495</v>
      </c>
      <c r="H671" s="10"/>
      <c r="I671" s="9" t="s">
        <v>96</v>
      </c>
      <c r="J671" s="9" t="s">
        <v>5123</v>
      </c>
      <c r="K671" s="9" t="s">
        <v>5124</v>
      </c>
      <c r="L671" s="8" t="s">
        <v>5125</v>
      </c>
      <c r="M671" s="9" t="s">
        <v>49</v>
      </c>
      <c r="N671" s="9" t="s">
        <v>88</v>
      </c>
      <c r="O671" s="9">
        <f>HYPERLINK("https://www.google.com/maps/search/?api=1&amp;query=41.55176794,2.02670176", "https://www.google.com/maps/search/?api=1&amp;query=41.55176794,2.02670176")</f>
      </c>
      <c r="P671" s="9" t="s">
        <v>5126</v>
      </c>
      <c r="Q671" s="9" t="s">
        <v>1188</v>
      </c>
    </row>
    <row r="672" spans="1:17" x14ac:dyDescent="0.25">
      <c r="A672" s="8" t="s">
        <v>5127</v>
      </c>
      <c r="B672" s="8" t="s">
        <v>5128</v>
      </c>
      <c r="C672" s="9" t="s">
        <v>5129</v>
      </c>
      <c r="D672" s="9" t="s">
        <v>1847</v>
      </c>
      <c r="E672" s="9" t="s">
        <v>5130</v>
      </c>
      <c r="F672" s="10">
        <v>1.359</v>
      </c>
      <c r="G672" s="10">
        <v>1.495</v>
      </c>
      <c r="H672" s="10"/>
      <c r="I672" s="9" t="s">
        <v>74</v>
      </c>
      <c r="J672" s="9" t="s">
        <v>5131</v>
      </c>
      <c r="K672" s="9" t="s">
        <v>5132</v>
      </c>
      <c r="L672" s="8" t="s">
        <v>5133</v>
      </c>
      <c r="M672" s="9" t="s">
        <v>100</v>
      </c>
      <c r="N672" s="9" t="s">
        <v>211</v>
      </c>
      <c r="O672" s="9">
        <f>HYPERLINK("https://www.google.com/maps/search/?api=1&amp;query=41.39440821,-4.30535356", "https://www.google.com/maps/search/?api=1&amp;query=41.39440821,-4.30535356")</f>
      </c>
      <c r="P672" s="9" t="s">
        <v>1100</v>
      </c>
      <c r="Q672" s="9" t="s">
        <v>804</v>
      </c>
    </row>
    <row r="673" spans="1:17" x14ac:dyDescent="0.25">
      <c r="A673" s="8" t="s">
        <v>5134</v>
      </c>
      <c r="B673" s="8" t="s">
        <v>5135</v>
      </c>
      <c r="C673" s="9" t="s">
        <v>5136</v>
      </c>
      <c r="D673" s="9" t="s">
        <v>379</v>
      </c>
      <c r="E673" s="9" t="s">
        <v>5137</v>
      </c>
      <c r="F673" s="10">
        <v>1.359</v>
      </c>
      <c r="G673" s="10">
        <v>1.495</v>
      </c>
      <c r="H673" s="10"/>
      <c r="I673" s="9" t="s">
        <v>379</v>
      </c>
      <c r="J673" s="9" t="s">
        <v>5138</v>
      </c>
      <c r="K673" s="9" t="s">
        <v>5139</v>
      </c>
      <c r="L673" s="8" t="s">
        <v>5140</v>
      </c>
      <c r="M673" s="9" t="s">
        <v>100</v>
      </c>
      <c r="N673" s="9" t="s">
        <v>5141</v>
      </c>
      <c r="O673" s="9">
        <f>HYPERLINK("https://www.google.com/maps/search/?api=1&amp;query=42.79778372,-1.64558343", "https://www.google.com/maps/search/?api=1&amp;query=42.79778372,-1.64558343")</f>
      </c>
      <c r="P673" s="9" t="s">
        <v>374</v>
      </c>
      <c r="Q673" s="9" t="s">
        <v>5142</v>
      </c>
    </row>
    <row r="674" spans="1:17" x14ac:dyDescent="0.25">
      <c r="A674" s="8" t="s">
        <v>5143</v>
      </c>
      <c r="B674" s="8" t="s">
        <v>5144</v>
      </c>
      <c r="C674" s="9" t="s">
        <v>5145</v>
      </c>
      <c r="D674" s="9" t="s">
        <v>94</v>
      </c>
      <c r="E674" s="9" t="s">
        <v>5146</v>
      </c>
      <c r="F674" s="10">
        <v>1.359</v>
      </c>
      <c r="G674" s="10">
        <v>1.495</v>
      </c>
      <c r="H674" s="10"/>
      <c r="I674" s="9" t="s">
        <v>96</v>
      </c>
      <c r="J674" s="9" t="s">
        <v>5147</v>
      </c>
      <c r="K674" s="9" t="s">
        <v>5148</v>
      </c>
      <c r="L674" s="8" t="s">
        <v>5149</v>
      </c>
      <c r="M674" s="9" t="s">
        <v>49</v>
      </c>
      <c r="N674" s="9" t="s">
        <v>88</v>
      </c>
      <c r="O674" s="9">
        <f>HYPERLINK("https://www.google.com/maps/search/?api=1&amp;query=41.61264868,2.65212909", "https://www.google.com/maps/search/?api=1&amp;query=41.61264868,2.65212909")</f>
      </c>
      <c r="P674" s="9" t="s">
        <v>3225</v>
      </c>
      <c r="Q674" s="9" t="s">
        <v>5150</v>
      </c>
    </row>
    <row r="675" spans="1:17" x14ac:dyDescent="0.25">
      <c r="A675" s="8" t="s">
        <v>5151</v>
      </c>
      <c r="B675" s="8" t="s">
        <v>5152</v>
      </c>
      <c r="C675" s="9" t="s">
        <v>5153</v>
      </c>
      <c r="D675" s="9" t="s">
        <v>217</v>
      </c>
      <c r="E675" s="9" t="s">
        <v>5058</v>
      </c>
      <c r="F675" s="10">
        <v>1.359</v>
      </c>
      <c r="G675" s="10">
        <v>1.495</v>
      </c>
      <c r="H675" s="10"/>
      <c r="I675" s="9" t="s">
        <v>45</v>
      </c>
      <c r="J675" s="9" t="s">
        <v>5154</v>
      </c>
      <c r="K675" s="9" t="s">
        <v>5155</v>
      </c>
      <c r="L675" s="8" t="s">
        <v>5061</v>
      </c>
      <c r="M675" s="9" t="s">
        <v>36</v>
      </c>
      <c r="N675" s="9" t="s">
        <v>37</v>
      </c>
      <c r="O675" s="9">
        <f>HYPERLINK("https://www.google.com/maps/search/?api=1&amp;query=36.51935879,-4.83104254", "https://www.google.com/maps/search/?api=1&amp;query=36.51935879,-4.83104254")</f>
      </c>
      <c r="P675" s="9" t="s">
        <v>1250</v>
      </c>
      <c r="Q675" s="9" t="s">
        <v>2818</v>
      </c>
    </row>
    <row r="676" spans="1:17" x14ac:dyDescent="0.25">
      <c r="A676" s="8" t="s">
        <v>5156</v>
      </c>
      <c r="B676" s="8" t="s">
        <v>5157</v>
      </c>
      <c r="C676" s="9" t="s">
        <v>5158</v>
      </c>
      <c r="D676" s="9" t="s">
        <v>400</v>
      </c>
      <c r="E676" s="9" t="s">
        <v>5159</v>
      </c>
      <c r="F676" s="10">
        <v>1.359</v>
      </c>
      <c r="G676" s="10">
        <v>1.495</v>
      </c>
      <c r="H676" s="10"/>
      <c r="I676" s="9" t="s">
        <v>400</v>
      </c>
      <c r="J676" s="9" t="s">
        <v>5160</v>
      </c>
      <c r="K676" s="9" t="s">
        <v>5161</v>
      </c>
      <c r="L676" s="8" t="s">
        <v>5162</v>
      </c>
      <c r="M676" s="9" t="s">
        <v>36</v>
      </c>
      <c r="N676" s="9" t="s">
        <v>88</v>
      </c>
      <c r="O676" s="9">
        <f>HYPERLINK("https://www.google.com/maps/search/?api=1&amp;query=38.88518974,-0.57653803", "https://www.google.com/maps/search/?api=1&amp;query=38.88518974,-0.57653803")</f>
      </c>
      <c r="P676" s="9" t="s">
        <v>182</v>
      </c>
      <c r="Q676" s="9" t="s">
        <v>5163</v>
      </c>
    </row>
    <row r="677" spans="1:17" x14ac:dyDescent="0.25">
      <c r="A677" s="8" t="s">
        <v>5164</v>
      </c>
      <c r="B677" s="8" t="s">
        <v>5165</v>
      </c>
      <c r="C677" s="9" t="s">
        <v>5166</v>
      </c>
      <c r="D677" s="9" t="s">
        <v>434</v>
      </c>
      <c r="E677" s="9" t="s">
        <v>5167</v>
      </c>
      <c r="F677" s="10">
        <v>1.359</v>
      </c>
      <c r="G677" s="10">
        <v>1.495</v>
      </c>
      <c r="H677" s="10"/>
      <c r="I677" s="9" t="s">
        <v>96</v>
      </c>
      <c r="J677" s="9" t="s">
        <v>5168</v>
      </c>
      <c r="K677" s="9" t="s">
        <v>5169</v>
      </c>
      <c r="L677" s="8" t="s">
        <v>5170</v>
      </c>
      <c r="M677" s="9" t="s">
        <v>100</v>
      </c>
      <c r="N677" s="9" t="s">
        <v>1910</v>
      </c>
      <c r="O677" s="9">
        <f>HYPERLINK("https://www.google.com/maps/search/?api=1&amp;query=41.87153194,3.13748456", "https://www.google.com/maps/search/?api=1&amp;query=41.87153194,3.13748456")</f>
      </c>
      <c r="P677" s="9" t="s">
        <v>1414</v>
      </c>
      <c r="Q677" s="9" t="s">
        <v>874</v>
      </c>
    </row>
    <row r="678" spans="1:17" x14ac:dyDescent="0.25">
      <c r="A678" s="8" t="s">
        <v>5171</v>
      </c>
      <c r="B678" s="8" t="s">
        <v>5172</v>
      </c>
      <c r="C678" s="9" t="s">
        <v>5173</v>
      </c>
      <c r="D678" s="9" t="s">
        <v>72</v>
      </c>
      <c r="E678" s="9" t="s">
        <v>5174</v>
      </c>
      <c r="F678" s="10">
        <v>1.359</v>
      </c>
      <c r="G678" s="10">
        <v>1.495</v>
      </c>
      <c r="H678" s="10"/>
      <c r="I678" s="9" t="s">
        <v>74</v>
      </c>
      <c r="J678" s="9" t="s">
        <v>5175</v>
      </c>
      <c r="K678" s="9" t="s">
        <v>5176</v>
      </c>
      <c r="L678" s="8" t="s">
        <v>5177</v>
      </c>
      <c r="M678" s="9" t="s">
        <v>49</v>
      </c>
      <c r="N678" s="9" t="s">
        <v>88</v>
      </c>
      <c r="O678" s="9">
        <f>HYPERLINK("https://www.google.com/maps/search/?api=1&amp;query=41.92700981,-4.48991824", "https://www.google.com/maps/search/?api=1&amp;query=41.92700981,-4.48991824")</f>
      </c>
      <c r="P678" s="9" t="s">
        <v>965</v>
      </c>
      <c r="Q678" s="9" t="s">
        <v>5178</v>
      </c>
    </row>
    <row r="679" spans="1:17" x14ac:dyDescent="0.25">
      <c r="A679" s="8" t="s">
        <v>5179</v>
      </c>
      <c r="B679" s="8" t="s">
        <v>5180</v>
      </c>
      <c r="C679" s="9" t="s">
        <v>5181</v>
      </c>
      <c r="D679" s="9" t="s">
        <v>138</v>
      </c>
      <c r="E679" s="9" t="s">
        <v>5182</v>
      </c>
      <c r="F679" s="10">
        <v>1.359</v>
      </c>
      <c r="G679" s="10">
        <v>1.495</v>
      </c>
      <c r="H679" s="10"/>
      <c r="I679" s="9" t="s">
        <v>140</v>
      </c>
      <c r="J679" s="9" t="s">
        <v>5183</v>
      </c>
      <c r="K679" s="9" t="s">
        <v>5184</v>
      </c>
      <c r="L679" s="8" t="s">
        <v>5185</v>
      </c>
      <c r="M679" s="9" t="s">
        <v>100</v>
      </c>
      <c r="N679" s="9" t="s">
        <v>5186</v>
      </c>
      <c r="O679" s="9">
        <f>HYPERLINK("https://www.google.com/maps/search/?api=1&amp;query=42.203425,-8.39216228", "https://www.google.com/maps/search/?api=1&amp;query=42.203425,-8.39216228")</f>
      </c>
      <c r="P679" s="9" t="s">
        <v>5187</v>
      </c>
      <c r="Q679" s="9" t="s">
        <v>5188</v>
      </c>
    </row>
    <row r="680" spans="1:17" x14ac:dyDescent="0.25">
      <c r="A680" s="8" t="s">
        <v>5189</v>
      </c>
      <c r="B680" s="8" t="s">
        <v>5190</v>
      </c>
      <c r="C680" s="9" t="s">
        <v>5191</v>
      </c>
      <c r="D680" s="9" t="s">
        <v>128</v>
      </c>
      <c r="E680" s="9" t="s">
        <v>129</v>
      </c>
      <c r="F680" s="10">
        <v>1.359</v>
      </c>
      <c r="G680" s="10">
        <v>1.495</v>
      </c>
      <c r="H680" s="10"/>
      <c r="I680" s="9" t="s">
        <v>45</v>
      </c>
      <c r="J680" s="9" t="s">
        <v>5192</v>
      </c>
      <c r="K680" s="9" t="s">
        <v>5193</v>
      </c>
      <c r="L680" s="8" t="s">
        <v>3185</v>
      </c>
      <c r="M680" s="9" t="s">
        <v>49</v>
      </c>
      <c r="N680" s="9" t="s">
        <v>88</v>
      </c>
      <c r="O680" s="9">
        <f>HYPERLINK("https://www.google.com/maps/search/?api=1&amp;query=36.70211309,-6.08471687", "https://www.google.com/maps/search/?api=1&amp;query=36.70211309,-6.08471687")</f>
      </c>
      <c r="P680" s="9" t="s">
        <v>321</v>
      </c>
      <c r="Q680" s="9" t="s">
        <v>539</v>
      </c>
    </row>
    <row r="681" spans="1:17" x14ac:dyDescent="0.25">
      <c r="A681" s="8" t="s">
        <v>5194</v>
      </c>
      <c r="B681" s="8" t="s">
        <v>5195</v>
      </c>
      <c r="C681" s="9" t="s">
        <v>5196</v>
      </c>
      <c r="D681" s="9" t="s">
        <v>128</v>
      </c>
      <c r="E681" s="9" t="s">
        <v>5197</v>
      </c>
      <c r="F681" s="10">
        <v>1.359</v>
      </c>
      <c r="G681" s="10">
        <v>1.495</v>
      </c>
      <c r="H681" s="10"/>
      <c r="I681" s="9" t="s">
        <v>45</v>
      </c>
      <c r="J681" s="9" t="s">
        <v>5198</v>
      </c>
      <c r="K681" s="9" t="s">
        <v>5199</v>
      </c>
      <c r="L681" s="8" t="s">
        <v>5200</v>
      </c>
      <c r="M681" s="9" t="s">
        <v>49</v>
      </c>
      <c r="N681" s="9" t="s">
        <v>5201</v>
      </c>
      <c r="O681" s="9">
        <f>HYPERLINK("https://www.google.com/maps/search/?api=1&amp;query=36.01863399,-5.60896999", "https://www.google.com/maps/search/?api=1&amp;query=36.01863399,-5.60896999")</f>
      </c>
      <c r="P681" s="9" t="s">
        <v>349</v>
      </c>
      <c r="Q681" s="9" t="s">
        <v>1101</v>
      </c>
    </row>
    <row r="682" spans="1:17" x14ac:dyDescent="0.25">
      <c r="A682" s="8" t="s">
        <v>5202</v>
      </c>
      <c r="B682" s="8" t="s">
        <v>5203</v>
      </c>
      <c r="C682" s="9" t="s">
        <v>5204</v>
      </c>
      <c r="D682" s="9" t="s">
        <v>379</v>
      </c>
      <c r="E682" s="9" t="s">
        <v>5205</v>
      </c>
      <c r="F682" s="10">
        <v>1.359</v>
      </c>
      <c r="G682" s="10">
        <v>1.495</v>
      </c>
      <c r="H682" s="10"/>
      <c r="I682" s="9" t="s">
        <v>379</v>
      </c>
      <c r="J682" s="9" t="s">
        <v>5206</v>
      </c>
      <c r="K682" s="9" t="s">
        <v>5207</v>
      </c>
      <c r="L682" s="8" t="s">
        <v>5208</v>
      </c>
      <c r="M682" s="9" t="s">
        <v>100</v>
      </c>
      <c r="N682" s="9" t="s">
        <v>88</v>
      </c>
      <c r="O682" s="9">
        <f>HYPERLINK("https://www.google.com/maps/search/?api=1&amp;query=42.13689618,-1.69995469", "https://www.google.com/maps/search/?api=1&amp;query=42.13689618,-1.69995469")</f>
      </c>
      <c r="P682" s="9" t="s">
        <v>144</v>
      </c>
      <c r="Q682" s="9" t="s">
        <v>5209</v>
      </c>
    </row>
    <row r="683" spans="1:17" x14ac:dyDescent="0.25">
      <c r="A683" s="8" t="s">
        <v>5210</v>
      </c>
      <c r="B683" s="8" t="s">
        <v>5211</v>
      </c>
      <c r="C683" s="9" t="s">
        <v>5212</v>
      </c>
      <c r="D683" s="9" t="s">
        <v>94</v>
      </c>
      <c r="E683" s="9" t="s">
        <v>94</v>
      </c>
      <c r="F683" s="10">
        <v>1.359</v>
      </c>
      <c r="G683" s="10">
        <v>1.495</v>
      </c>
      <c r="H683" s="10"/>
      <c r="I683" s="9" t="s">
        <v>96</v>
      </c>
      <c r="J683" s="9" t="s">
        <v>5213</v>
      </c>
      <c r="K683" s="9" t="s">
        <v>5214</v>
      </c>
      <c r="L683" s="8" t="s">
        <v>5215</v>
      </c>
      <c r="M683" s="9" t="s">
        <v>49</v>
      </c>
      <c r="N683" s="9" t="s">
        <v>339</v>
      </c>
      <c r="O683" s="9">
        <f>HYPERLINK("https://www.google.com/maps/search/?api=1&amp;query=41.44720965,2.19510401", "https://www.google.com/maps/search/?api=1&amp;query=41.44720965,2.19510401")</f>
      </c>
      <c r="P683" s="9" t="s">
        <v>5216</v>
      </c>
      <c r="Q683" s="9" t="s">
        <v>134</v>
      </c>
    </row>
    <row r="684" spans="1:17" x14ac:dyDescent="0.25">
      <c r="A684" s="8" t="s">
        <v>5217</v>
      </c>
      <c r="B684" s="8" t="s">
        <v>5218</v>
      </c>
      <c r="C684" s="9" t="s">
        <v>5219</v>
      </c>
      <c r="D684" s="9" t="s">
        <v>30</v>
      </c>
      <c r="E684" s="9" t="s">
        <v>2042</v>
      </c>
      <c r="F684" s="10">
        <v>1.359</v>
      </c>
      <c r="G684" s="10">
        <v>1.495</v>
      </c>
      <c r="H684" s="10"/>
      <c r="I684" s="9" t="s">
        <v>32</v>
      </c>
      <c r="J684" s="9" t="s">
        <v>5220</v>
      </c>
      <c r="K684" s="9" t="s">
        <v>5221</v>
      </c>
      <c r="L684" s="8" t="s">
        <v>2045</v>
      </c>
      <c r="M684" s="9" t="s">
        <v>49</v>
      </c>
      <c r="N684" s="9" t="s">
        <v>66</v>
      </c>
      <c r="O684" s="9">
        <f>HYPERLINK("https://www.google.com/maps/search/?api=1&amp;query=38.43036871,-6.41715516", "https://www.google.com/maps/search/?api=1&amp;query=38.43036871,-6.41715516")</f>
      </c>
      <c r="P684" s="9" t="s">
        <v>1010</v>
      </c>
      <c r="Q684" s="9" t="s">
        <v>1727</v>
      </c>
    </row>
    <row r="685" spans="1:17" x14ac:dyDescent="0.25">
      <c r="A685" s="8" t="s">
        <v>5222</v>
      </c>
      <c r="B685" s="8" t="s">
        <v>5223</v>
      </c>
      <c r="C685" s="9" t="s">
        <v>5224</v>
      </c>
      <c r="D685" s="9" t="s">
        <v>469</v>
      </c>
      <c r="E685" s="9" t="s">
        <v>469</v>
      </c>
      <c r="F685" s="10">
        <v>1.359</v>
      </c>
      <c r="G685" s="10">
        <v>1.495</v>
      </c>
      <c r="H685" s="10"/>
      <c r="I685" s="9" t="s">
        <v>74</v>
      </c>
      <c r="J685" s="9" t="s">
        <v>5225</v>
      </c>
      <c r="K685" s="9" t="s">
        <v>5226</v>
      </c>
      <c r="L685" s="8" t="s">
        <v>1732</v>
      </c>
      <c r="M685" s="9" t="s">
        <v>49</v>
      </c>
      <c r="N685" s="9" t="s">
        <v>37</v>
      </c>
      <c r="O685" s="9">
        <f>HYPERLINK("https://www.google.com/maps/search/?api=1&amp;query=40.95520353,-5.70642098", "https://www.google.com/maps/search/?api=1&amp;query=40.95520353,-5.70642098")</f>
      </c>
      <c r="P685" s="9" t="s">
        <v>144</v>
      </c>
      <c r="Q685" s="9" t="s">
        <v>512</v>
      </c>
    </row>
    <row r="686" spans="1:17" x14ac:dyDescent="0.25">
      <c r="A686" s="8" t="s">
        <v>5227</v>
      </c>
      <c r="B686" s="8" t="s">
        <v>5228</v>
      </c>
      <c r="C686" s="9" t="s">
        <v>5229</v>
      </c>
      <c r="D686" s="9" t="s">
        <v>83</v>
      </c>
      <c r="E686" s="9" t="s">
        <v>83</v>
      </c>
      <c r="F686" s="10">
        <v>1.359</v>
      </c>
      <c r="G686" s="10">
        <v>1.495</v>
      </c>
      <c r="H686" s="10"/>
      <c r="I686" s="9" t="s">
        <v>83</v>
      </c>
      <c r="J686" s="9" t="s">
        <v>5230</v>
      </c>
      <c r="K686" s="9" t="s">
        <v>5231</v>
      </c>
      <c r="L686" s="8" t="s">
        <v>5232</v>
      </c>
      <c r="M686" s="9" t="s">
        <v>49</v>
      </c>
      <c r="N686" s="9" t="s">
        <v>37</v>
      </c>
      <c r="O686" s="9">
        <f>HYPERLINK("https://www.google.com/maps/search/?api=1&amp;query=40.39862388,-3.58986312", "https://www.google.com/maps/search/?api=1&amp;query=40.39862388,-3.58986312")</f>
      </c>
      <c r="P686" s="9" t="s">
        <v>38</v>
      </c>
      <c r="Q686" s="9" t="s">
        <v>1059</v>
      </c>
    </row>
    <row r="687" spans="1:17" x14ac:dyDescent="0.25">
      <c r="A687" s="8" t="s">
        <v>5233</v>
      </c>
      <c r="B687" s="8" t="s">
        <v>5234</v>
      </c>
      <c r="C687" s="9" t="s">
        <v>5235</v>
      </c>
      <c r="D687" s="9" t="s">
        <v>398</v>
      </c>
      <c r="E687" s="9" t="s">
        <v>5236</v>
      </c>
      <c r="F687" s="10">
        <v>1.359</v>
      </c>
      <c r="G687" s="10">
        <v>1.495</v>
      </c>
      <c r="H687" s="10"/>
      <c r="I687" s="9" t="s">
        <v>400</v>
      </c>
      <c r="J687" s="9" t="s">
        <v>5237</v>
      </c>
      <c r="K687" s="9" t="s">
        <v>5238</v>
      </c>
      <c r="L687" s="8" t="s">
        <v>5239</v>
      </c>
      <c r="M687" s="9" t="s">
        <v>49</v>
      </c>
      <c r="N687" s="9" t="s">
        <v>37</v>
      </c>
      <c r="O687" s="9">
        <f>HYPERLINK("https://www.google.com/maps/search/?api=1&amp;query=38.83945655,0.09823298", "https://www.google.com/maps/search/?api=1&amp;query=38.83945655,0.09823298")</f>
      </c>
      <c r="P687" s="9" t="s">
        <v>2398</v>
      </c>
      <c r="Q687" s="9" t="s">
        <v>5240</v>
      </c>
    </row>
    <row r="688" spans="1:17" x14ac:dyDescent="0.25">
      <c r="A688" s="8" t="s">
        <v>5241</v>
      </c>
      <c r="B688" s="8" t="s">
        <v>5242</v>
      </c>
      <c r="C688" s="9" t="s">
        <v>5243</v>
      </c>
      <c r="D688" s="9" t="s">
        <v>2288</v>
      </c>
      <c r="E688" s="9" t="s">
        <v>5244</v>
      </c>
      <c r="F688" s="10">
        <v>1.359</v>
      </c>
      <c r="G688" s="10">
        <v>1.495</v>
      </c>
      <c r="H688" s="10"/>
      <c r="I688" s="9" t="s">
        <v>168</v>
      </c>
      <c r="J688" s="9" t="s">
        <v>5245</v>
      </c>
      <c r="K688" s="9" t="s">
        <v>5246</v>
      </c>
      <c r="L688" s="8" t="s">
        <v>5247</v>
      </c>
      <c r="M688" s="9" t="s">
        <v>49</v>
      </c>
      <c r="N688" s="9" t="s">
        <v>122</v>
      </c>
      <c r="O688" s="9">
        <f>HYPERLINK("https://www.google.com/maps/search/?api=1&amp;query=38.67332108,-2.49203226", "https://www.google.com/maps/search/?api=1&amp;query=38.67332108,-2.49203226")</f>
      </c>
      <c r="P688" s="9" t="s">
        <v>880</v>
      </c>
      <c r="Q688" s="9" t="s">
        <v>5248</v>
      </c>
    </row>
    <row r="689" spans="1:17" x14ac:dyDescent="0.25">
      <c r="A689" s="8" t="s">
        <v>5249</v>
      </c>
      <c r="B689" s="8" t="s">
        <v>5250</v>
      </c>
      <c r="C689" s="9" t="s">
        <v>5251</v>
      </c>
      <c r="D689" s="9" t="s">
        <v>344</v>
      </c>
      <c r="E689" s="9" t="s">
        <v>5252</v>
      </c>
      <c r="F689" s="10">
        <v>1.359</v>
      </c>
      <c r="G689" s="10">
        <v>1.495</v>
      </c>
      <c r="H689" s="10"/>
      <c r="I689" s="9" t="s">
        <v>140</v>
      </c>
      <c r="J689" s="9" t="s">
        <v>5253</v>
      </c>
      <c r="K689" s="9" t="s">
        <v>5254</v>
      </c>
      <c r="L689" s="8" t="s">
        <v>5255</v>
      </c>
      <c r="M689" s="9" t="s">
        <v>49</v>
      </c>
      <c r="N689" s="9" t="s">
        <v>211</v>
      </c>
      <c r="O689" s="9">
        <f>HYPERLINK("https://www.google.com/maps/search/?api=1&amp;query=42.91170298,-8.51369636", "https://www.google.com/maps/search/?api=1&amp;query=42.91170298,-8.51369636")</f>
      </c>
      <c r="P689" s="9" t="s">
        <v>321</v>
      </c>
      <c r="Q689" s="9" t="s">
        <v>1424</v>
      </c>
    </row>
    <row r="690" spans="1:17" x14ac:dyDescent="0.25">
      <c r="A690" s="8" t="s">
        <v>5256</v>
      </c>
      <c r="B690" s="8" t="s">
        <v>5257</v>
      </c>
      <c r="C690" s="9" t="s">
        <v>5258</v>
      </c>
      <c r="D690" s="9" t="s">
        <v>94</v>
      </c>
      <c r="E690" s="9" t="s">
        <v>94</v>
      </c>
      <c r="F690" s="10">
        <v>1.359</v>
      </c>
      <c r="G690" s="10">
        <v>1.495</v>
      </c>
      <c r="H690" s="10"/>
      <c r="I690" s="9" t="s">
        <v>96</v>
      </c>
      <c r="J690" s="9" t="s">
        <v>5259</v>
      </c>
      <c r="K690" s="9" t="s">
        <v>5260</v>
      </c>
      <c r="L690" s="8" t="s">
        <v>563</v>
      </c>
      <c r="M690" s="9" t="s">
        <v>49</v>
      </c>
      <c r="N690" s="9" t="s">
        <v>88</v>
      </c>
      <c r="O690" s="9">
        <f>HYPERLINK("https://www.google.com/maps/search/?api=1&amp;query=41.41551741,2.16697855", "https://www.google.com/maps/search/?api=1&amp;query=41.41551741,2.16697855")</f>
      </c>
      <c r="P690" s="9" t="s">
        <v>1702</v>
      </c>
      <c r="Q690" s="9" t="s">
        <v>565</v>
      </c>
    </row>
    <row r="691" spans="1:17" x14ac:dyDescent="0.25">
      <c r="A691" s="8" t="s">
        <v>5261</v>
      </c>
      <c r="B691" s="8" t="s">
        <v>5262</v>
      </c>
      <c r="C691" s="9" t="s">
        <v>5263</v>
      </c>
      <c r="D691" s="9" t="s">
        <v>424</v>
      </c>
      <c r="E691" s="9" t="s">
        <v>5264</v>
      </c>
      <c r="F691" s="10">
        <v>1.359</v>
      </c>
      <c r="G691" s="10">
        <v>1.495</v>
      </c>
      <c r="H691" s="10"/>
      <c r="I691" s="9" t="s">
        <v>96</v>
      </c>
      <c r="J691" s="9" t="s">
        <v>5265</v>
      </c>
      <c r="K691" s="9" t="s">
        <v>5266</v>
      </c>
      <c r="L691" s="8" t="s">
        <v>5267</v>
      </c>
      <c r="M691" s="9" t="s">
        <v>36</v>
      </c>
      <c r="N691" s="9" t="s">
        <v>88</v>
      </c>
      <c r="O691" s="9">
        <f>HYPERLINK("https://www.google.com/maps/search/?api=1&amp;query=41.64800002,0.55910315", "https://www.google.com/maps/search/?api=1&amp;query=41.64800002,0.55910315")</f>
      </c>
      <c r="P691" s="9" t="s">
        <v>5268</v>
      </c>
      <c r="Q691" s="9" t="s">
        <v>4247</v>
      </c>
    </row>
    <row r="692" spans="1:17" x14ac:dyDescent="0.25">
      <c r="A692" s="8" t="s">
        <v>5269</v>
      </c>
      <c r="B692" s="8" t="s">
        <v>5270</v>
      </c>
      <c r="C692" s="9" t="s">
        <v>5271</v>
      </c>
      <c r="D692" s="9" t="s">
        <v>469</v>
      </c>
      <c r="E692" s="9" t="s">
        <v>5272</v>
      </c>
      <c r="F692" s="10">
        <v>1.359</v>
      </c>
      <c r="G692" s="10">
        <v>1.495</v>
      </c>
      <c r="H692" s="10"/>
      <c r="I692" s="9" t="s">
        <v>74</v>
      </c>
      <c r="J692" s="9" t="s">
        <v>5273</v>
      </c>
      <c r="K692" s="9" t="s">
        <v>5274</v>
      </c>
      <c r="L692" s="8" t="s">
        <v>5275</v>
      </c>
      <c r="M692" s="9" t="s">
        <v>36</v>
      </c>
      <c r="N692" s="9" t="s">
        <v>5276</v>
      </c>
      <c r="O692" s="9">
        <f>HYPERLINK("https://www.google.com/maps/search/?api=1&amp;query=41.07071939,-6.65926637", "https://www.google.com/maps/search/?api=1&amp;query=41.07071939,-6.65926637")</f>
      </c>
      <c r="P692" s="9" t="s">
        <v>5277</v>
      </c>
      <c r="Q692" s="9" t="s">
        <v>1131</v>
      </c>
    </row>
    <row r="693" spans="1:17" x14ac:dyDescent="0.25">
      <c r="A693" s="8" t="s">
        <v>5278</v>
      </c>
      <c r="B693" s="8" t="s">
        <v>5279</v>
      </c>
      <c r="C693" s="9" t="s">
        <v>5280</v>
      </c>
      <c r="D693" s="9" t="s">
        <v>379</v>
      </c>
      <c r="E693" s="9" t="s">
        <v>5281</v>
      </c>
      <c r="F693" s="10">
        <v>1.359</v>
      </c>
      <c r="G693" s="10">
        <v>1.495</v>
      </c>
      <c r="H693" s="10"/>
      <c r="I693" s="9" t="s">
        <v>379</v>
      </c>
      <c r="J693" s="9" t="s">
        <v>5282</v>
      </c>
      <c r="K693" s="9" t="s">
        <v>5283</v>
      </c>
      <c r="L693" s="8" t="s">
        <v>5284</v>
      </c>
      <c r="M693" s="9" t="s">
        <v>49</v>
      </c>
      <c r="N693" s="9" t="s">
        <v>88</v>
      </c>
      <c r="O693" s="9">
        <f>HYPERLINK("https://www.google.com/maps/search/?api=1&amp;query=42.91246241,-1.86307173", "https://www.google.com/maps/search/?api=1&amp;query=42.91246241,-1.86307173")</f>
      </c>
      <c r="P693" s="9" t="s">
        <v>321</v>
      </c>
      <c r="Q693" s="9" t="s">
        <v>2818</v>
      </c>
    </row>
    <row r="694" spans="1:17" x14ac:dyDescent="0.25">
      <c r="A694" s="8" t="s">
        <v>5285</v>
      </c>
      <c r="B694" s="8" t="s">
        <v>5286</v>
      </c>
      <c r="C694" s="9" t="s">
        <v>5287</v>
      </c>
      <c r="D694" s="9" t="s">
        <v>2288</v>
      </c>
      <c r="E694" s="9" t="s">
        <v>2288</v>
      </c>
      <c r="F694" s="10">
        <v>1.359</v>
      </c>
      <c r="G694" s="10">
        <v>1.495</v>
      </c>
      <c r="H694" s="10"/>
      <c r="I694" s="9" t="s">
        <v>168</v>
      </c>
      <c r="J694" s="9" t="s">
        <v>5288</v>
      </c>
      <c r="K694" s="9" t="s">
        <v>5289</v>
      </c>
      <c r="L694" s="8" t="s">
        <v>4931</v>
      </c>
      <c r="M694" s="9" t="s">
        <v>100</v>
      </c>
      <c r="N694" s="9" t="s">
        <v>37</v>
      </c>
      <c r="O694" s="9">
        <f>HYPERLINK("https://www.google.com/maps/search/?api=1&amp;query=39.02745584,-1.89366731", "https://www.google.com/maps/search/?api=1&amp;query=39.02745584,-1.89366731")</f>
      </c>
      <c r="P694" s="9" t="s">
        <v>1381</v>
      </c>
      <c r="Q694" s="9" t="s">
        <v>5290</v>
      </c>
    </row>
    <row r="695" spans="1:17" x14ac:dyDescent="0.25">
      <c r="A695" s="8" t="s">
        <v>5291</v>
      </c>
      <c r="B695" s="8" t="s">
        <v>5292</v>
      </c>
      <c r="C695" s="9" t="s">
        <v>5293</v>
      </c>
      <c r="D695" s="9" t="s">
        <v>658</v>
      </c>
      <c r="E695" s="9" t="s">
        <v>5294</v>
      </c>
      <c r="F695" s="10">
        <v>1.359</v>
      </c>
      <c r="G695" s="10">
        <v>1.495</v>
      </c>
      <c r="H695" s="10"/>
      <c r="I695" s="9" t="s">
        <v>45</v>
      </c>
      <c r="J695" s="9" t="s">
        <v>5295</v>
      </c>
      <c r="K695" s="9" t="s">
        <v>5296</v>
      </c>
      <c r="L695" s="8" t="s">
        <v>5297</v>
      </c>
      <c r="M695" s="9" t="s">
        <v>36</v>
      </c>
      <c r="N695" s="9" t="s">
        <v>88</v>
      </c>
      <c r="O695" s="9">
        <f>HYPERLINK("https://www.google.com/maps/search/?api=1&amp;query=37.23420342,-1.79817597", "https://www.google.com/maps/search/?api=1&amp;query=37.23420342,-1.79817597")</f>
      </c>
      <c r="P695" s="9" t="s">
        <v>5298</v>
      </c>
      <c r="Q695" s="9" t="s">
        <v>1278</v>
      </c>
    </row>
    <row r="696" spans="1:17" x14ac:dyDescent="0.25">
      <c r="A696" s="8" t="s">
        <v>5299</v>
      </c>
      <c r="B696" s="8" t="s">
        <v>5300</v>
      </c>
      <c r="C696" s="9" t="s">
        <v>5301</v>
      </c>
      <c r="D696" s="9" t="s">
        <v>177</v>
      </c>
      <c r="E696" s="9" t="s">
        <v>5302</v>
      </c>
      <c r="F696" s="10">
        <v>1.359</v>
      </c>
      <c r="G696" s="10">
        <v>1.495</v>
      </c>
      <c r="H696" s="10"/>
      <c r="I696" s="9" t="s">
        <v>74</v>
      </c>
      <c r="J696" s="9" t="s">
        <v>5303</v>
      </c>
      <c r="K696" s="9" t="s">
        <v>5304</v>
      </c>
      <c r="L696" s="8" t="s">
        <v>5305</v>
      </c>
      <c r="M696" s="9" t="s">
        <v>36</v>
      </c>
      <c r="N696" s="9" t="s">
        <v>211</v>
      </c>
      <c r="O696" s="9">
        <f>HYPERLINK("https://www.google.com/maps/search/?api=1&amp;query=41.65835817,-4.64016421", "https://www.google.com/maps/search/?api=1&amp;query=41.65835817,-4.64016421")</f>
      </c>
      <c r="P696" s="9" t="s">
        <v>880</v>
      </c>
      <c r="Q696" s="9" t="s">
        <v>5306</v>
      </c>
    </row>
    <row r="697" spans="1:17" x14ac:dyDescent="0.25">
      <c r="A697" s="8" t="s">
        <v>5307</v>
      </c>
      <c r="B697" s="8" t="s">
        <v>5308</v>
      </c>
      <c r="C697" s="9" t="s">
        <v>5309</v>
      </c>
      <c r="D697" s="9" t="s">
        <v>398</v>
      </c>
      <c r="E697" s="9" t="s">
        <v>398</v>
      </c>
      <c r="F697" s="10">
        <v>1.359</v>
      </c>
      <c r="G697" s="10">
        <v>1.495</v>
      </c>
      <c r="H697" s="10"/>
      <c r="I697" s="9" t="s">
        <v>400</v>
      </c>
      <c r="J697" s="9" t="s">
        <v>5310</v>
      </c>
      <c r="K697" s="9" t="s">
        <v>5311</v>
      </c>
      <c r="L697" s="8" t="s">
        <v>571</v>
      </c>
      <c r="M697" s="9" t="s">
        <v>49</v>
      </c>
      <c r="N697" s="9" t="s">
        <v>339</v>
      </c>
      <c r="O697" s="9">
        <f>HYPERLINK("https://www.google.com/maps/search/?api=1&amp;query=38.37024654,-0.49751345", "https://www.google.com/maps/search/?api=1&amp;query=38.37024654,-0.49751345")</f>
      </c>
      <c r="P697" s="9" t="s">
        <v>1565</v>
      </c>
      <c r="Q697" s="9" t="s">
        <v>5312</v>
      </c>
    </row>
    <row r="698" spans="1:17" x14ac:dyDescent="0.25">
      <c r="A698" s="8" t="s">
        <v>5313</v>
      </c>
      <c r="B698" s="8" t="s">
        <v>5314</v>
      </c>
      <c r="C698" s="9" t="s">
        <v>5315</v>
      </c>
      <c r="D698" s="9" t="s">
        <v>280</v>
      </c>
      <c r="E698" s="9" t="s">
        <v>1746</v>
      </c>
      <c r="F698" s="10">
        <v>1.359</v>
      </c>
      <c r="G698" s="10">
        <v>1.495</v>
      </c>
      <c r="H698" s="10"/>
      <c r="I698" s="9" t="s">
        <v>118</v>
      </c>
      <c r="J698" s="9" t="s">
        <v>5316</v>
      </c>
      <c r="K698" s="9" t="s">
        <v>5317</v>
      </c>
      <c r="L698" s="8" t="s">
        <v>1749</v>
      </c>
      <c r="M698" s="9" t="s">
        <v>49</v>
      </c>
      <c r="N698" s="9" t="s">
        <v>37</v>
      </c>
      <c r="O698" s="9">
        <f>HYPERLINK("https://www.google.com/maps/search/?api=1&amp;query=43.06318415,-2.47614014", "https://www.google.com/maps/search/?api=1&amp;query=43.06318415,-2.47614014")</f>
      </c>
      <c r="P698" s="9" t="s">
        <v>1590</v>
      </c>
      <c r="Q698" s="9" t="s">
        <v>3779</v>
      </c>
    </row>
    <row r="699" spans="1:17" x14ac:dyDescent="0.25">
      <c r="A699" s="8" t="s">
        <v>5318</v>
      </c>
      <c r="B699" s="8" t="s">
        <v>5319</v>
      </c>
      <c r="C699" s="9" t="s">
        <v>5320</v>
      </c>
      <c r="D699" s="9" t="s">
        <v>444</v>
      </c>
      <c r="E699" s="9" t="s">
        <v>5321</v>
      </c>
      <c r="F699" s="10">
        <v>1.359</v>
      </c>
      <c r="G699" s="10">
        <v>1.495</v>
      </c>
      <c r="H699" s="10"/>
      <c r="I699" s="9" t="s">
        <v>444</v>
      </c>
      <c r="J699" s="9" t="s">
        <v>5322</v>
      </c>
      <c r="K699" s="9" t="s">
        <v>5323</v>
      </c>
      <c r="L699" s="8" t="s">
        <v>5324</v>
      </c>
      <c r="M699" s="9" t="s">
        <v>49</v>
      </c>
      <c r="N699" s="9" t="s">
        <v>88</v>
      </c>
      <c r="O699" s="9">
        <f>HYPERLINK("https://www.google.com/maps/search/?api=1&amp;query=43.50774508,-5.65859232", "https://www.google.com/maps/search/?api=1&amp;query=43.50774508,-5.65859232")</f>
      </c>
      <c r="P699" s="9" t="s">
        <v>212</v>
      </c>
      <c r="Q699" s="9" t="s">
        <v>5325</v>
      </c>
    </row>
    <row r="700" spans="1:17" x14ac:dyDescent="0.25">
      <c r="A700" s="8" t="s">
        <v>5326</v>
      </c>
      <c r="B700" s="8" t="s">
        <v>5327</v>
      </c>
      <c r="C700" s="9" t="s">
        <v>5328</v>
      </c>
      <c r="D700" s="9" t="s">
        <v>83</v>
      </c>
      <c r="E700" s="9" t="s">
        <v>83</v>
      </c>
      <c r="F700" s="10">
        <v>1.359</v>
      </c>
      <c r="G700" s="10">
        <v>1.495</v>
      </c>
      <c r="H700" s="10"/>
      <c r="I700" s="9" t="s">
        <v>83</v>
      </c>
      <c r="J700" s="9" t="s">
        <v>5329</v>
      </c>
      <c r="K700" s="9" t="s">
        <v>5330</v>
      </c>
      <c r="L700" s="8" t="s">
        <v>1430</v>
      </c>
      <c r="M700" s="9" t="s">
        <v>49</v>
      </c>
      <c r="N700" s="9" t="s">
        <v>37</v>
      </c>
      <c r="O700" s="9">
        <f>HYPERLINK("https://www.google.com/maps/search/?api=1&amp;query=40.44228284,-3.70370153", "https://www.google.com/maps/search/?api=1&amp;query=40.44228284,-3.70370153")</f>
      </c>
      <c r="P700" s="9" t="s">
        <v>2398</v>
      </c>
      <c r="Q700" s="9" t="s">
        <v>5331</v>
      </c>
    </row>
    <row r="701" spans="1:17" x14ac:dyDescent="0.25">
      <c r="A701" s="8" t="s">
        <v>5332</v>
      </c>
      <c r="B701" s="8" t="s">
        <v>5333</v>
      </c>
      <c r="C701" s="9" t="s">
        <v>5334</v>
      </c>
      <c r="D701" s="9" t="s">
        <v>155</v>
      </c>
      <c r="E701" s="9" t="s">
        <v>5335</v>
      </c>
      <c r="F701" s="10">
        <v>1.359</v>
      </c>
      <c r="G701" s="10">
        <v>1.495</v>
      </c>
      <c r="H701" s="10"/>
      <c r="I701" s="9" t="s">
        <v>157</v>
      </c>
      <c r="J701" s="9" t="s">
        <v>5336</v>
      </c>
      <c r="K701" s="9" t="s">
        <v>5337</v>
      </c>
      <c r="L701" s="8" t="s">
        <v>5338</v>
      </c>
      <c r="M701" s="9" t="s">
        <v>36</v>
      </c>
      <c r="N701" s="9" t="s">
        <v>964</v>
      </c>
      <c r="O701" s="9">
        <f>HYPERLINK("https://www.google.com/maps/search/?api=1&amp;query=39.35828311,3.12531623", "https://www.google.com/maps/search/?api=1&amp;query=39.35828311,3.12531623")</f>
      </c>
      <c r="P701" s="9" t="s">
        <v>5339</v>
      </c>
      <c r="Q701" s="9" t="s">
        <v>5340</v>
      </c>
    </row>
    <row r="702" spans="1:17" x14ac:dyDescent="0.25">
      <c r="A702" s="8" t="s">
        <v>5341</v>
      </c>
      <c r="B702" s="8" t="s">
        <v>5342</v>
      </c>
      <c r="C702" s="9" t="s">
        <v>5343</v>
      </c>
      <c r="D702" s="9" t="s">
        <v>106</v>
      </c>
      <c r="E702" s="9" t="s">
        <v>107</v>
      </c>
      <c r="F702" s="10">
        <v>1.359</v>
      </c>
      <c r="G702" s="10">
        <v>1.495</v>
      </c>
      <c r="H702" s="10"/>
      <c r="I702" s="9" t="s">
        <v>106</v>
      </c>
      <c r="J702" s="9" t="s">
        <v>5344</v>
      </c>
      <c r="K702" s="9" t="s">
        <v>5345</v>
      </c>
      <c r="L702" s="8" t="s">
        <v>110</v>
      </c>
      <c r="M702" s="9" t="s">
        <v>100</v>
      </c>
      <c r="N702" s="9" t="s">
        <v>2617</v>
      </c>
      <c r="O702" s="9">
        <f>HYPERLINK("https://www.google.com/maps/search/?api=1&amp;query=38.00515211,-1.14545943", "https://www.google.com/maps/search/?api=1&amp;query=38.00515211,-1.14545943")</f>
      </c>
      <c r="P702" s="9" t="s">
        <v>4954</v>
      </c>
      <c r="Q702" s="9" t="s">
        <v>512</v>
      </c>
    </row>
    <row r="703" spans="1:17" x14ac:dyDescent="0.25">
      <c r="A703" s="8" t="s">
        <v>5346</v>
      </c>
      <c r="B703" s="8" t="s">
        <v>5347</v>
      </c>
      <c r="C703" s="9" t="s">
        <v>5348</v>
      </c>
      <c r="D703" s="9" t="s">
        <v>400</v>
      </c>
      <c r="E703" s="9" t="s">
        <v>5349</v>
      </c>
      <c r="F703" s="10">
        <v>1.359</v>
      </c>
      <c r="G703" s="10">
        <v>1.495</v>
      </c>
      <c r="H703" s="10"/>
      <c r="I703" s="9" t="s">
        <v>400</v>
      </c>
      <c r="J703" s="9" t="s">
        <v>5350</v>
      </c>
      <c r="K703" s="9" t="s">
        <v>5351</v>
      </c>
      <c r="L703" s="8" t="s">
        <v>5352</v>
      </c>
      <c r="M703" s="9" t="s">
        <v>36</v>
      </c>
      <c r="N703" s="9" t="s">
        <v>88</v>
      </c>
      <c r="O703" s="9">
        <f>HYPERLINK("https://www.google.com/maps/search/?api=1&amp;query=38.99590586,-0.16661167", "https://www.google.com/maps/search/?api=1&amp;query=38.99590586,-0.16661167")</f>
      </c>
      <c r="P703" s="9" t="s">
        <v>4635</v>
      </c>
      <c r="Q703" s="9" t="s">
        <v>1727</v>
      </c>
    </row>
    <row r="704" spans="1:17" x14ac:dyDescent="0.25">
      <c r="A704" s="8" t="s">
        <v>5353</v>
      </c>
      <c r="B704" s="8" t="s">
        <v>5354</v>
      </c>
      <c r="C704" s="9" t="s">
        <v>5355</v>
      </c>
      <c r="D704" s="9" t="s">
        <v>94</v>
      </c>
      <c r="E704" s="9" t="s">
        <v>1023</v>
      </c>
      <c r="F704" s="10">
        <v>1.359</v>
      </c>
      <c r="G704" s="10">
        <v>1.495</v>
      </c>
      <c r="H704" s="10"/>
      <c r="I704" s="9" t="s">
        <v>96</v>
      </c>
      <c r="J704" s="9" t="s">
        <v>5356</v>
      </c>
      <c r="K704" s="9" t="s">
        <v>5357</v>
      </c>
      <c r="L704" s="8" t="s">
        <v>1026</v>
      </c>
      <c r="M704" s="9" t="s">
        <v>49</v>
      </c>
      <c r="N704" s="9" t="s">
        <v>37</v>
      </c>
      <c r="O704" s="9">
        <f>HYPERLINK("https://www.google.com/maps/search/?api=1&amp;query=41.47971361,2.06861481", "https://www.google.com/maps/search/?api=1&amp;query=41.47971361,2.06861481")</f>
      </c>
      <c r="P704" s="9" t="s">
        <v>608</v>
      </c>
      <c r="Q704" s="9" t="s">
        <v>548</v>
      </c>
    </row>
    <row r="705" spans="1:17" x14ac:dyDescent="0.25">
      <c r="A705" s="8" t="s">
        <v>5358</v>
      </c>
      <c r="B705" s="8" t="s">
        <v>5359</v>
      </c>
      <c r="C705" s="9" t="s">
        <v>5360</v>
      </c>
      <c r="D705" s="9" t="s">
        <v>217</v>
      </c>
      <c r="E705" s="9" t="s">
        <v>5361</v>
      </c>
      <c r="F705" s="10">
        <v>1.359</v>
      </c>
      <c r="G705" s="10">
        <v>1.495</v>
      </c>
      <c r="H705" s="10"/>
      <c r="I705" s="9" t="s">
        <v>45</v>
      </c>
      <c r="J705" s="9" t="s">
        <v>5362</v>
      </c>
      <c r="K705" s="9" t="s">
        <v>5363</v>
      </c>
      <c r="L705" s="8" t="s">
        <v>5364</v>
      </c>
      <c r="M705" s="9" t="s">
        <v>36</v>
      </c>
      <c r="N705" s="9" t="s">
        <v>37</v>
      </c>
      <c r="O705" s="9">
        <f>HYPERLINK("https://www.google.com/maps/search/?api=1&amp;query=36.61318145,-4.52860575", "https://www.google.com/maps/search/?api=1&amp;query=36.61318145,-4.52860575")</f>
      </c>
      <c r="P705" s="9" t="s">
        <v>5365</v>
      </c>
      <c r="Q705" s="9" t="s">
        <v>1084</v>
      </c>
    </row>
    <row r="706" spans="1:17" x14ac:dyDescent="0.25">
      <c r="A706" s="8" t="s">
        <v>5366</v>
      </c>
      <c r="B706" s="8" t="s">
        <v>5367</v>
      </c>
      <c r="C706" s="9" t="s">
        <v>5368</v>
      </c>
      <c r="D706" s="9" t="s">
        <v>2288</v>
      </c>
      <c r="E706" s="9" t="s">
        <v>5369</v>
      </c>
      <c r="F706" s="10">
        <v>1.359</v>
      </c>
      <c r="G706" s="10">
        <v>1.495</v>
      </c>
      <c r="H706" s="10"/>
      <c r="I706" s="9" t="s">
        <v>168</v>
      </c>
      <c r="J706" s="9" t="s">
        <v>5370</v>
      </c>
      <c r="K706" s="9" t="s">
        <v>5371</v>
      </c>
      <c r="L706" s="8" t="s">
        <v>5372</v>
      </c>
      <c r="M706" s="9" t="s">
        <v>36</v>
      </c>
      <c r="N706" s="9" t="s">
        <v>88</v>
      </c>
      <c r="O706" s="9">
        <f>HYPERLINK("https://www.google.com/maps/search/?api=1&amp;query=39.08621217,-1.96316492", "https://www.google.com/maps/search/?api=1&amp;query=39.08621217,-1.96316492")</f>
      </c>
      <c r="P706" s="9" t="s">
        <v>3791</v>
      </c>
      <c r="Q706" s="9" t="s">
        <v>2112</v>
      </c>
    </row>
    <row r="707" spans="1:17" x14ac:dyDescent="0.25">
      <c r="A707" s="8" t="s">
        <v>5373</v>
      </c>
      <c r="B707" s="8" t="s">
        <v>5374</v>
      </c>
      <c r="C707" s="9" t="s">
        <v>5375</v>
      </c>
      <c r="D707" s="9" t="s">
        <v>1560</v>
      </c>
      <c r="E707" s="9" t="s">
        <v>5376</v>
      </c>
      <c r="F707" s="10">
        <v>1.359</v>
      </c>
      <c r="G707" s="10">
        <v>1.495</v>
      </c>
      <c r="H707" s="10"/>
      <c r="I707" s="9" t="s">
        <v>400</v>
      </c>
      <c r="J707" s="9" t="s">
        <v>5377</v>
      </c>
      <c r="K707" s="9" t="s">
        <v>5378</v>
      </c>
      <c r="L707" s="8" t="s">
        <v>5379</v>
      </c>
      <c r="M707" s="9" t="s">
        <v>49</v>
      </c>
      <c r="N707" s="9" t="s">
        <v>88</v>
      </c>
      <c r="O707" s="9">
        <f>HYPERLINK("https://www.google.com/maps/search/?api=1&amp;query=39.88357446,-0.08128614", "https://www.google.com/maps/search/?api=1&amp;query=39.88357446,-0.08128614")</f>
      </c>
      <c r="P707" s="9" t="s">
        <v>5380</v>
      </c>
      <c r="Q707" s="9" t="s">
        <v>1629</v>
      </c>
    </row>
    <row r="708" spans="1:17" x14ac:dyDescent="0.25">
      <c r="A708" s="8" t="s">
        <v>5381</v>
      </c>
      <c r="B708" s="8" t="s">
        <v>5382</v>
      </c>
      <c r="C708" s="9" t="s">
        <v>5383</v>
      </c>
      <c r="D708" s="9" t="s">
        <v>94</v>
      </c>
      <c r="E708" s="9" t="s">
        <v>1444</v>
      </c>
      <c r="F708" s="10">
        <v>1.359</v>
      </c>
      <c r="G708" s="10">
        <v>1.495</v>
      </c>
      <c r="H708" s="10"/>
      <c r="I708" s="9" t="s">
        <v>96</v>
      </c>
      <c r="J708" s="9" t="s">
        <v>5384</v>
      </c>
      <c r="K708" s="9" t="s">
        <v>5385</v>
      </c>
      <c r="L708" s="8" t="s">
        <v>5386</v>
      </c>
      <c r="M708" s="9" t="s">
        <v>49</v>
      </c>
      <c r="N708" s="9" t="s">
        <v>88</v>
      </c>
      <c r="O708" s="9">
        <f>HYPERLINK("https://www.google.com/maps/search/?api=1&amp;query=41.55115839,2.43228077", "https://www.google.com/maps/search/?api=1&amp;query=41.55115839,2.43228077")</f>
      </c>
      <c r="P708" s="9" t="s">
        <v>413</v>
      </c>
      <c r="Q708" s="9" t="s">
        <v>102</v>
      </c>
    </row>
    <row r="709" spans="1:17" x14ac:dyDescent="0.25">
      <c r="A709" s="8" t="s">
        <v>5387</v>
      </c>
      <c r="B709" s="8" t="s">
        <v>5388</v>
      </c>
      <c r="C709" s="9" t="s">
        <v>5389</v>
      </c>
      <c r="D709" s="9" t="s">
        <v>488</v>
      </c>
      <c r="E709" s="9" t="s">
        <v>5390</v>
      </c>
      <c r="F709" s="10">
        <v>1.359</v>
      </c>
      <c r="G709" s="10">
        <v>1.495</v>
      </c>
      <c r="H709" s="10"/>
      <c r="I709" s="9" t="s">
        <v>45</v>
      </c>
      <c r="J709" s="9" t="s">
        <v>5391</v>
      </c>
      <c r="K709" s="9" t="s">
        <v>5392</v>
      </c>
      <c r="L709" s="8" t="s">
        <v>5393</v>
      </c>
      <c r="M709" s="9" t="s">
        <v>36</v>
      </c>
      <c r="N709" s="9" t="s">
        <v>88</v>
      </c>
      <c r="O709" s="9">
        <f>HYPERLINK("https://www.google.com/maps/search/?api=1&amp;query=38.25189239,-3.19940241", "https://www.google.com/maps/search/?api=1&amp;query=38.25189239,-3.19940241")</f>
      </c>
      <c r="P709" s="9" t="s">
        <v>5394</v>
      </c>
      <c r="Q709" s="9" t="s">
        <v>5395</v>
      </c>
    </row>
    <row r="710" spans="1:17" x14ac:dyDescent="0.25">
      <c r="A710" s="8" t="s">
        <v>5396</v>
      </c>
      <c r="B710" s="8" t="s">
        <v>5397</v>
      </c>
      <c r="C710" s="9" t="s">
        <v>5398</v>
      </c>
      <c r="D710" s="9" t="s">
        <v>83</v>
      </c>
      <c r="E710" s="9" t="s">
        <v>83</v>
      </c>
      <c r="F710" s="10">
        <v>1.359</v>
      </c>
      <c r="G710" s="10">
        <v>1.495</v>
      </c>
      <c r="H710" s="10"/>
      <c r="I710" s="9" t="s">
        <v>83</v>
      </c>
      <c r="J710" s="9" t="s">
        <v>5399</v>
      </c>
      <c r="K710" s="9" t="s">
        <v>5400</v>
      </c>
      <c r="L710" s="8" t="s">
        <v>3707</v>
      </c>
      <c r="M710" s="9" t="s">
        <v>36</v>
      </c>
      <c r="N710" s="9" t="s">
        <v>37</v>
      </c>
      <c r="O710" s="9">
        <f>HYPERLINK("https://www.google.com/maps/search/?api=1&amp;query=40.34396629,-3.58895526", "https://www.google.com/maps/search/?api=1&amp;query=40.34396629,-3.58895526")</f>
      </c>
      <c r="P710" s="9" t="s">
        <v>1067</v>
      </c>
      <c r="Q710" s="9" t="s">
        <v>5401</v>
      </c>
    </row>
    <row r="711" spans="1:17" x14ac:dyDescent="0.25">
      <c r="A711" s="8" t="s">
        <v>5402</v>
      </c>
      <c r="B711" s="8" t="s">
        <v>5403</v>
      </c>
      <c r="C711" s="9" t="s">
        <v>5404</v>
      </c>
      <c r="D711" s="9" t="s">
        <v>94</v>
      </c>
      <c r="E711" s="9" t="s">
        <v>1444</v>
      </c>
      <c r="F711" s="10">
        <v>1.359</v>
      </c>
      <c r="G711" s="10">
        <v>1.495</v>
      </c>
      <c r="H711" s="10"/>
      <c r="I711" s="9" t="s">
        <v>96</v>
      </c>
      <c r="J711" s="9" t="s">
        <v>5405</v>
      </c>
      <c r="K711" s="9" t="s">
        <v>5406</v>
      </c>
      <c r="L711" s="8" t="s">
        <v>5386</v>
      </c>
      <c r="M711" s="9" t="s">
        <v>49</v>
      </c>
      <c r="N711" s="9" t="s">
        <v>37</v>
      </c>
      <c r="O711" s="9">
        <f>HYPERLINK("https://www.google.com/maps/search/?api=1&amp;query=41.55092955,2.45445983", "https://www.google.com/maps/search/?api=1&amp;query=41.55092955,2.45445983")</f>
      </c>
      <c r="P711" s="9" t="s">
        <v>5407</v>
      </c>
      <c r="Q711" s="9" t="s">
        <v>5408</v>
      </c>
    </row>
    <row r="712" spans="1:17" x14ac:dyDescent="0.25">
      <c r="A712" s="8" t="s">
        <v>5409</v>
      </c>
      <c r="B712" s="8" t="s">
        <v>5410</v>
      </c>
      <c r="C712" s="9" t="s">
        <v>5411</v>
      </c>
      <c r="D712" s="9" t="s">
        <v>94</v>
      </c>
      <c r="E712" s="9" t="s">
        <v>5412</v>
      </c>
      <c r="F712" s="10">
        <v>1.359</v>
      </c>
      <c r="G712" s="10">
        <v>1.495</v>
      </c>
      <c r="H712" s="10"/>
      <c r="I712" s="9" t="s">
        <v>96</v>
      </c>
      <c r="J712" s="9" t="s">
        <v>5413</v>
      </c>
      <c r="K712" s="9" t="s">
        <v>5414</v>
      </c>
      <c r="L712" s="8" t="s">
        <v>5415</v>
      </c>
      <c r="M712" s="9" t="s">
        <v>49</v>
      </c>
      <c r="N712" s="9" t="s">
        <v>88</v>
      </c>
      <c r="O712" s="9">
        <f>HYPERLINK("https://www.google.com/maps/search/?api=1&amp;query=41.25595925,1.77888597", "https://www.google.com/maps/search/?api=1&amp;query=41.25595925,1.77888597")</f>
      </c>
      <c r="P712" s="9" t="s">
        <v>1533</v>
      </c>
      <c r="Q712" s="9" t="s">
        <v>804</v>
      </c>
    </row>
    <row r="713" spans="1:17" x14ac:dyDescent="0.25">
      <c r="A713" s="8" t="s">
        <v>5416</v>
      </c>
      <c r="B713" s="8" t="s">
        <v>5417</v>
      </c>
      <c r="C713" s="9" t="s">
        <v>5418</v>
      </c>
      <c r="D713" s="9" t="s">
        <v>1192</v>
      </c>
      <c r="E713" s="9" t="s">
        <v>1192</v>
      </c>
      <c r="F713" s="10">
        <v>1.359</v>
      </c>
      <c r="G713" s="10">
        <v>1.495</v>
      </c>
      <c r="H713" s="10"/>
      <c r="I713" s="9" t="s">
        <v>168</v>
      </c>
      <c r="J713" s="9" t="s">
        <v>5419</v>
      </c>
      <c r="K713" s="9" t="s">
        <v>5420</v>
      </c>
      <c r="L713" s="8" t="s">
        <v>1195</v>
      </c>
      <c r="M713" s="9" t="s">
        <v>49</v>
      </c>
      <c r="N713" s="9" t="s">
        <v>37</v>
      </c>
      <c r="O713" s="9">
        <f>HYPERLINK("https://www.google.com/maps/search/?api=1&amp;query=38.97722431,-3.93606431", "https://www.google.com/maps/search/?api=1&amp;query=38.97722431,-3.93606431")</f>
      </c>
      <c r="P713" s="9" t="s">
        <v>5421</v>
      </c>
      <c r="Q713" s="9" t="s">
        <v>297</v>
      </c>
    </row>
    <row r="714" spans="1:17" x14ac:dyDescent="0.25">
      <c r="A714" s="8" t="s">
        <v>5422</v>
      </c>
      <c r="B714" s="8" t="s">
        <v>5423</v>
      </c>
      <c r="C714" s="9" t="s">
        <v>5424</v>
      </c>
      <c r="D714" s="9" t="s">
        <v>424</v>
      </c>
      <c r="E714" s="9" t="s">
        <v>5425</v>
      </c>
      <c r="F714" s="10">
        <v>1.359</v>
      </c>
      <c r="G714" s="10">
        <v>1.495</v>
      </c>
      <c r="H714" s="10"/>
      <c r="I714" s="9" t="s">
        <v>96</v>
      </c>
      <c r="J714" s="9" t="s">
        <v>5426</v>
      </c>
      <c r="K714" s="9" t="s">
        <v>5427</v>
      </c>
      <c r="L714" s="8" t="s">
        <v>5428</v>
      </c>
      <c r="M714" s="9" t="s">
        <v>49</v>
      </c>
      <c r="N714" s="9" t="s">
        <v>88</v>
      </c>
      <c r="O714" s="9">
        <f>HYPERLINK("https://www.google.com/maps/search/?api=1&amp;query=41.66167978,1.19853309", "https://www.google.com/maps/search/?api=1&amp;query=41.66167978,1.19853309")</f>
      </c>
      <c r="P714" s="9" t="s">
        <v>1268</v>
      </c>
      <c r="Q714" s="9" t="s">
        <v>5429</v>
      </c>
    </row>
    <row r="715" spans="1:17" x14ac:dyDescent="0.25">
      <c r="A715" s="8" t="s">
        <v>5430</v>
      </c>
      <c r="B715" s="8" t="s">
        <v>5431</v>
      </c>
      <c r="C715" s="9" t="s">
        <v>5432</v>
      </c>
      <c r="D715" s="9" t="s">
        <v>398</v>
      </c>
      <c r="E715" s="9" t="s">
        <v>399</v>
      </c>
      <c r="F715" s="10">
        <v>1.359</v>
      </c>
      <c r="G715" s="10">
        <v>1.495</v>
      </c>
      <c r="H715" s="10"/>
      <c r="I715" s="9" t="s">
        <v>400</v>
      </c>
      <c r="J715" s="9" t="s">
        <v>5433</v>
      </c>
      <c r="K715" s="9" t="s">
        <v>5434</v>
      </c>
      <c r="L715" s="8" t="s">
        <v>403</v>
      </c>
      <c r="M715" s="9" t="s">
        <v>100</v>
      </c>
      <c r="N715" s="9" t="s">
        <v>88</v>
      </c>
      <c r="O715" s="9">
        <f>HYPERLINK("https://www.google.com/maps/search/?api=1&amp;query=38.77606954,0.11986769", "https://www.google.com/maps/search/?api=1&amp;query=38.77606954,0.11986769")</f>
      </c>
      <c r="P715" s="9" t="s">
        <v>831</v>
      </c>
      <c r="Q715" s="9" t="s">
        <v>112</v>
      </c>
    </row>
    <row r="716" spans="1:17" x14ac:dyDescent="0.25">
      <c r="A716" s="8" t="s">
        <v>5435</v>
      </c>
      <c r="B716" s="8" t="s">
        <v>5436</v>
      </c>
      <c r="C716" s="9" t="s">
        <v>5437</v>
      </c>
      <c r="D716" s="9" t="s">
        <v>400</v>
      </c>
      <c r="E716" s="9" t="s">
        <v>2208</v>
      </c>
      <c r="F716" s="10">
        <v>1.359</v>
      </c>
      <c r="G716" s="10">
        <v>1.495</v>
      </c>
      <c r="H716" s="10"/>
      <c r="I716" s="9" t="s">
        <v>400</v>
      </c>
      <c r="J716" s="9" t="s">
        <v>5438</v>
      </c>
      <c r="K716" s="9" t="s">
        <v>5439</v>
      </c>
      <c r="L716" s="8" t="s">
        <v>2211</v>
      </c>
      <c r="M716" s="9" t="s">
        <v>49</v>
      </c>
      <c r="N716" s="9" t="s">
        <v>5440</v>
      </c>
      <c r="O716" s="9">
        <f>HYPERLINK("https://www.google.com/maps/search/?api=1&amp;query=39.51560462,-0.45659281", "https://www.google.com/maps/search/?api=1&amp;query=39.51560462,-0.45659281")</f>
      </c>
      <c r="P716" s="9" t="s">
        <v>5441</v>
      </c>
      <c r="Q716" s="9" t="s">
        <v>5442</v>
      </c>
    </row>
    <row r="717" spans="1:17" x14ac:dyDescent="0.25">
      <c r="A717" s="8" t="s">
        <v>5443</v>
      </c>
      <c r="B717" s="8" t="s">
        <v>5444</v>
      </c>
      <c r="C717" s="9" t="s">
        <v>5445</v>
      </c>
      <c r="D717" s="9" t="s">
        <v>94</v>
      </c>
      <c r="E717" s="9" t="s">
        <v>5446</v>
      </c>
      <c r="F717" s="10">
        <v>1.359</v>
      </c>
      <c r="G717" s="10">
        <v>1.495</v>
      </c>
      <c r="H717" s="10"/>
      <c r="I717" s="9" t="s">
        <v>96</v>
      </c>
      <c r="J717" s="9" t="s">
        <v>5447</v>
      </c>
      <c r="K717" s="9" t="s">
        <v>5448</v>
      </c>
      <c r="L717" s="8" t="s">
        <v>5449</v>
      </c>
      <c r="M717" s="9" t="s">
        <v>49</v>
      </c>
      <c r="N717" s="9" t="s">
        <v>5450</v>
      </c>
      <c r="O717" s="9">
        <f>HYPERLINK("https://www.google.com/maps/search/?api=1&amp;query=41.62595607,2.28317201", "https://www.google.com/maps/search/?api=1&amp;query=41.62595607,2.28317201")</f>
      </c>
      <c r="P717" s="9" t="s">
        <v>955</v>
      </c>
      <c r="Q717" s="9" t="s">
        <v>1534</v>
      </c>
    </row>
    <row r="718" spans="1:17" x14ac:dyDescent="0.25">
      <c r="A718" s="8" t="s">
        <v>5451</v>
      </c>
      <c r="B718" s="8" t="s">
        <v>5452</v>
      </c>
      <c r="C718" s="9" t="s">
        <v>5453</v>
      </c>
      <c r="D718" s="9" t="s">
        <v>1483</v>
      </c>
      <c r="E718" s="9" t="s">
        <v>1586</v>
      </c>
      <c r="F718" s="10">
        <v>1.359</v>
      </c>
      <c r="G718" s="10">
        <v>1.495</v>
      </c>
      <c r="H718" s="10"/>
      <c r="I718" s="9" t="s">
        <v>74</v>
      </c>
      <c r="J718" s="9" t="s">
        <v>5454</v>
      </c>
      <c r="K718" s="9" t="s">
        <v>5455</v>
      </c>
      <c r="L718" s="8" t="s">
        <v>1589</v>
      </c>
      <c r="M718" s="9" t="s">
        <v>49</v>
      </c>
      <c r="N718" s="9" t="s">
        <v>37</v>
      </c>
      <c r="O718" s="9">
        <f>HYPERLINK("https://www.google.com/maps/search/?api=1&amp;query=42.40341263,-3.54918084", "https://www.google.com/maps/search/?api=1&amp;query=42.40341263,-3.54918084")</f>
      </c>
      <c r="P718" s="9" t="s">
        <v>5456</v>
      </c>
      <c r="Q718" s="9" t="s">
        <v>1591</v>
      </c>
    </row>
    <row r="719" spans="1:17" x14ac:dyDescent="0.25">
      <c r="A719" s="8" t="s">
        <v>5457</v>
      </c>
      <c r="B719" s="8" t="s">
        <v>5458</v>
      </c>
      <c r="C719" s="9" t="s">
        <v>5459</v>
      </c>
      <c r="D719" s="9" t="s">
        <v>398</v>
      </c>
      <c r="E719" s="9" t="s">
        <v>5460</v>
      </c>
      <c r="F719" s="10">
        <v>1.359</v>
      </c>
      <c r="G719" s="10">
        <v>1.495</v>
      </c>
      <c r="H719" s="10"/>
      <c r="I719" s="9" t="s">
        <v>400</v>
      </c>
      <c r="J719" s="9" t="s">
        <v>5461</v>
      </c>
      <c r="K719" s="9" t="s">
        <v>5462</v>
      </c>
      <c r="L719" s="8" t="s">
        <v>5463</v>
      </c>
      <c r="M719" s="9" t="s">
        <v>49</v>
      </c>
      <c r="N719" s="9" t="s">
        <v>37</v>
      </c>
      <c r="O719" s="9">
        <f>HYPERLINK("https://www.google.com/maps/search/?api=1&amp;query=38.23532739,-0.55003193", "https://www.google.com/maps/search/?api=1&amp;query=38.23532739,-0.55003193")</f>
      </c>
      <c r="P719" s="9" t="s">
        <v>2516</v>
      </c>
      <c r="Q719" s="9" t="s">
        <v>90</v>
      </c>
    </row>
    <row r="720" spans="1:17" x14ac:dyDescent="0.25">
      <c r="A720" s="8" t="s">
        <v>5464</v>
      </c>
      <c r="B720" s="8" t="s">
        <v>5465</v>
      </c>
      <c r="C720" s="9" t="s">
        <v>5466</v>
      </c>
      <c r="D720" s="9" t="s">
        <v>94</v>
      </c>
      <c r="E720" s="9" t="s">
        <v>2776</v>
      </c>
      <c r="F720" s="10">
        <v>1.359</v>
      </c>
      <c r="G720" s="10">
        <v>1.495</v>
      </c>
      <c r="H720" s="10"/>
      <c r="I720" s="9" t="s">
        <v>96</v>
      </c>
      <c r="J720" s="9" t="s">
        <v>5467</v>
      </c>
      <c r="K720" s="9" t="s">
        <v>5468</v>
      </c>
      <c r="L720" s="8" t="s">
        <v>2779</v>
      </c>
      <c r="M720" s="9" t="s">
        <v>49</v>
      </c>
      <c r="N720" s="9" t="s">
        <v>88</v>
      </c>
      <c r="O720" s="9">
        <f>HYPERLINK("https://www.google.com/maps/search/?api=1&amp;query=41.59349749,2.34299993", "https://www.google.com/maps/search/?api=1&amp;query=41.59349749,2.34299993")</f>
      </c>
      <c r="P720" s="9" t="s">
        <v>5469</v>
      </c>
      <c r="Q720" s="9" t="s">
        <v>1496</v>
      </c>
    </row>
    <row r="721" spans="1:17" x14ac:dyDescent="0.25">
      <c r="A721" s="8" t="s">
        <v>5470</v>
      </c>
      <c r="B721" s="8" t="s">
        <v>5471</v>
      </c>
      <c r="C721" s="9" t="s">
        <v>5472</v>
      </c>
      <c r="D721" s="9" t="s">
        <v>1483</v>
      </c>
      <c r="E721" s="9" t="s">
        <v>5473</v>
      </c>
      <c r="F721" s="10">
        <v>1.359</v>
      </c>
      <c r="G721" s="10">
        <v>1.495</v>
      </c>
      <c r="H721" s="10"/>
      <c r="I721" s="9" t="s">
        <v>74</v>
      </c>
      <c r="J721" s="9" t="s">
        <v>5474</v>
      </c>
      <c r="K721" s="9" t="s">
        <v>5475</v>
      </c>
      <c r="L721" s="8" t="s">
        <v>5476</v>
      </c>
      <c r="M721" s="9" t="s">
        <v>36</v>
      </c>
      <c r="N721" s="9" t="s">
        <v>211</v>
      </c>
      <c r="O721" s="9">
        <f>HYPERLINK("https://www.google.com/maps/search/?api=1&amp;query=42.36645456,-3.84325306", "https://www.google.com/maps/search/?api=1&amp;query=42.36645456,-3.84325306")</f>
      </c>
      <c r="P721" s="9" t="s">
        <v>144</v>
      </c>
      <c r="Q721" s="9" t="s">
        <v>102</v>
      </c>
    </row>
    <row r="722" spans="1:17" x14ac:dyDescent="0.25">
      <c r="A722" s="8" t="s">
        <v>5477</v>
      </c>
      <c r="B722" s="8" t="s">
        <v>5478</v>
      </c>
      <c r="C722" s="9" t="s">
        <v>5479</v>
      </c>
      <c r="D722" s="9" t="s">
        <v>217</v>
      </c>
      <c r="E722" s="9" t="s">
        <v>218</v>
      </c>
      <c r="F722" s="10">
        <v>1.359</v>
      </c>
      <c r="G722" s="10">
        <v>1.495</v>
      </c>
      <c r="H722" s="10"/>
      <c r="I722" s="9" t="s">
        <v>45</v>
      </c>
      <c r="J722" s="9" t="s">
        <v>5480</v>
      </c>
      <c r="K722" s="9" t="s">
        <v>5481</v>
      </c>
      <c r="L722" s="8" t="s">
        <v>221</v>
      </c>
      <c r="M722" s="9" t="s">
        <v>36</v>
      </c>
      <c r="N722" s="9" t="s">
        <v>37</v>
      </c>
      <c r="O722" s="9">
        <f>HYPERLINK("https://www.google.com/maps/search/?api=1&amp;query=36.47340669,-5.01110556", "https://www.google.com/maps/search/?api=1&amp;query=36.47340669,-5.01110556")</f>
      </c>
      <c r="P722" s="9" t="s">
        <v>663</v>
      </c>
      <c r="Q722" s="9" t="s">
        <v>697</v>
      </c>
    </row>
    <row r="723" spans="1:17" x14ac:dyDescent="0.25">
      <c r="A723" s="8" t="s">
        <v>5482</v>
      </c>
      <c r="B723" s="8" t="s">
        <v>5483</v>
      </c>
      <c r="C723" s="9" t="s">
        <v>5484</v>
      </c>
      <c r="D723" s="9" t="s">
        <v>253</v>
      </c>
      <c r="E723" s="9" t="s">
        <v>943</v>
      </c>
      <c r="F723" s="10">
        <v>1.359</v>
      </c>
      <c r="G723" s="10">
        <v>1.495</v>
      </c>
      <c r="H723" s="10"/>
      <c r="I723" s="9" t="s">
        <v>96</v>
      </c>
      <c r="J723" s="9" t="s">
        <v>5485</v>
      </c>
      <c r="K723" s="9" t="s">
        <v>5486</v>
      </c>
      <c r="L723" s="8" t="s">
        <v>946</v>
      </c>
      <c r="M723" s="9" t="s">
        <v>49</v>
      </c>
      <c r="N723" s="9" t="s">
        <v>339</v>
      </c>
      <c r="O723" s="9">
        <f>HYPERLINK("https://www.google.com/maps/search/?api=1&amp;query=41.15851881,1.11796073", "https://www.google.com/maps/search/?api=1&amp;query=41.15851881,1.11796073")</f>
      </c>
      <c r="P723" s="9" t="s">
        <v>1565</v>
      </c>
      <c r="Q723" s="9" t="s">
        <v>5487</v>
      </c>
    </row>
    <row r="724" spans="1:17" x14ac:dyDescent="0.25">
      <c r="A724" s="8" t="s">
        <v>5488</v>
      </c>
      <c r="B724" s="8" t="s">
        <v>5489</v>
      </c>
      <c r="C724" s="9" t="s">
        <v>5490</v>
      </c>
      <c r="D724" s="9" t="s">
        <v>434</v>
      </c>
      <c r="E724" s="9" t="s">
        <v>434</v>
      </c>
      <c r="F724" s="10">
        <v>1.359</v>
      </c>
      <c r="G724" s="10">
        <v>1.495</v>
      </c>
      <c r="H724" s="10"/>
      <c r="I724" s="9" t="s">
        <v>96</v>
      </c>
      <c r="J724" s="9" t="s">
        <v>5491</v>
      </c>
      <c r="K724" s="9" t="s">
        <v>5492</v>
      </c>
      <c r="L724" s="8" t="s">
        <v>5493</v>
      </c>
      <c r="M724" s="9" t="s">
        <v>49</v>
      </c>
      <c r="N724" s="9" t="s">
        <v>37</v>
      </c>
      <c r="O724" s="9">
        <f>HYPERLINK("https://www.google.com/maps/search/?api=1&amp;query=41.96246334,2.81101733", "https://www.google.com/maps/search/?api=1&amp;query=41.96246334,2.81101733")</f>
      </c>
      <c r="P724" s="9" t="s">
        <v>5494</v>
      </c>
      <c r="Q724" s="9" t="s">
        <v>697</v>
      </c>
    </row>
    <row r="725" spans="1:17" x14ac:dyDescent="0.25">
      <c r="A725" s="8" t="s">
        <v>5495</v>
      </c>
      <c r="B725" s="8" t="s">
        <v>5496</v>
      </c>
      <c r="C725" s="9" t="s">
        <v>5497</v>
      </c>
      <c r="D725" s="9" t="s">
        <v>398</v>
      </c>
      <c r="E725" s="9" t="s">
        <v>399</v>
      </c>
      <c r="F725" s="10">
        <v>1.359</v>
      </c>
      <c r="G725" s="10">
        <v>1.495</v>
      </c>
      <c r="H725" s="10"/>
      <c r="I725" s="9" t="s">
        <v>400</v>
      </c>
      <c r="J725" s="9" t="s">
        <v>5498</v>
      </c>
      <c r="K725" s="9" t="s">
        <v>5499</v>
      </c>
      <c r="L725" s="8" t="s">
        <v>403</v>
      </c>
      <c r="M725" s="9" t="s">
        <v>49</v>
      </c>
      <c r="N725" s="9" t="s">
        <v>88</v>
      </c>
      <c r="O725" s="9">
        <f>HYPERLINK("https://www.google.com/maps/search/?api=1&amp;query=38.77050388,0.18637114", "https://www.google.com/maps/search/?api=1&amp;query=38.77050388,0.18637114")</f>
      </c>
      <c r="P725" s="9" t="s">
        <v>831</v>
      </c>
      <c r="Q725" s="9" t="s">
        <v>3311</v>
      </c>
    </row>
    <row r="726" spans="1:17" x14ac:dyDescent="0.25">
      <c r="A726" s="8" t="s">
        <v>5500</v>
      </c>
      <c r="B726" s="8" t="s">
        <v>5501</v>
      </c>
      <c r="C726" s="9" t="s">
        <v>5502</v>
      </c>
      <c r="D726" s="9" t="s">
        <v>61</v>
      </c>
      <c r="E726" s="9" t="s">
        <v>61</v>
      </c>
      <c r="F726" s="10">
        <v>1.359</v>
      </c>
      <c r="G726" s="10">
        <v>1.495</v>
      </c>
      <c r="H726" s="10"/>
      <c r="I726" s="9" t="s">
        <v>45</v>
      </c>
      <c r="J726" s="9" t="s">
        <v>5503</v>
      </c>
      <c r="K726" s="9" t="s">
        <v>5504</v>
      </c>
      <c r="L726" s="8" t="s">
        <v>5505</v>
      </c>
      <c r="M726" s="9" t="s">
        <v>49</v>
      </c>
      <c r="N726" s="9" t="s">
        <v>37</v>
      </c>
      <c r="O726" s="9">
        <f>HYPERLINK("https://www.google.com/maps/search/?api=1&amp;query=37.43201,-5.96724402", "https://www.google.com/maps/search/?api=1&amp;query=37.43201,-5.96724402")</f>
      </c>
      <c r="P726" s="9" t="s">
        <v>897</v>
      </c>
      <c r="Q726" s="9" t="s">
        <v>1982</v>
      </c>
    </row>
    <row r="727" spans="1:17" x14ac:dyDescent="0.25">
      <c r="A727" s="8" t="s">
        <v>5506</v>
      </c>
      <c r="B727" s="8" t="s">
        <v>5507</v>
      </c>
      <c r="C727" s="9" t="s">
        <v>5508</v>
      </c>
      <c r="D727" s="9" t="s">
        <v>398</v>
      </c>
      <c r="E727" s="9" t="s">
        <v>5509</v>
      </c>
      <c r="F727" s="10">
        <v>1.359</v>
      </c>
      <c r="G727" s="10">
        <v>1.495</v>
      </c>
      <c r="H727" s="10"/>
      <c r="I727" s="9" t="s">
        <v>400</v>
      </c>
      <c r="J727" s="9" t="s">
        <v>5510</v>
      </c>
      <c r="K727" s="9" t="s">
        <v>5511</v>
      </c>
      <c r="L727" s="8" t="s">
        <v>5512</v>
      </c>
      <c r="M727" s="9" t="s">
        <v>36</v>
      </c>
      <c r="N727" s="9" t="s">
        <v>88</v>
      </c>
      <c r="O727" s="9">
        <f>HYPERLINK("https://www.google.com/maps/search/?api=1&amp;query=38.82821445,0.01475808", "https://www.google.com/maps/search/?api=1&amp;query=38.82821445,0.01475808")</f>
      </c>
      <c r="P727" s="9" t="s">
        <v>5513</v>
      </c>
      <c r="Q727" s="9" t="s">
        <v>5514</v>
      </c>
    </row>
    <row r="728" spans="1:17" x14ac:dyDescent="0.25">
      <c r="A728" s="8" t="s">
        <v>5515</v>
      </c>
      <c r="B728" s="8" t="s">
        <v>5516</v>
      </c>
      <c r="C728" s="9" t="s">
        <v>5517</v>
      </c>
      <c r="D728" s="9" t="s">
        <v>177</v>
      </c>
      <c r="E728" s="9" t="s">
        <v>5518</v>
      </c>
      <c r="F728" s="10">
        <v>1.359</v>
      </c>
      <c r="G728" s="10">
        <v>1.495</v>
      </c>
      <c r="H728" s="10"/>
      <c r="I728" s="9" t="s">
        <v>74</v>
      </c>
      <c r="J728" s="9" t="s">
        <v>5519</v>
      </c>
      <c r="K728" s="9" t="s">
        <v>5520</v>
      </c>
      <c r="L728" s="8" t="s">
        <v>5521</v>
      </c>
      <c r="M728" s="9" t="s">
        <v>49</v>
      </c>
      <c r="N728" s="9" t="s">
        <v>211</v>
      </c>
      <c r="O728" s="9">
        <f>HYPERLINK("https://www.google.com/maps/search/?api=1&amp;query=41.539969,-4.89584545", "https://www.google.com/maps/search/?api=1&amp;query=41.539969,-4.89584545")</f>
      </c>
      <c r="P728" s="9" t="s">
        <v>780</v>
      </c>
      <c r="Q728" s="9" t="s">
        <v>112</v>
      </c>
    </row>
    <row r="729" spans="1:17" x14ac:dyDescent="0.25">
      <c r="A729" s="8" t="s">
        <v>5522</v>
      </c>
      <c r="B729" s="8" t="s">
        <v>5523</v>
      </c>
      <c r="C729" s="9" t="s">
        <v>5524</v>
      </c>
      <c r="D729" s="9" t="s">
        <v>61</v>
      </c>
      <c r="E729" s="9" t="s">
        <v>61</v>
      </c>
      <c r="F729" s="10">
        <v>1.359</v>
      </c>
      <c r="G729" s="10">
        <v>1.495</v>
      </c>
      <c r="H729" s="10"/>
      <c r="I729" s="9" t="s">
        <v>45</v>
      </c>
      <c r="J729" s="9" t="s">
        <v>5525</v>
      </c>
      <c r="K729" s="9" t="s">
        <v>5526</v>
      </c>
      <c r="L729" s="8" t="s">
        <v>5527</v>
      </c>
      <c r="M729" s="9" t="s">
        <v>36</v>
      </c>
      <c r="N729" s="9" t="s">
        <v>88</v>
      </c>
      <c r="O729" s="9">
        <f>HYPERLINK("https://www.google.com/maps/search/?api=1&amp;query=37.37332171,-5.96882294", "https://www.google.com/maps/search/?api=1&amp;query=37.37332171,-5.96882294")</f>
      </c>
      <c r="P729" s="9" t="s">
        <v>521</v>
      </c>
      <c r="Q729" s="9" t="s">
        <v>5514</v>
      </c>
    </row>
    <row r="730" spans="1:17" x14ac:dyDescent="0.25">
      <c r="A730" s="8" t="s">
        <v>5528</v>
      </c>
      <c r="B730" s="8" t="s">
        <v>5529</v>
      </c>
      <c r="C730" s="9" t="s">
        <v>5530</v>
      </c>
      <c r="D730" s="9" t="s">
        <v>226</v>
      </c>
      <c r="E730" s="9" t="s">
        <v>5531</v>
      </c>
      <c r="F730" s="10">
        <v>1.359</v>
      </c>
      <c r="G730" s="10">
        <v>1.495</v>
      </c>
      <c r="H730" s="10"/>
      <c r="I730" s="9" t="s">
        <v>168</v>
      </c>
      <c r="J730" s="9" t="s">
        <v>5532</v>
      </c>
      <c r="K730" s="9" t="s">
        <v>5533</v>
      </c>
      <c r="L730" s="8" t="s">
        <v>5534</v>
      </c>
      <c r="M730" s="9" t="s">
        <v>49</v>
      </c>
      <c r="N730" s="9" t="s">
        <v>211</v>
      </c>
      <c r="O730" s="9">
        <f>HYPERLINK("https://www.google.com/maps/search/?api=1&amp;query=39.53835966,-2.25438642", "https://www.google.com/maps/search/?api=1&amp;query=39.53835966,-2.25438642")</f>
      </c>
      <c r="P730" s="9" t="s">
        <v>2594</v>
      </c>
      <c r="Q730" s="9" t="s">
        <v>5535</v>
      </c>
    </row>
    <row r="731" spans="1:17" x14ac:dyDescent="0.25">
      <c r="A731" s="8" t="s">
        <v>5536</v>
      </c>
      <c r="B731" s="8" t="s">
        <v>5537</v>
      </c>
      <c r="C731" s="9" t="s">
        <v>5538</v>
      </c>
      <c r="D731" s="9" t="s">
        <v>155</v>
      </c>
      <c r="E731" s="9" t="s">
        <v>2394</v>
      </c>
      <c r="F731" s="10">
        <v>1.359</v>
      </c>
      <c r="G731" s="10">
        <v>1.495</v>
      </c>
      <c r="H731" s="10"/>
      <c r="I731" s="9" t="s">
        <v>157</v>
      </c>
      <c r="J731" s="9" t="s">
        <v>5539</v>
      </c>
      <c r="K731" s="9" t="s">
        <v>5540</v>
      </c>
      <c r="L731" s="8" t="s">
        <v>3376</v>
      </c>
      <c r="M731" s="9" t="s">
        <v>36</v>
      </c>
      <c r="N731" s="9" t="s">
        <v>3377</v>
      </c>
      <c r="O731" s="9">
        <f>HYPERLINK("https://www.google.com/maps/search/?api=1&amp;query=39.59583674,2.63794507", "https://www.google.com/maps/search/?api=1&amp;query=39.59583674,2.63794507")</f>
      </c>
      <c r="P731" s="9" t="s">
        <v>1381</v>
      </c>
      <c r="Q731" s="9" t="s">
        <v>405</v>
      </c>
    </row>
    <row r="732" spans="1:17" x14ac:dyDescent="0.25">
      <c r="A732" s="8" t="s">
        <v>5541</v>
      </c>
      <c r="B732" s="8" t="s">
        <v>5542</v>
      </c>
      <c r="C732" s="9" t="s">
        <v>5543</v>
      </c>
      <c r="D732" s="9" t="s">
        <v>434</v>
      </c>
      <c r="E732" s="9" t="s">
        <v>2386</v>
      </c>
      <c r="F732" s="10">
        <v>1.359</v>
      </c>
      <c r="G732" s="10">
        <v>1.495</v>
      </c>
      <c r="H732" s="10"/>
      <c r="I732" s="9" t="s">
        <v>96</v>
      </c>
      <c r="J732" s="9" t="s">
        <v>5544</v>
      </c>
      <c r="K732" s="9" t="s">
        <v>5545</v>
      </c>
      <c r="L732" s="8" t="s">
        <v>2389</v>
      </c>
      <c r="M732" s="9" t="s">
        <v>36</v>
      </c>
      <c r="N732" s="9" t="s">
        <v>37</v>
      </c>
      <c r="O732" s="9">
        <f>HYPERLINK("https://www.google.com/maps/search/?api=1&amp;query=42.39860706,2.88020849", "https://www.google.com/maps/search/?api=1&amp;query=42.39860706,2.88020849")</f>
      </c>
      <c r="P732" s="9" t="s">
        <v>5546</v>
      </c>
      <c r="Q732" s="9" t="s">
        <v>5547</v>
      </c>
    </row>
    <row r="733" spans="1:17" x14ac:dyDescent="0.25">
      <c r="A733" s="8" t="s">
        <v>5548</v>
      </c>
      <c r="B733" s="8" t="s">
        <v>5549</v>
      </c>
      <c r="C733" s="9" t="s">
        <v>5550</v>
      </c>
      <c r="D733" s="9" t="s">
        <v>187</v>
      </c>
      <c r="E733" s="9" t="s">
        <v>5551</v>
      </c>
      <c r="F733" s="10">
        <v>1.359</v>
      </c>
      <c r="G733" s="10">
        <v>1.495</v>
      </c>
      <c r="H733" s="10"/>
      <c r="I733" s="9" t="s">
        <v>74</v>
      </c>
      <c r="J733" s="9" t="s">
        <v>5552</v>
      </c>
      <c r="K733" s="9" t="s">
        <v>5553</v>
      </c>
      <c r="L733" s="8" t="s">
        <v>5554</v>
      </c>
      <c r="M733" s="9" t="s">
        <v>36</v>
      </c>
      <c r="N733" s="9" t="s">
        <v>211</v>
      </c>
      <c r="O733" s="9">
        <f>HYPERLINK("https://www.google.com/maps/search/?api=1&amp;query=42.85921172,-5.32452559", "https://www.google.com/maps/search/?api=1&amp;query=42.85921172,-5.32452559")</f>
      </c>
      <c r="P733" s="9" t="s">
        <v>5555</v>
      </c>
      <c r="Q733" s="9" t="s">
        <v>5556</v>
      </c>
    </row>
    <row r="734" spans="1:17" x14ac:dyDescent="0.25">
      <c r="A734" s="8" t="s">
        <v>5557</v>
      </c>
      <c r="B734" s="8" t="s">
        <v>5558</v>
      </c>
      <c r="C734" s="9" t="s">
        <v>5559</v>
      </c>
      <c r="D734" s="9" t="s">
        <v>94</v>
      </c>
      <c r="E734" s="9" t="s">
        <v>4171</v>
      </c>
      <c r="F734" s="10">
        <v>1.359</v>
      </c>
      <c r="G734" s="10">
        <v>1.495</v>
      </c>
      <c r="H734" s="10"/>
      <c r="I734" s="9" t="s">
        <v>96</v>
      </c>
      <c r="J734" s="9" t="s">
        <v>5560</v>
      </c>
      <c r="K734" s="9" t="s">
        <v>5561</v>
      </c>
      <c r="L734" s="8" t="s">
        <v>4174</v>
      </c>
      <c r="M734" s="9" t="s">
        <v>49</v>
      </c>
      <c r="N734" s="9" t="s">
        <v>88</v>
      </c>
      <c r="O734" s="9">
        <f>HYPERLINK("https://www.google.com/maps/search/?api=1&amp;query=41.49168601,2.18533862", "https://www.google.com/maps/search/?api=1&amp;query=41.49168601,2.18533862")</f>
      </c>
      <c r="P734" s="9" t="s">
        <v>2529</v>
      </c>
      <c r="Q734" s="9" t="s">
        <v>1278</v>
      </c>
    </row>
    <row r="735" spans="1:17" x14ac:dyDescent="0.25">
      <c r="A735" s="8" t="s">
        <v>5562</v>
      </c>
      <c r="B735" s="8" t="s">
        <v>5563</v>
      </c>
      <c r="C735" s="9" t="s">
        <v>5564</v>
      </c>
      <c r="D735" s="9" t="s">
        <v>488</v>
      </c>
      <c r="E735" s="9" t="s">
        <v>5565</v>
      </c>
      <c r="F735" s="10">
        <v>1.359</v>
      </c>
      <c r="G735" s="10">
        <v>1.495</v>
      </c>
      <c r="H735" s="10"/>
      <c r="I735" s="9" t="s">
        <v>45</v>
      </c>
      <c r="J735" s="9" t="s">
        <v>5566</v>
      </c>
      <c r="K735" s="9" t="s">
        <v>5567</v>
      </c>
      <c r="L735" s="8" t="s">
        <v>5568</v>
      </c>
      <c r="M735" s="9" t="s">
        <v>36</v>
      </c>
      <c r="N735" s="9" t="s">
        <v>88</v>
      </c>
      <c r="O735" s="9">
        <f>HYPERLINK("https://www.google.com/maps/search/?api=1&amp;query=38.09033916,-3.62598569", "https://www.google.com/maps/search/?api=1&amp;query=38.09033916,-3.62598569")</f>
      </c>
      <c r="P735" s="9" t="s">
        <v>5569</v>
      </c>
      <c r="Q735" s="9" t="s">
        <v>5570</v>
      </c>
    </row>
    <row r="736" spans="1:17" x14ac:dyDescent="0.25">
      <c r="A736" s="8" t="s">
        <v>5571</v>
      </c>
      <c r="B736" s="8" t="s">
        <v>5572</v>
      </c>
      <c r="C736" s="9" t="s">
        <v>5573</v>
      </c>
      <c r="D736" s="9" t="s">
        <v>116</v>
      </c>
      <c r="E736" s="9" t="s">
        <v>3230</v>
      </c>
      <c r="F736" s="10">
        <v>1.359</v>
      </c>
      <c r="G736" s="10">
        <v>1.495</v>
      </c>
      <c r="H736" s="10"/>
      <c r="I736" s="9" t="s">
        <v>118</v>
      </c>
      <c r="J736" s="9" t="s">
        <v>5574</v>
      </c>
      <c r="K736" s="9" t="s">
        <v>5575</v>
      </c>
      <c r="L736" s="8" t="s">
        <v>3233</v>
      </c>
      <c r="M736" s="9" t="s">
        <v>49</v>
      </c>
      <c r="N736" s="9" t="s">
        <v>88</v>
      </c>
      <c r="O736" s="9">
        <f>HYPERLINK("https://www.google.com/maps/search/?api=1&amp;query=43.30808186,-2.94354768", "https://www.google.com/maps/search/?api=1&amp;query=43.30808186,-2.94354768")</f>
      </c>
      <c r="P736" s="9" t="s">
        <v>1349</v>
      </c>
      <c r="Q736" s="9" t="s">
        <v>2539</v>
      </c>
    </row>
    <row r="737" spans="1:17" x14ac:dyDescent="0.25">
      <c r="A737" s="8" t="s">
        <v>5576</v>
      </c>
      <c r="B737" s="8" t="s">
        <v>5577</v>
      </c>
      <c r="C737" s="9" t="s">
        <v>5578</v>
      </c>
      <c r="D737" s="9" t="s">
        <v>217</v>
      </c>
      <c r="E737" s="9" t="s">
        <v>271</v>
      </c>
      <c r="F737" s="10">
        <v>1.359</v>
      </c>
      <c r="G737" s="10">
        <v>1.495</v>
      </c>
      <c r="H737" s="10"/>
      <c r="I737" s="9" t="s">
        <v>45</v>
      </c>
      <c r="J737" s="9" t="s">
        <v>5579</v>
      </c>
      <c r="K737" s="9" t="s">
        <v>5580</v>
      </c>
      <c r="L737" s="8" t="s">
        <v>5581</v>
      </c>
      <c r="M737" s="9" t="s">
        <v>36</v>
      </c>
      <c r="N737" s="9" t="s">
        <v>37</v>
      </c>
      <c r="O737" s="9">
        <f>HYPERLINK("https://www.google.com/maps/search/?api=1&amp;query=36.69142417,-4.45689285", "https://www.google.com/maps/search/?api=1&amp;query=36.69142417,-4.45689285")</f>
      </c>
      <c r="P737" s="9" t="s">
        <v>897</v>
      </c>
      <c r="Q737" s="9" t="s">
        <v>2787</v>
      </c>
    </row>
    <row r="738" spans="1:17" x14ac:dyDescent="0.25">
      <c r="A738" s="8" t="s">
        <v>5582</v>
      </c>
      <c r="B738" s="8" t="s">
        <v>5583</v>
      </c>
      <c r="C738" s="9" t="s">
        <v>5584</v>
      </c>
      <c r="D738" s="9" t="s">
        <v>116</v>
      </c>
      <c r="E738" s="9" t="s">
        <v>5585</v>
      </c>
      <c r="F738" s="10">
        <v>1.359</v>
      </c>
      <c r="G738" s="10">
        <v>1.495</v>
      </c>
      <c r="H738" s="10"/>
      <c r="I738" s="9" t="s">
        <v>118</v>
      </c>
      <c r="J738" s="9" t="s">
        <v>5586</v>
      </c>
      <c r="K738" s="9" t="s">
        <v>5587</v>
      </c>
      <c r="L738" s="8" t="s">
        <v>5588</v>
      </c>
      <c r="M738" s="9" t="s">
        <v>36</v>
      </c>
      <c r="N738" s="9" t="s">
        <v>3034</v>
      </c>
      <c r="O738" s="9">
        <f>HYPERLINK("https://www.google.com/maps/search/?api=1&amp;query=43.22761766,-2.83837985", "https://www.google.com/maps/search/?api=1&amp;query=43.22761766,-2.83837985")</f>
      </c>
      <c r="P738" s="9" t="s">
        <v>3400</v>
      </c>
      <c r="Q738" s="9" t="s">
        <v>539</v>
      </c>
    </row>
    <row r="739" spans="1:17" x14ac:dyDescent="0.25">
      <c r="A739" s="8" t="s">
        <v>5589</v>
      </c>
      <c r="B739" s="8" t="s">
        <v>5590</v>
      </c>
      <c r="C739" s="9" t="s">
        <v>5591</v>
      </c>
      <c r="D739" s="9" t="s">
        <v>197</v>
      </c>
      <c r="E739" s="9" t="s">
        <v>3615</v>
      </c>
      <c r="F739" s="10">
        <v>1.359</v>
      </c>
      <c r="G739" s="10">
        <v>1.495</v>
      </c>
      <c r="H739" s="10"/>
      <c r="I739" s="9" t="s">
        <v>168</v>
      </c>
      <c r="J739" s="9" t="s">
        <v>5592</v>
      </c>
      <c r="K739" s="9" t="s">
        <v>5593</v>
      </c>
      <c r="L739" s="8" t="s">
        <v>3618</v>
      </c>
      <c r="M739" s="9" t="s">
        <v>36</v>
      </c>
      <c r="N739" s="9" t="s">
        <v>88</v>
      </c>
      <c r="O739" s="9">
        <f>HYPERLINK("https://www.google.com/maps/search/?api=1&amp;query=39.963742,-4.800581", "https://www.google.com/maps/search/?api=1&amp;query=39.963742,-4.800581")</f>
      </c>
      <c r="P739" s="9" t="s">
        <v>1751</v>
      </c>
      <c r="Q739" s="9" t="s">
        <v>5594</v>
      </c>
    </row>
    <row r="740" spans="1:17" x14ac:dyDescent="0.25">
      <c r="A740" s="8" t="s">
        <v>5595</v>
      </c>
      <c r="B740" s="8" t="s">
        <v>5596</v>
      </c>
      <c r="C740" s="9" t="s">
        <v>5597</v>
      </c>
      <c r="D740" s="9" t="s">
        <v>94</v>
      </c>
      <c r="E740" s="9" t="s">
        <v>709</v>
      </c>
      <c r="F740" s="10">
        <v>1.359</v>
      </c>
      <c r="G740" s="10">
        <v>1.495</v>
      </c>
      <c r="H740" s="10"/>
      <c r="I740" s="9" t="s">
        <v>96</v>
      </c>
      <c r="J740" s="9" t="s">
        <v>710</v>
      </c>
      <c r="K740" s="9" t="s">
        <v>5598</v>
      </c>
      <c r="L740" s="8" t="s">
        <v>712</v>
      </c>
      <c r="M740" s="9" t="s">
        <v>49</v>
      </c>
      <c r="N740" s="9" t="s">
        <v>88</v>
      </c>
      <c r="O740" s="9">
        <f>HYPERLINK("https://www.google.com/maps/search/?api=1&amp;query=41.63454739,2.3404299", "https://www.google.com/maps/search/?api=1&amp;query=41.63454739,2.3404299")</f>
      </c>
      <c r="P740" s="9" t="s">
        <v>5599</v>
      </c>
      <c r="Q740" s="9" t="s">
        <v>2175</v>
      </c>
    </row>
    <row r="741" spans="1:17" x14ac:dyDescent="0.25">
      <c r="A741" s="8" t="s">
        <v>5600</v>
      </c>
      <c r="B741" s="8" t="s">
        <v>5601</v>
      </c>
      <c r="C741" s="9" t="s">
        <v>5602</v>
      </c>
      <c r="D741" s="9" t="s">
        <v>155</v>
      </c>
      <c r="E741" s="9" t="s">
        <v>2394</v>
      </c>
      <c r="F741" s="10">
        <v>1.359</v>
      </c>
      <c r="G741" s="10">
        <v>1.495</v>
      </c>
      <c r="H741" s="10"/>
      <c r="I741" s="9" t="s">
        <v>157</v>
      </c>
      <c r="J741" s="9" t="s">
        <v>5603</v>
      </c>
      <c r="K741" s="9" t="s">
        <v>5604</v>
      </c>
      <c r="L741" s="8" t="s">
        <v>5605</v>
      </c>
      <c r="M741" s="9" t="s">
        <v>49</v>
      </c>
      <c r="N741" s="9" t="s">
        <v>483</v>
      </c>
      <c r="O741" s="9">
        <f>HYPERLINK("https://www.google.com/maps/search/?api=1&amp;query=39.59725433,2.67635939", "https://www.google.com/maps/search/?api=1&amp;query=39.59725433,2.67635939")</f>
      </c>
      <c r="P741" s="9" t="s">
        <v>258</v>
      </c>
      <c r="Q741" s="9" t="s">
        <v>458</v>
      </c>
    </row>
    <row r="742" spans="1:17" x14ac:dyDescent="0.25">
      <c r="A742" s="8" t="s">
        <v>5606</v>
      </c>
      <c r="B742" s="8" t="s">
        <v>5607</v>
      </c>
      <c r="C742" s="9" t="s">
        <v>5608</v>
      </c>
      <c r="D742" s="9" t="s">
        <v>43</v>
      </c>
      <c r="E742" s="9" t="s">
        <v>43</v>
      </c>
      <c r="F742" s="10">
        <v>1.359</v>
      </c>
      <c r="G742" s="10">
        <v>1.495</v>
      </c>
      <c r="H742" s="10"/>
      <c r="I742" s="9" t="s">
        <v>45</v>
      </c>
      <c r="J742" s="9" t="s">
        <v>5609</v>
      </c>
      <c r="K742" s="9" t="s">
        <v>5610</v>
      </c>
      <c r="L742" s="8" t="s">
        <v>4410</v>
      </c>
      <c r="M742" s="9" t="s">
        <v>49</v>
      </c>
      <c r="N742" s="9" t="s">
        <v>37</v>
      </c>
      <c r="O742" s="9">
        <f>HYPERLINK("https://www.google.com/maps/search/?api=1&amp;query=37.26766151,-6.95823732", "https://www.google.com/maps/search/?api=1&amp;query=37.26766151,-6.95823732")</f>
      </c>
      <c r="P742" s="9" t="s">
        <v>374</v>
      </c>
      <c r="Q742" s="9" t="s">
        <v>697</v>
      </c>
    </row>
    <row r="743" spans="1:17" x14ac:dyDescent="0.25">
      <c r="A743" s="8" t="s">
        <v>5611</v>
      </c>
      <c r="B743" s="8" t="s">
        <v>5612</v>
      </c>
      <c r="C743" s="9" t="s">
        <v>5613</v>
      </c>
      <c r="D743" s="9" t="s">
        <v>138</v>
      </c>
      <c r="E743" s="9" t="s">
        <v>5614</v>
      </c>
      <c r="F743" s="10">
        <v>1.359</v>
      </c>
      <c r="G743" s="10">
        <v>1.495</v>
      </c>
      <c r="H743" s="10"/>
      <c r="I743" s="9" t="s">
        <v>140</v>
      </c>
      <c r="J743" s="9" t="s">
        <v>5615</v>
      </c>
      <c r="K743" s="9" t="s">
        <v>5616</v>
      </c>
      <c r="L743" s="8" t="s">
        <v>5617</v>
      </c>
      <c r="M743" s="9" t="s">
        <v>36</v>
      </c>
      <c r="N743" s="9" t="s">
        <v>5618</v>
      </c>
      <c r="O743" s="9">
        <f>HYPERLINK("https://www.google.com/maps/search/?api=1&amp;query=42.53637237,-8.75614037", "https://www.google.com/maps/search/?api=1&amp;query=42.53637237,-8.75614037")</f>
      </c>
      <c r="P743" s="9" t="s">
        <v>56</v>
      </c>
      <c r="Q743" s="9" t="s">
        <v>2998</v>
      </c>
    </row>
    <row r="744" spans="1:17" x14ac:dyDescent="0.25">
      <c r="A744" s="8" t="s">
        <v>5619</v>
      </c>
      <c r="B744" s="8" t="s">
        <v>5620</v>
      </c>
      <c r="C744" s="9" t="s">
        <v>5621</v>
      </c>
      <c r="D744" s="9" t="s">
        <v>307</v>
      </c>
      <c r="E744" s="9" t="s">
        <v>3479</v>
      </c>
      <c r="F744" s="10">
        <v>1.359</v>
      </c>
      <c r="G744" s="10">
        <v>1.495</v>
      </c>
      <c r="H744" s="10"/>
      <c r="I744" s="9" t="s">
        <v>74</v>
      </c>
      <c r="J744" s="9" t="s">
        <v>5622</v>
      </c>
      <c r="K744" s="9" t="s">
        <v>5623</v>
      </c>
      <c r="L744" s="8" t="s">
        <v>3482</v>
      </c>
      <c r="M744" s="9" t="s">
        <v>49</v>
      </c>
      <c r="N744" s="9" t="s">
        <v>211</v>
      </c>
      <c r="O744" s="9">
        <f>HYPERLINK("https://www.google.com/maps/search/?api=1&amp;query=42.02209809,-5.85269482", "https://www.google.com/maps/search/?api=1&amp;query=42.02209809,-5.85269482")</f>
      </c>
      <c r="P744" s="9" t="s">
        <v>780</v>
      </c>
      <c r="Q744" s="9" t="s">
        <v>5624</v>
      </c>
    </row>
    <row r="745" spans="1:17" x14ac:dyDescent="0.25">
      <c r="A745" s="8" t="s">
        <v>5625</v>
      </c>
      <c r="B745" s="8" t="s">
        <v>5626</v>
      </c>
      <c r="C745" s="9" t="s">
        <v>5627</v>
      </c>
      <c r="D745" s="9" t="s">
        <v>83</v>
      </c>
      <c r="E745" s="9" t="s">
        <v>5628</v>
      </c>
      <c r="F745" s="10">
        <v>1.359</v>
      </c>
      <c r="G745" s="10">
        <v>1.495</v>
      </c>
      <c r="H745" s="10"/>
      <c r="I745" s="9" t="s">
        <v>83</v>
      </c>
      <c r="J745" s="9" t="s">
        <v>5629</v>
      </c>
      <c r="K745" s="9" t="s">
        <v>5630</v>
      </c>
      <c r="L745" s="8" t="s">
        <v>5631</v>
      </c>
      <c r="M745" s="9" t="s">
        <v>49</v>
      </c>
      <c r="N745" s="9" t="s">
        <v>5632</v>
      </c>
      <c r="O745" s="9">
        <f>HYPERLINK("https://www.google.com/maps/search/?api=1&amp;query=40.30070954,-4.44411288", "https://www.google.com/maps/search/?api=1&amp;query=40.30070954,-4.44411288")</f>
      </c>
      <c r="P745" s="9" t="s">
        <v>646</v>
      </c>
      <c r="Q745" s="9" t="s">
        <v>618</v>
      </c>
    </row>
    <row r="746" spans="1:17" x14ac:dyDescent="0.25">
      <c r="A746" s="8" t="s">
        <v>5633</v>
      </c>
      <c r="B746" s="8" t="s">
        <v>5634</v>
      </c>
      <c r="C746" s="9" t="s">
        <v>5635</v>
      </c>
      <c r="D746" s="9" t="s">
        <v>434</v>
      </c>
      <c r="E746" s="9" t="s">
        <v>5636</v>
      </c>
      <c r="F746" s="10">
        <v>1.359</v>
      </c>
      <c r="G746" s="10">
        <v>1.495</v>
      </c>
      <c r="H746" s="10"/>
      <c r="I746" s="9" t="s">
        <v>96</v>
      </c>
      <c r="J746" s="9" t="s">
        <v>5637</v>
      </c>
      <c r="K746" s="9" t="s">
        <v>5638</v>
      </c>
      <c r="L746" s="8" t="s">
        <v>5639</v>
      </c>
      <c r="M746" s="9" t="s">
        <v>49</v>
      </c>
      <c r="N746" s="9" t="s">
        <v>88</v>
      </c>
      <c r="O746" s="9">
        <f>HYPERLINK("https://www.google.com/maps/search/?api=1&amp;query=41.91199372,3.15393106", "https://www.google.com/maps/search/?api=1&amp;query=41.91199372,3.15393106")</f>
      </c>
      <c r="P746" s="9" t="s">
        <v>1637</v>
      </c>
      <c r="Q746" s="9" t="s">
        <v>1760</v>
      </c>
    </row>
    <row r="747" spans="1:17" x14ac:dyDescent="0.25">
      <c r="A747" s="8" t="s">
        <v>5640</v>
      </c>
      <c r="B747" s="8" t="s">
        <v>5641</v>
      </c>
      <c r="C747" s="9" t="s">
        <v>5642</v>
      </c>
      <c r="D747" s="9" t="s">
        <v>94</v>
      </c>
      <c r="E747" s="9" t="s">
        <v>94</v>
      </c>
      <c r="F747" s="10">
        <v>1.359</v>
      </c>
      <c r="G747" s="10">
        <v>1.495</v>
      </c>
      <c r="H747" s="10"/>
      <c r="I747" s="9" t="s">
        <v>96</v>
      </c>
      <c r="J747" s="9" t="s">
        <v>5643</v>
      </c>
      <c r="K747" s="9" t="s">
        <v>5644</v>
      </c>
      <c r="L747" s="8" t="s">
        <v>5215</v>
      </c>
      <c r="M747" s="9" t="s">
        <v>49</v>
      </c>
      <c r="N747" s="9" t="s">
        <v>37</v>
      </c>
      <c r="O747" s="9">
        <f>HYPERLINK("https://www.google.com/maps/search/?api=1&amp;query=41.43289165,2.20691345", "https://www.google.com/maps/search/?api=1&amp;query=41.43289165,2.20691345")</f>
      </c>
      <c r="P747" s="9" t="s">
        <v>5569</v>
      </c>
      <c r="Q747" s="9" t="s">
        <v>5645</v>
      </c>
    </row>
    <row r="748" spans="1:17" x14ac:dyDescent="0.25">
      <c r="A748" s="8" t="s">
        <v>5646</v>
      </c>
      <c r="B748" s="8" t="s">
        <v>5647</v>
      </c>
      <c r="C748" s="9" t="s">
        <v>5648</v>
      </c>
      <c r="D748" s="9" t="s">
        <v>138</v>
      </c>
      <c r="E748" s="9" t="s">
        <v>2163</v>
      </c>
      <c r="F748" s="10">
        <v>1.359</v>
      </c>
      <c r="G748" s="10">
        <v>1.495</v>
      </c>
      <c r="H748" s="10"/>
      <c r="I748" s="9" t="s">
        <v>140</v>
      </c>
      <c r="J748" s="9" t="s">
        <v>5649</v>
      </c>
      <c r="K748" s="9" t="s">
        <v>5650</v>
      </c>
      <c r="L748" s="8" t="s">
        <v>5651</v>
      </c>
      <c r="M748" s="9" t="s">
        <v>36</v>
      </c>
      <c r="N748" s="9" t="s">
        <v>211</v>
      </c>
      <c r="O748" s="9">
        <f>HYPERLINK("https://www.google.com/maps/search/?api=1&amp;query=42.22008697,-8.70511764", "https://www.google.com/maps/search/?api=1&amp;query=42.22008697,-8.70511764")</f>
      </c>
      <c r="P748" s="9" t="s">
        <v>182</v>
      </c>
      <c r="Q748" s="9" t="s">
        <v>4037</v>
      </c>
    </row>
    <row r="749" spans="1:17" x14ac:dyDescent="0.25">
      <c r="A749" s="8" t="s">
        <v>5652</v>
      </c>
      <c r="B749" s="8" t="s">
        <v>5653</v>
      </c>
      <c r="C749" s="9" t="s">
        <v>5654</v>
      </c>
      <c r="D749" s="9" t="s">
        <v>1282</v>
      </c>
      <c r="E749" s="9" t="s">
        <v>5655</v>
      </c>
      <c r="F749" s="10">
        <v>1.359</v>
      </c>
      <c r="G749" s="10">
        <v>1.495</v>
      </c>
      <c r="H749" s="10"/>
      <c r="I749" s="9" t="s">
        <v>45</v>
      </c>
      <c r="J749" s="9" t="s">
        <v>5656</v>
      </c>
      <c r="K749" s="9" t="s">
        <v>5657</v>
      </c>
      <c r="L749" s="8" t="s">
        <v>5658</v>
      </c>
      <c r="M749" s="9" t="s">
        <v>100</v>
      </c>
      <c r="N749" s="9" t="s">
        <v>88</v>
      </c>
      <c r="O749" s="9">
        <f>HYPERLINK("https://www.google.com/maps/search/?api=1&amp;query=37.04655466,-3.65440719", "https://www.google.com/maps/search/?api=1&amp;query=37.04655466,-3.65440719")</f>
      </c>
      <c r="P749" s="9" t="s">
        <v>5659</v>
      </c>
      <c r="Q749" s="9" t="s">
        <v>5660</v>
      </c>
    </row>
    <row r="750" spans="1:17" x14ac:dyDescent="0.25">
      <c r="A750" s="8" t="s">
        <v>5661</v>
      </c>
      <c r="B750" s="8" t="s">
        <v>5662</v>
      </c>
      <c r="C750" s="9" t="s">
        <v>5663</v>
      </c>
      <c r="D750" s="9" t="s">
        <v>631</v>
      </c>
      <c r="E750" s="9" t="s">
        <v>1047</v>
      </c>
      <c r="F750" s="10">
        <v>1.359</v>
      </c>
      <c r="G750" s="10">
        <v>1.495</v>
      </c>
      <c r="H750" s="10"/>
      <c r="I750" s="9" t="s">
        <v>45</v>
      </c>
      <c r="J750" s="9" t="s">
        <v>5664</v>
      </c>
      <c r="K750" s="9" t="s">
        <v>5665</v>
      </c>
      <c r="L750" s="8" t="s">
        <v>1893</v>
      </c>
      <c r="M750" s="9" t="s">
        <v>49</v>
      </c>
      <c r="N750" s="9" t="s">
        <v>66</v>
      </c>
      <c r="O750" s="9">
        <f>HYPERLINK("https://www.google.com/maps/search/?api=1&amp;query=37.8860022,-4.78613748", "https://www.google.com/maps/search/?api=1&amp;query=37.8860022,-4.78613748")</f>
      </c>
      <c r="P750" s="9" t="s">
        <v>1287</v>
      </c>
      <c r="Q750" s="9" t="s">
        <v>565</v>
      </c>
    </row>
    <row r="751" spans="1:17" x14ac:dyDescent="0.25">
      <c r="A751" s="8" t="s">
        <v>5666</v>
      </c>
      <c r="B751" s="8" t="s">
        <v>5667</v>
      </c>
      <c r="C751" s="9" t="s">
        <v>5668</v>
      </c>
      <c r="D751" s="9" t="s">
        <v>631</v>
      </c>
      <c r="E751" s="9" t="s">
        <v>1047</v>
      </c>
      <c r="F751" s="10">
        <v>1.359</v>
      </c>
      <c r="G751" s="10">
        <v>1.495</v>
      </c>
      <c r="H751" s="10"/>
      <c r="I751" s="9" t="s">
        <v>45</v>
      </c>
      <c r="J751" s="9" t="s">
        <v>5669</v>
      </c>
      <c r="K751" s="9" t="s">
        <v>5670</v>
      </c>
      <c r="L751" s="8" t="s">
        <v>1893</v>
      </c>
      <c r="M751" s="9" t="s">
        <v>36</v>
      </c>
      <c r="N751" s="9" t="s">
        <v>37</v>
      </c>
      <c r="O751" s="9">
        <f>HYPERLINK("https://www.google.com/maps/search/?api=1&amp;query=37.8926807,-4.68310914", "https://www.google.com/maps/search/?api=1&amp;query=37.8926807,-4.68310914")</f>
      </c>
      <c r="P751" s="9" t="s">
        <v>3580</v>
      </c>
      <c r="Q751" s="9" t="s">
        <v>112</v>
      </c>
    </row>
    <row r="752" spans="1:17" x14ac:dyDescent="0.25">
      <c r="A752" s="8" t="s">
        <v>5671</v>
      </c>
      <c r="B752" s="8" t="s">
        <v>5672</v>
      </c>
      <c r="C752" s="9" t="s">
        <v>5673</v>
      </c>
      <c r="D752" s="9" t="s">
        <v>217</v>
      </c>
      <c r="E752" s="9" t="s">
        <v>271</v>
      </c>
      <c r="F752" s="10">
        <v>1.359</v>
      </c>
      <c r="G752" s="10">
        <v>1.495</v>
      </c>
      <c r="H752" s="10"/>
      <c r="I752" s="9" t="s">
        <v>45</v>
      </c>
      <c r="J752" s="9" t="s">
        <v>5674</v>
      </c>
      <c r="K752" s="9" t="s">
        <v>5675</v>
      </c>
      <c r="L752" s="8" t="s">
        <v>274</v>
      </c>
      <c r="M752" s="9" t="s">
        <v>49</v>
      </c>
      <c r="N752" s="9" t="s">
        <v>88</v>
      </c>
      <c r="O752" s="9">
        <f>HYPERLINK("https://www.google.com/maps/search/?api=1&amp;query=36.70716313,-4.47200856", "https://www.google.com/maps/search/?api=1&amp;query=36.70716313,-4.47200856")</f>
      </c>
      <c r="P752" s="9" t="s">
        <v>557</v>
      </c>
      <c r="Q752" s="9" t="s">
        <v>4247</v>
      </c>
    </row>
    <row r="753" spans="1:17" x14ac:dyDescent="0.25">
      <c r="A753" s="8" t="s">
        <v>5676</v>
      </c>
      <c r="B753" s="8" t="s">
        <v>5677</v>
      </c>
      <c r="C753" s="9" t="s">
        <v>5678</v>
      </c>
      <c r="D753" s="9" t="s">
        <v>469</v>
      </c>
      <c r="E753" s="9" t="s">
        <v>2948</v>
      </c>
      <c r="F753" s="10">
        <v>1.359</v>
      </c>
      <c r="G753" s="10">
        <v>1.495</v>
      </c>
      <c r="H753" s="10"/>
      <c r="I753" s="9" t="s">
        <v>74</v>
      </c>
      <c r="J753" s="9" t="s">
        <v>5679</v>
      </c>
      <c r="K753" s="9" t="s">
        <v>5680</v>
      </c>
      <c r="L753" s="8" t="s">
        <v>2951</v>
      </c>
      <c r="M753" s="9" t="s">
        <v>49</v>
      </c>
      <c r="N753" s="9" t="s">
        <v>211</v>
      </c>
      <c r="O753" s="9">
        <f>HYPERLINK("https://www.google.com/maps/search/?api=1&amp;query=40.3895457,-5.75073834", "https://www.google.com/maps/search/?api=1&amp;query=40.3895457,-5.75073834")</f>
      </c>
      <c r="P753" s="9" t="s">
        <v>780</v>
      </c>
      <c r="Q753" s="9" t="s">
        <v>286</v>
      </c>
    </row>
    <row r="754" spans="1:17" x14ac:dyDescent="0.25">
      <c r="A754" s="8" t="s">
        <v>5681</v>
      </c>
      <c r="B754" s="8" t="s">
        <v>5682</v>
      </c>
      <c r="C754" s="9" t="s">
        <v>5683</v>
      </c>
      <c r="D754" s="9" t="s">
        <v>344</v>
      </c>
      <c r="E754" s="9" t="s">
        <v>5684</v>
      </c>
      <c r="F754" s="10">
        <v>1.359</v>
      </c>
      <c r="G754" s="10">
        <v>1.495</v>
      </c>
      <c r="H754" s="10"/>
      <c r="I754" s="9" t="s">
        <v>140</v>
      </c>
      <c r="J754" s="9" t="s">
        <v>5685</v>
      </c>
      <c r="K754" s="9" t="s">
        <v>5686</v>
      </c>
      <c r="L754" s="8" t="s">
        <v>5687</v>
      </c>
      <c r="M754" s="9" t="s">
        <v>49</v>
      </c>
      <c r="N754" s="9" t="s">
        <v>37</v>
      </c>
      <c r="O754" s="9">
        <f>HYPERLINK("https://www.google.com/maps/search/?api=1&amp;query=43.27540082,-8.52940773", "https://www.google.com/maps/search/?api=1&amp;query=43.27540082,-8.52940773")</f>
      </c>
      <c r="P754" s="9" t="s">
        <v>1250</v>
      </c>
      <c r="Q754" s="9" t="s">
        <v>5688</v>
      </c>
    </row>
    <row r="755" spans="1:17" x14ac:dyDescent="0.25">
      <c r="A755" s="8" t="s">
        <v>5689</v>
      </c>
      <c r="B755" s="8" t="s">
        <v>5690</v>
      </c>
      <c r="C755" s="9" t="s">
        <v>5691</v>
      </c>
      <c r="D755" s="9" t="s">
        <v>155</v>
      </c>
      <c r="E755" s="9" t="s">
        <v>5692</v>
      </c>
      <c r="F755" s="10">
        <v>1.359</v>
      </c>
      <c r="G755" s="10">
        <v>1.495</v>
      </c>
      <c r="H755" s="10"/>
      <c r="I755" s="9" t="s">
        <v>157</v>
      </c>
      <c r="J755" s="9" t="s">
        <v>5693</v>
      </c>
      <c r="K755" s="9" t="s">
        <v>5694</v>
      </c>
      <c r="L755" s="8" t="s">
        <v>5695</v>
      </c>
      <c r="M755" s="9" t="s">
        <v>100</v>
      </c>
      <c r="N755" s="9" t="s">
        <v>88</v>
      </c>
      <c r="O755" s="9">
        <f>HYPERLINK("https://www.google.com/maps/search/?api=1&amp;query=39.54303496,2.59191314", "https://www.google.com/maps/search/?api=1&amp;query=39.54303496,2.59191314")</f>
      </c>
      <c r="P755" s="9" t="s">
        <v>419</v>
      </c>
      <c r="Q755" s="9" t="s">
        <v>714</v>
      </c>
    </row>
    <row r="756" spans="1:17" x14ac:dyDescent="0.25">
      <c r="A756" s="8" t="s">
        <v>5696</v>
      </c>
      <c r="B756" s="8" t="s">
        <v>5697</v>
      </c>
      <c r="C756" s="9" t="s">
        <v>5698</v>
      </c>
      <c r="D756" s="9" t="s">
        <v>177</v>
      </c>
      <c r="E756" s="9" t="s">
        <v>177</v>
      </c>
      <c r="F756" s="10">
        <v>1.359</v>
      </c>
      <c r="G756" s="10">
        <v>1.495</v>
      </c>
      <c r="H756" s="10"/>
      <c r="I756" s="9" t="s">
        <v>74</v>
      </c>
      <c r="J756" s="9" t="s">
        <v>5699</v>
      </c>
      <c r="K756" s="9" t="s">
        <v>5700</v>
      </c>
      <c r="L756" s="8" t="s">
        <v>1380</v>
      </c>
      <c r="M756" s="9" t="s">
        <v>49</v>
      </c>
      <c r="N756" s="9" t="s">
        <v>211</v>
      </c>
      <c r="O756" s="9">
        <f>HYPERLINK("https://www.google.com/maps/search/?api=1&amp;query=41.62153532,-4.75627505", "https://www.google.com/maps/search/?api=1&amp;query=41.62153532,-4.75627505")</f>
      </c>
      <c r="P756" s="9" t="s">
        <v>600</v>
      </c>
      <c r="Q756" s="9" t="s">
        <v>539</v>
      </c>
    </row>
    <row r="757" spans="1:17" x14ac:dyDescent="0.25">
      <c r="A757" s="8" t="s">
        <v>5701</v>
      </c>
      <c r="B757" s="8" t="s">
        <v>5702</v>
      </c>
      <c r="C757" s="9" t="s">
        <v>5703</v>
      </c>
      <c r="D757" s="9" t="s">
        <v>83</v>
      </c>
      <c r="E757" s="9" t="s">
        <v>5704</v>
      </c>
      <c r="F757" s="10">
        <v>1.359</v>
      </c>
      <c r="G757" s="10">
        <v>1.495</v>
      </c>
      <c r="H757" s="10"/>
      <c r="I757" s="9" t="s">
        <v>83</v>
      </c>
      <c r="J757" s="9" t="s">
        <v>5705</v>
      </c>
      <c r="K757" s="9" t="s">
        <v>5706</v>
      </c>
      <c r="L757" s="8" t="s">
        <v>5707</v>
      </c>
      <c r="M757" s="9" t="s">
        <v>49</v>
      </c>
      <c r="N757" s="9" t="s">
        <v>88</v>
      </c>
      <c r="O757" s="9">
        <f>HYPERLINK("https://www.google.com/maps/search/?api=1&amp;query=40.2567991,-3.37612138", "https://www.google.com/maps/search/?api=1&amp;query=40.2567991,-3.37612138")</f>
      </c>
      <c r="P757" s="9" t="s">
        <v>5708</v>
      </c>
      <c r="Q757" s="9" t="s">
        <v>1242</v>
      </c>
    </row>
    <row r="758" spans="1:17" x14ac:dyDescent="0.25">
      <c r="A758" s="8" t="s">
        <v>5709</v>
      </c>
      <c r="B758" s="8" t="s">
        <v>5710</v>
      </c>
      <c r="C758" s="9" t="s">
        <v>5711</v>
      </c>
      <c r="D758" s="9" t="s">
        <v>253</v>
      </c>
      <c r="E758" s="9" t="s">
        <v>5712</v>
      </c>
      <c r="F758" s="10">
        <v>1.359</v>
      </c>
      <c r="G758" s="10">
        <v>1.495</v>
      </c>
      <c r="H758" s="10"/>
      <c r="I758" s="9" t="s">
        <v>96</v>
      </c>
      <c r="J758" s="9" t="s">
        <v>5713</v>
      </c>
      <c r="K758" s="9" t="s">
        <v>5714</v>
      </c>
      <c r="L758" s="8" t="s">
        <v>5715</v>
      </c>
      <c r="M758" s="9" t="s">
        <v>36</v>
      </c>
      <c r="N758" s="9" t="s">
        <v>88</v>
      </c>
      <c r="O758" s="9">
        <f>HYPERLINK("https://www.google.com/maps/search/?api=1&amp;query=41.19181117,1.59611062", "https://www.google.com/maps/search/?api=1&amp;query=41.19181117,1.59611062")</f>
      </c>
      <c r="P758" s="9" t="s">
        <v>5716</v>
      </c>
      <c r="Q758" s="9" t="s">
        <v>1525</v>
      </c>
    </row>
    <row r="759" spans="1:17" x14ac:dyDescent="0.25">
      <c r="A759" s="8" t="s">
        <v>5717</v>
      </c>
      <c r="B759" s="8" t="s">
        <v>5718</v>
      </c>
      <c r="C759" s="9" t="s">
        <v>5719</v>
      </c>
      <c r="D759" s="9" t="s">
        <v>83</v>
      </c>
      <c r="E759" s="9" t="s">
        <v>5720</v>
      </c>
      <c r="F759" s="10">
        <v>1.359</v>
      </c>
      <c r="G759" s="10">
        <v>1.495</v>
      </c>
      <c r="H759" s="10"/>
      <c r="I759" s="9" t="s">
        <v>83</v>
      </c>
      <c r="J759" s="9" t="s">
        <v>5721</v>
      </c>
      <c r="K759" s="9" t="s">
        <v>5722</v>
      </c>
      <c r="L759" s="8" t="s">
        <v>5723</v>
      </c>
      <c r="M759" s="9" t="s">
        <v>49</v>
      </c>
      <c r="N759" s="9" t="s">
        <v>66</v>
      </c>
      <c r="O759" s="9">
        <f>HYPERLINK("https://www.google.com/maps/search/?api=1&amp;query=40.49945616,-4.05978569", "https://www.google.com/maps/search/?api=1&amp;query=40.49945616,-4.05978569")</f>
      </c>
      <c r="P759" s="9" t="s">
        <v>4157</v>
      </c>
      <c r="Q759" s="9" t="s">
        <v>664</v>
      </c>
    </row>
    <row r="760" spans="1:17" x14ac:dyDescent="0.25">
      <c r="A760" s="8" t="s">
        <v>5724</v>
      </c>
      <c r="B760" s="8" t="s">
        <v>5725</v>
      </c>
      <c r="C760" s="9" t="s">
        <v>5726</v>
      </c>
      <c r="D760" s="9" t="s">
        <v>83</v>
      </c>
      <c r="E760" s="9" t="s">
        <v>2251</v>
      </c>
      <c r="F760" s="10">
        <v>1.359</v>
      </c>
      <c r="G760" s="10">
        <v>1.495</v>
      </c>
      <c r="H760" s="10"/>
      <c r="I760" s="9" t="s">
        <v>83</v>
      </c>
      <c r="J760" s="9" t="s">
        <v>2252</v>
      </c>
      <c r="K760" s="9" t="s">
        <v>5727</v>
      </c>
      <c r="L760" s="8" t="s">
        <v>2254</v>
      </c>
      <c r="M760" s="9" t="s">
        <v>100</v>
      </c>
      <c r="N760" s="9" t="s">
        <v>37</v>
      </c>
      <c r="O760" s="9">
        <f>HYPERLINK("https://www.google.com/maps/search/?api=1&amp;query=40.44902596,-3.5224052", "https://www.google.com/maps/search/?api=1&amp;query=40.44902596,-3.5224052")</f>
      </c>
      <c r="P760" s="9" t="s">
        <v>5365</v>
      </c>
      <c r="Q760" s="9" t="s">
        <v>5728</v>
      </c>
    </row>
    <row r="761" spans="1:17" x14ac:dyDescent="0.25">
      <c r="A761" s="8" t="s">
        <v>5729</v>
      </c>
      <c r="B761" s="8" t="s">
        <v>5730</v>
      </c>
      <c r="C761" s="9" t="s">
        <v>5731</v>
      </c>
      <c r="D761" s="9" t="s">
        <v>197</v>
      </c>
      <c r="E761" s="9" t="s">
        <v>5732</v>
      </c>
      <c r="F761" s="10">
        <v>1.359</v>
      </c>
      <c r="G761" s="10">
        <v>1.495</v>
      </c>
      <c r="H761" s="10"/>
      <c r="I761" s="9" t="s">
        <v>168</v>
      </c>
      <c r="J761" s="9" t="s">
        <v>5733</v>
      </c>
      <c r="K761" s="9" t="s">
        <v>5734</v>
      </c>
      <c r="L761" s="8" t="s">
        <v>5735</v>
      </c>
      <c r="M761" s="9" t="s">
        <v>49</v>
      </c>
      <c r="N761" s="9" t="s">
        <v>37</v>
      </c>
      <c r="O761" s="9">
        <f>HYPERLINK("https://www.google.com/maps/search/?api=1&amp;query=40.18402678,-4.13581542", "https://www.google.com/maps/search/?api=1&amp;query=40.18402678,-4.13581542")</f>
      </c>
      <c r="P761" s="9" t="s">
        <v>321</v>
      </c>
      <c r="Q761" s="9" t="s">
        <v>5736</v>
      </c>
    </row>
    <row r="762" spans="1:17" x14ac:dyDescent="0.25">
      <c r="A762" s="8" t="s">
        <v>5737</v>
      </c>
      <c r="B762" s="8" t="s">
        <v>5738</v>
      </c>
      <c r="C762" s="9" t="s">
        <v>5739</v>
      </c>
      <c r="D762" s="9" t="s">
        <v>280</v>
      </c>
      <c r="E762" s="9" t="s">
        <v>3541</v>
      </c>
      <c r="F762" s="10">
        <v>1.359</v>
      </c>
      <c r="G762" s="10">
        <v>1.495</v>
      </c>
      <c r="H762" s="10"/>
      <c r="I762" s="9" t="s">
        <v>118</v>
      </c>
      <c r="J762" s="9" t="s">
        <v>5740</v>
      </c>
      <c r="K762" s="9" t="s">
        <v>5741</v>
      </c>
      <c r="L762" s="8" t="s">
        <v>5742</v>
      </c>
      <c r="M762" s="9" t="s">
        <v>100</v>
      </c>
      <c r="N762" s="9" t="s">
        <v>37</v>
      </c>
      <c r="O762" s="9">
        <f>HYPERLINK("https://www.google.com/maps/search/?api=1&amp;query=43.29980147,-2.00197725", "https://www.google.com/maps/search/?api=1&amp;query=43.29980147,-2.00197725")</f>
      </c>
      <c r="P762" s="9" t="s">
        <v>822</v>
      </c>
      <c r="Q762" s="9" t="s">
        <v>804</v>
      </c>
    </row>
    <row r="763" spans="1:17" x14ac:dyDescent="0.25">
      <c r="A763" s="8" t="s">
        <v>5743</v>
      </c>
      <c r="B763" s="8" t="s">
        <v>5744</v>
      </c>
      <c r="C763" s="9" t="s">
        <v>5745</v>
      </c>
      <c r="D763" s="9" t="s">
        <v>379</v>
      </c>
      <c r="E763" s="9" t="s">
        <v>5746</v>
      </c>
      <c r="F763" s="10">
        <v>1.359</v>
      </c>
      <c r="G763" s="10">
        <v>1.495</v>
      </c>
      <c r="H763" s="10"/>
      <c r="I763" s="9" t="s">
        <v>379</v>
      </c>
      <c r="J763" s="9" t="s">
        <v>5747</v>
      </c>
      <c r="K763" s="9" t="s">
        <v>5748</v>
      </c>
      <c r="L763" s="8" t="s">
        <v>2198</v>
      </c>
      <c r="M763" s="9" t="s">
        <v>100</v>
      </c>
      <c r="N763" s="9" t="s">
        <v>88</v>
      </c>
      <c r="O763" s="9">
        <f>HYPERLINK("https://www.google.com/maps/search/?api=1&amp;query=42.84000763,-1.67667457", "https://www.google.com/maps/search/?api=1&amp;query=42.84000763,-1.67667457")</f>
      </c>
      <c r="P763" s="9" t="s">
        <v>78</v>
      </c>
      <c r="Q763" s="9" t="s">
        <v>5570</v>
      </c>
    </row>
    <row r="764" spans="1:17" x14ac:dyDescent="0.25">
      <c r="A764" s="8" t="s">
        <v>5749</v>
      </c>
      <c r="B764" s="8" t="s">
        <v>5750</v>
      </c>
      <c r="C764" s="9" t="s">
        <v>5751</v>
      </c>
      <c r="D764" s="9" t="s">
        <v>83</v>
      </c>
      <c r="E764" s="9" t="s">
        <v>83</v>
      </c>
      <c r="F764" s="10">
        <v>1.359</v>
      </c>
      <c r="G764" s="10">
        <v>1.495</v>
      </c>
      <c r="H764" s="10"/>
      <c r="I764" s="9" t="s">
        <v>83</v>
      </c>
      <c r="J764" s="9" t="s">
        <v>5752</v>
      </c>
      <c r="K764" s="9" t="s">
        <v>5753</v>
      </c>
      <c r="L764" s="8" t="s">
        <v>5754</v>
      </c>
      <c r="M764" s="9" t="s">
        <v>49</v>
      </c>
      <c r="N764" s="9" t="s">
        <v>88</v>
      </c>
      <c r="O764" s="9">
        <f>HYPERLINK("https://www.google.com/maps/search/?api=1&amp;query=40.47920658,-3.72588497", "https://www.google.com/maps/search/?api=1&amp;query=40.47920658,-3.72588497")</f>
      </c>
      <c r="P764" s="9" t="s">
        <v>564</v>
      </c>
      <c r="Q764" s="9" t="s">
        <v>5312</v>
      </c>
    </row>
    <row r="765" spans="1:17" x14ac:dyDescent="0.25">
      <c r="A765" s="8" t="s">
        <v>5755</v>
      </c>
      <c r="B765" s="8" t="s">
        <v>5756</v>
      </c>
      <c r="C765" s="9" t="s">
        <v>5757</v>
      </c>
      <c r="D765" s="9" t="s">
        <v>128</v>
      </c>
      <c r="E765" s="9" t="s">
        <v>4571</v>
      </c>
      <c r="F765" s="10">
        <v>1.359</v>
      </c>
      <c r="G765" s="10">
        <v>1.495</v>
      </c>
      <c r="H765" s="10"/>
      <c r="I765" s="9" t="s">
        <v>45</v>
      </c>
      <c r="J765" s="9" t="s">
        <v>5758</v>
      </c>
      <c r="K765" s="9" t="s">
        <v>5759</v>
      </c>
      <c r="L765" s="8" t="s">
        <v>4574</v>
      </c>
      <c r="M765" s="9" t="s">
        <v>36</v>
      </c>
      <c r="N765" s="9" t="s">
        <v>66</v>
      </c>
      <c r="O765" s="9">
        <f>HYPERLINK("https://www.google.com/maps/search/?api=1&amp;query=36.59898066,-6.2401518", "https://www.google.com/maps/search/?api=1&amp;query=36.59898066,-6.2401518")</f>
      </c>
      <c r="P765" s="9" t="s">
        <v>5760</v>
      </c>
      <c r="Q765" s="9" t="s">
        <v>697</v>
      </c>
    </row>
    <row r="766" spans="1:17" x14ac:dyDescent="0.25">
      <c r="A766" s="8" t="s">
        <v>5761</v>
      </c>
      <c r="B766" s="8" t="s">
        <v>5762</v>
      </c>
      <c r="C766" s="9" t="s">
        <v>5763</v>
      </c>
      <c r="D766" s="9" t="s">
        <v>1434</v>
      </c>
      <c r="E766" s="9" t="s">
        <v>2899</v>
      </c>
      <c r="F766" s="10">
        <v>1.359</v>
      </c>
      <c r="G766" s="10">
        <v>1.495</v>
      </c>
      <c r="H766" s="10"/>
      <c r="I766" s="9" t="s">
        <v>1434</v>
      </c>
      <c r="J766" s="9" t="s">
        <v>5764</v>
      </c>
      <c r="K766" s="9" t="s">
        <v>5765</v>
      </c>
      <c r="L766" s="8" t="s">
        <v>2902</v>
      </c>
      <c r="M766" s="9" t="s">
        <v>49</v>
      </c>
      <c r="N766" s="9" t="s">
        <v>88</v>
      </c>
      <c r="O766" s="9">
        <f>HYPERLINK("https://www.google.com/maps/search/?api=1&amp;query=42.45415584,-2.46638269", "https://www.google.com/maps/search/?api=1&amp;query=42.45415584,-2.46638269")</f>
      </c>
      <c r="P766" s="9" t="s">
        <v>5766</v>
      </c>
      <c r="Q766" s="9" t="s">
        <v>5767</v>
      </c>
    </row>
    <row r="767" spans="1:17" x14ac:dyDescent="0.25">
      <c r="A767" s="8" t="s">
        <v>5768</v>
      </c>
      <c r="B767" s="8" t="s">
        <v>5769</v>
      </c>
      <c r="C767" s="9" t="s">
        <v>5770</v>
      </c>
      <c r="D767" s="9" t="s">
        <v>280</v>
      </c>
      <c r="E767" s="9" t="s">
        <v>685</v>
      </c>
      <c r="F767" s="10">
        <v>1.359</v>
      </c>
      <c r="G767" s="10">
        <v>1.495</v>
      </c>
      <c r="H767" s="10"/>
      <c r="I767" s="9" t="s">
        <v>118</v>
      </c>
      <c r="J767" s="9" t="s">
        <v>5771</v>
      </c>
      <c r="K767" s="9" t="s">
        <v>5772</v>
      </c>
      <c r="L767" s="8" t="s">
        <v>688</v>
      </c>
      <c r="M767" s="9" t="s">
        <v>36</v>
      </c>
      <c r="N767" s="9" t="s">
        <v>88</v>
      </c>
      <c r="O767" s="9">
        <f>HYPERLINK("https://www.google.com/maps/search/?api=1&amp;query=43.34681134,-1.78750476", "https://www.google.com/maps/search/?api=1&amp;query=43.34681134,-1.78750476")</f>
      </c>
      <c r="P767" s="9" t="s">
        <v>1439</v>
      </c>
      <c r="Q767" s="9" t="s">
        <v>5773</v>
      </c>
    </row>
    <row r="768" spans="1:17" x14ac:dyDescent="0.25">
      <c r="A768" s="8" t="s">
        <v>5774</v>
      </c>
      <c r="B768" s="8" t="s">
        <v>5775</v>
      </c>
      <c r="C768" s="9" t="s">
        <v>5776</v>
      </c>
      <c r="D768" s="9" t="s">
        <v>253</v>
      </c>
      <c r="E768" s="9" t="s">
        <v>5777</v>
      </c>
      <c r="F768" s="10">
        <v>1.359</v>
      </c>
      <c r="G768" s="10">
        <v>1.495</v>
      </c>
      <c r="H768" s="10"/>
      <c r="I768" s="9" t="s">
        <v>96</v>
      </c>
      <c r="J768" s="9" t="s">
        <v>5778</v>
      </c>
      <c r="K768" s="9" t="s">
        <v>5779</v>
      </c>
      <c r="L768" s="8" t="s">
        <v>5780</v>
      </c>
      <c r="M768" s="9" t="s">
        <v>49</v>
      </c>
      <c r="N768" s="9" t="s">
        <v>88</v>
      </c>
      <c r="O768" s="9">
        <f>HYPERLINK("https://www.google.com/maps/search/?api=1&amp;query=41.36157088,1.29903173", "https://www.google.com/maps/search/?api=1&amp;query=41.36157088,1.29903173")</f>
      </c>
      <c r="P768" s="9" t="s">
        <v>547</v>
      </c>
      <c r="Q768" s="9" t="s">
        <v>5781</v>
      </c>
    </row>
    <row r="769" spans="1:17" x14ac:dyDescent="0.25">
      <c r="A769" s="8" t="s">
        <v>5782</v>
      </c>
      <c r="B769" s="8" t="s">
        <v>5783</v>
      </c>
      <c r="C769" s="9" t="s">
        <v>5784</v>
      </c>
      <c r="D769" s="9" t="s">
        <v>83</v>
      </c>
      <c r="E769" s="9" t="s">
        <v>978</v>
      </c>
      <c r="F769" s="10">
        <v>1.359</v>
      </c>
      <c r="G769" s="10">
        <v>1.495</v>
      </c>
      <c r="H769" s="10"/>
      <c r="I769" s="9" t="s">
        <v>83</v>
      </c>
      <c r="J769" s="9" t="s">
        <v>5785</v>
      </c>
      <c r="K769" s="9" t="s">
        <v>5786</v>
      </c>
      <c r="L769" s="8" t="s">
        <v>981</v>
      </c>
      <c r="M769" s="9" t="s">
        <v>36</v>
      </c>
      <c r="N769" s="9" t="s">
        <v>5787</v>
      </c>
      <c r="O769" s="9">
        <f>HYPERLINK("https://www.google.com/maps/search/?api=1&amp;query=40.63297639,-4.10660664", "https://www.google.com/maps/search/?api=1&amp;query=40.63297639,-4.10660664")</f>
      </c>
      <c r="P769" s="9" t="s">
        <v>419</v>
      </c>
      <c r="Q769" s="9" t="s">
        <v>5788</v>
      </c>
    </row>
    <row r="770" spans="1:17" x14ac:dyDescent="0.25">
      <c r="A770" s="8" t="s">
        <v>5789</v>
      </c>
      <c r="B770" s="8" t="s">
        <v>5790</v>
      </c>
      <c r="C770" s="9" t="s">
        <v>5791</v>
      </c>
      <c r="D770" s="9" t="s">
        <v>128</v>
      </c>
      <c r="E770" s="9" t="s">
        <v>3206</v>
      </c>
      <c r="F770" s="10">
        <v>1.359</v>
      </c>
      <c r="G770" s="10">
        <v>1.495</v>
      </c>
      <c r="H770" s="10"/>
      <c r="I770" s="9" t="s">
        <v>45</v>
      </c>
      <c r="J770" s="9" t="s">
        <v>5792</v>
      </c>
      <c r="K770" s="9" t="s">
        <v>5793</v>
      </c>
      <c r="L770" s="8" t="s">
        <v>5794</v>
      </c>
      <c r="M770" s="9" t="s">
        <v>49</v>
      </c>
      <c r="N770" s="9" t="s">
        <v>211</v>
      </c>
      <c r="O770" s="9">
        <f>HYPERLINK("https://www.google.com/maps/search/?api=1&amp;query=36.52469504,-6.2876902", "https://www.google.com/maps/search/?api=1&amp;query=36.52469504,-6.2876902")</f>
      </c>
      <c r="P770" s="9" t="s">
        <v>5795</v>
      </c>
      <c r="Q770" s="9" t="s">
        <v>5796</v>
      </c>
    </row>
    <row r="771" spans="1:17" x14ac:dyDescent="0.25">
      <c r="A771" s="8" t="s">
        <v>5797</v>
      </c>
      <c r="B771" s="8" t="s">
        <v>5798</v>
      </c>
      <c r="C771" s="9" t="s">
        <v>5799</v>
      </c>
      <c r="D771" s="9" t="s">
        <v>83</v>
      </c>
      <c r="E771" s="9" t="s">
        <v>83</v>
      </c>
      <c r="F771" s="10">
        <v>1.359</v>
      </c>
      <c r="G771" s="10">
        <v>1.495</v>
      </c>
      <c r="H771" s="10"/>
      <c r="I771" s="9" t="s">
        <v>83</v>
      </c>
      <c r="J771" s="9" t="s">
        <v>5800</v>
      </c>
      <c r="K771" s="9" t="s">
        <v>5801</v>
      </c>
      <c r="L771" s="8" t="s">
        <v>1219</v>
      </c>
      <c r="M771" s="9" t="s">
        <v>49</v>
      </c>
      <c r="N771" s="9" t="s">
        <v>37</v>
      </c>
      <c r="O771" s="9">
        <f>HYPERLINK("https://www.google.com/maps/search/?api=1&amp;query=40.46659113,-3.57271906", "https://www.google.com/maps/search/?api=1&amp;query=40.46659113,-3.57271906")</f>
      </c>
      <c r="P771" s="9" t="s">
        <v>1067</v>
      </c>
      <c r="Q771" s="9" t="s">
        <v>697</v>
      </c>
    </row>
    <row r="772" spans="1:17" x14ac:dyDescent="0.25">
      <c r="A772" s="8" t="s">
        <v>5802</v>
      </c>
      <c r="B772" s="8" t="s">
        <v>5803</v>
      </c>
      <c r="C772" s="9" t="s">
        <v>5804</v>
      </c>
      <c r="D772" s="9" t="s">
        <v>400</v>
      </c>
      <c r="E772" s="9" t="s">
        <v>5805</v>
      </c>
      <c r="F772" s="10">
        <v>1.359</v>
      </c>
      <c r="G772" s="10">
        <v>1.495</v>
      </c>
      <c r="H772" s="10"/>
      <c r="I772" s="9" t="s">
        <v>400</v>
      </c>
      <c r="J772" s="9" t="s">
        <v>5806</v>
      </c>
      <c r="K772" s="9" t="s">
        <v>5807</v>
      </c>
      <c r="L772" s="8" t="s">
        <v>5808</v>
      </c>
      <c r="M772" s="9" t="s">
        <v>49</v>
      </c>
      <c r="N772" s="9" t="s">
        <v>645</v>
      </c>
      <c r="O772" s="9">
        <f>HYPERLINK("https://www.google.com/maps/search/?api=1&amp;query=39.5722879,-0.5201785", "https://www.google.com/maps/search/?api=1&amp;query=39.5722879,-0.5201785")</f>
      </c>
      <c r="P772" s="9" t="s">
        <v>5809</v>
      </c>
      <c r="Q772" s="9" t="s">
        <v>134</v>
      </c>
    </row>
    <row r="773" spans="1:17" x14ac:dyDescent="0.25">
      <c r="A773" s="8" t="s">
        <v>5810</v>
      </c>
      <c r="B773" s="8" t="s">
        <v>5811</v>
      </c>
      <c r="C773" s="9" t="s">
        <v>5812</v>
      </c>
      <c r="D773" s="9" t="s">
        <v>155</v>
      </c>
      <c r="E773" s="9" t="s">
        <v>5813</v>
      </c>
      <c r="F773" s="10">
        <v>1.359</v>
      </c>
      <c r="G773" s="10">
        <v>1.495</v>
      </c>
      <c r="H773" s="10"/>
      <c r="I773" s="9" t="s">
        <v>157</v>
      </c>
      <c r="J773" s="9" t="s">
        <v>5814</v>
      </c>
      <c r="K773" s="9" t="s">
        <v>5815</v>
      </c>
      <c r="L773" s="8" t="s">
        <v>5816</v>
      </c>
      <c r="M773" s="9" t="s">
        <v>49</v>
      </c>
      <c r="N773" s="9" t="s">
        <v>88</v>
      </c>
      <c r="O773" s="9">
        <f>HYPERLINK("https://www.google.com/maps/search/?api=1&amp;query=39.87389176,3.01603106", "https://www.google.com/maps/search/?api=1&amp;query=39.87389176,3.01603106")</f>
      </c>
      <c r="P773" s="9" t="s">
        <v>419</v>
      </c>
      <c r="Q773" s="9" t="s">
        <v>5817</v>
      </c>
    </row>
    <row r="774" spans="1:17" x14ac:dyDescent="0.25">
      <c r="A774" s="8" t="s">
        <v>5818</v>
      </c>
      <c r="B774" s="8" t="s">
        <v>5819</v>
      </c>
      <c r="C774" s="9" t="s">
        <v>5820</v>
      </c>
      <c r="D774" s="9" t="s">
        <v>658</v>
      </c>
      <c r="E774" s="9" t="s">
        <v>5821</v>
      </c>
      <c r="F774" s="10">
        <v>1.359</v>
      </c>
      <c r="G774" s="10">
        <v>1.495</v>
      </c>
      <c r="H774" s="10"/>
      <c r="I774" s="9" t="s">
        <v>45</v>
      </c>
      <c r="J774" s="9" t="s">
        <v>5822</v>
      </c>
      <c r="K774" s="9" t="s">
        <v>5823</v>
      </c>
      <c r="L774" s="8" t="s">
        <v>5824</v>
      </c>
      <c r="M774" s="9" t="s">
        <v>49</v>
      </c>
      <c r="N774" s="9" t="s">
        <v>88</v>
      </c>
      <c r="O774" s="9">
        <f>HYPERLINK("https://www.google.com/maps/search/?api=1&amp;query=36.81917497,-2.59750194", "https://www.google.com/maps/search/?api=1&amp;query=36.81917497,-2.59750194")</f>
      </c>
      <c r="P774" s="9" t="s">
        <v>192</v>
      </c>
      <c r="Q774" s="9" t="s">
        <v>420</v>
      </c>
    </row>
    <row r="775" spans="1:17" x14ac:dyDescent="0.25">
      <c r="A775" s="8" t="s">
        <v>5825</v>
      </c>
      <c r="B775" s="8" t="s">
        <v>5826</v>
      </c>
      <c r="C775" s="9" t="s">
        <v>5827</v>
      </c>
      <c r="D775" s="9" t="s">
        <v>217</v>
      </c>
      <c r="E775" s="9" t="s">
        <v>271</v>
      </c>
      <c r="F775" s="10">
        <v>1.359</v>
      </c>
      <c r="G775" s="10">
        <v>1.495</v>
      </c>
      <c r="H775" s="10"/>
      <c r="I775" s="9" t="s">
        <v>45</v>
      </c>
      <c r="J775" s="9" t="s">
        <v>5828</v>
      </c>
      <c r="K775" s="9" t="s">
        <v>5829</v>
      </c>
      <c r="L775" s="8" t="s">
        <v>4476</v>
      </c>
      <c r="M775" s="9" t="s">
        <v>49</v>
      </c>
      <c r="N775" s="9" t="s">
        <v>37</v>
      </c>
      <c r="O775" s="9">
        <f>HYPERLINK("https://www.google.com/maps/search/?api=1&amp;query=36.73056533,-4.4675079", "https://www.google.com/maps/search/?api=1&amp;query=36.73056533,-4.4675079")</f>
      </c>
      <c r="P775" s="9" t="s">
        <v>1565</v>
      </c>
      <c r="Q775" s="9" t="s">
        <v>420</v>
      </c>
    </row>
    <row r="776" spans="1:17" x14ac:dyDescent="0.25">
      <c r="A776" s="8" t="s">
        <v>5830</v>
      </c>
      <c r="B776" s="8" t="s">
        <v>5831</v>
      </c>
      <c r="C776" s="9" t="s">
        <v>5832</v>
      </c>
      <c r="D776" s="9" t="s">
        <v>1434</v>
      </c>
      <c r="E776" s="9" t="s">
        <v>4855</v>
      </c>
      <c r="F776" s="10">
        <v>1.359</v>
      </c>
      <c r="G776" s="10">
        <v>1.495</v>
      </c>
      <c r="H776" s="10"/>
      <c r="I776" s="9" t="s">
        <v>1434</v>
      </c>
      <c r="J776" s="9" t="s">
        <v>5833</v>
      </c>
      <c r="K776" s="9" t="s">
        <v>5834</v>
      </c>
      <c r="L776" s="8" t="s">
        <v>4858</v>
      </c>
      <c r="M776" s="9" t="s">
        <v>36</v>
      </c>
      <c r="N776" s="9" t="s">
        <v>211</v>
      </c>
      <c r="O776" s="9">
        <f>HYPERLINK("https://www.google.com/maps/search/?api=1&amp;query=42.29264135,-1.96954163", "https://www.google.com/maps/search/?api=1&amp;query=42.29264135,-1.96954163")</f>
      </c>
      <c r="P776" s="9" t="s">
        <v>3225</v>
      </c>
      <c r="Q776" s="9" t="s">
        <v>925</v>
      </c>
    </row>
    <row r="777" spans="1:17" x14ac:dyDescent="0.25">
      <c r="A777" s="8" t="s">
        <v>5835</v>
      </c>
      <c r="B777" s="8" t="s">
        <v>5836</v>
      </c>
      <c r="C777" s="9" t="s">
        <v>5837</v>
      </c>
      <c r="D777" s="9" t="s">
        <v>398</v>
      </c>
      <c r="E777" s="9" t="s">
        <v>5838</v>
      </c>
      <c r="F777" s="10">
        <v>1.359</v>
      </c>
      <c r="G777" s="10">
        <v>1.495</v>
      </c>
      <c r="H777" s="10"/>
      <c r="I777" s="9" t="s">
        <v>400</v>
      </c>
      <c r="J777" s="9" t="s">
        <v>5839</v>
      </c>
      <c r="K777" s="9" t="s">
        <v>5840</v>
      </c>
      <c r="L777" s="8" t="s">
        <v>5841</v>
      </c>
      <c r="M777" s="9" t="s">
        <v>36</v>
      </c>
      <c r="N777" s="9" t="s">
        <v>37</v>
      </c>
      <c r="O777" s="9">
        <f>HYPERLINK("https://www.google.com/maps/search/?api=1&amp;query=38.55929394,-0.13478823", "https://www.google.com/maps/search/?api=1&amp;query=38.55929394,-0.13478823")</f>
      </c>
      <c r="P777" s="9" t="s">
        <v>5842</v>
      </c>
      <c r="Q777" s="9" t="s">
        <v>5843</v>
      </c>
    </row>
    <row r="778" spans="1:17" x14ac:dyDescent="0.25">
      <c r="A778" s="8" t="s">
        <v>5844</v>
      </c>
      <c r="B778" s="8" t="s">
        <v>5845</v>
      </c>
      <c r="C778" s="9" t="s">
        <v>5846</v>
      </c>
      <c r="D778" s="9" t="s">
        <v>434</v>
      </c>
      <c r="E778" s="9" t="s">
        <v>5847</v>
      </c>
      <c r="F778" s="10">
        <v>1.359</v>
      </c>
      <c r="G778" s="10">
        <v>1.495</v>
      </c>
      <c r="H778" s="10"/>
      <c r="I778" s="9" t="s">
        <v>96</v>
      </c>
      <c r="J778" s="9" t="s">
        <v>5848</v>
      </c>
      <c r="K778" s="9" t="s">
        <v>5849</v>
      </c>
      <c r="L778" s="8" t="s">
        <v>5850</v>
      </c>
      <c r="M778" s="9" t="s">
        <v>36</v>
      </c>
      <c r="N778" s="9" t="s">
        <v>5851</v>
      </c>
      <c r="O778" s="9">
        <f>HYPERLINK("https://www.google.com/maps/search/?api=1&amp;query=41.93355077,2.84366606", "https://www.google.com/maps/search/?api=1&amp;query=41.93355077,2.84366606")</f>
      </c>
      <c r="P778" s="9" t="s">
        <v>3134</v>
      </c>
      <c r="Q778" s="9" t="s">
        <v>5852</v>
      </c>
    </row>
    <row r="779" spans="1:17" x14ac:dyDescent="0.25">
      <c r="A779" s="8" t="s">
        <v>5853</v>
      </c>
      <c r="B779" s="8" t="s">
        <v>5854</v>
      </c>
      <c r="C779" s="9" t="s">
        <v>5855</v>
      </c>
      <c r="D779" s="9" t="s">
        <v>2050</v>
      </c>
      <c r="E779" s="9" t="s">
        <v>5856</v>
      </c>
      <c r="F779" s="10">
        <v>1.359</v>
      </c>
      <c r="G779" s="10">
        <v>1.495</v>
      </c>
      <c r="H779" s="10"/>
      <c r="I779" s="9" t="s">
        <v>140</v>
      </c>
      <c r="J779" s="9" t="s">
        <v>5857</v>
      </c>
      <c r="K779" s="9" t="s">
        <v>5858</v>
      </c>
      <c r="L779" s="8" t="s">
        <v>5859</v>
      </c>
      <c r="M779" s="9" t="s">
        <v>49</v>
      </c>
      <c r="N779" s="9" t="s">
        <v>211</v>
      </c>
      <c r="O779" s="9">
        <f>HYPERLINK("https://www.google.com/maps/search/?api=1&amp;query=42.35692114,-7.84464394", "https://www.google.com/maps/search/?api=1&amp;query=42.35692114,-7.84464394")</f>
      </c>
      <c r="P779" s="9" t="s">
        <v>880</v>
      </c>
      <c r="Q779" s="9" t="s">
        <v>5860</v>
      </c>
    </row>
    <row r="780" spans="1:17" x14ac:dyDescent="0.25">
      <c r="A780" s="8" t="s">
        <v>5861</v>
      </c>
      <c r="B780" s="8" t="s">
        <v>5862</v>
      </c>
      <c r="C780" s="9" t="s">
        <v>5863</v>
      </c>
      <c r="D780" s="9" t="s">
        <v>116</v>
      </c>
      <c r="E780" s="9" t="s">
        <v>5864</v>
      </c>
      <c r="F780" s="10">
        <v>1.359</v>
      </c>
      <c r="G780" s="10">
        <v>1.495</v>
      </c>
      <c r="H780" s="10"/>
      <c r="I780" s="9" t="s">
        <v>118</v>
      </c>
      <c r="J780" s="9" t="s">
        <v>5865</v>
      </c>
      <c r="K780" s="9" t="s">
        <v>5866</v>
      </c>
      <c r="L780" s="8" t="s">
        <v>5867</v>
      </c>
      <c r="M780" s="9" t="s">
        <v>49</v>
      </c>
      <c r="N780" s="9" t="s">
        <v>5868</v>
      </c>
      <c r="O780" s="9">
        <f>HYPERLINK("https://www.google.com/maps/search/?api=1&amp;query=43.29521803,-3.00943386", "https://www.google.com/maps/search/?api=1&amp;query=43.29521803,-3.00943386")</f>
      </c>
      <c r="P780" s="9" t="s">
        <v>3400</v>
      </c>
      <c r="Q780" s="9" t="s">
        <v>1727</v>
      </c>
    </row>
    <row r="781" spans="1:17" x14ac:dyDescent="0.25">
      <c r="A781" s="8" t="s">
        <v>5869</v>
      </c>
      <c r="B781" s="8" t="s">
        <v>5870</v>
      </c>
      <c r="C781" s="9" t="s">
        <v>5871</v>
      </c>
      <c r="D781" s="9" t="s">
        <v>892</v>
      </c>
      <c r="E781" s="9" t="s">
        <v>1166</v>
      </c>
      <c r="F781" s="10">
        <v>1.359</v>
      </c>
      <c r="G781" s="10">
        <v>1.495</v>
      </c>
      <c r="H781" s="10"/>
      <c r="I781" s="9" t="s">
        <v>32</v>
      </c>
      <c r="J781" s="9" t="s">
        <v>5872</v>
      </c>
      <c r="K781" s="9" t="s">
        <v>5873</v>
      </c>
      <c r="L781" s="8" t="s">
        <v>1169</v>
      </c>
      <c r="M781" s="9" t="s">
        <v>36</v>
      </c>
      <c r="N781" s="9" t="s">
        <v>37</v>
      </c>
      <c r="O781" s="9">
        <f>HYPERLINK("https://www.google.com/maps/search/?api=1&amp;query=39.56479639,-5.83259292", "https://www.google.com/maps/search/?api=1&amp;query=39.56479639,-5.83259292")</f>
      </c>
      <c r="P781" s="9" t="s">
        <v>3400</v>
      </c>
      <c r="Q781" s="9" t="s">
        <v>5874</v>
      </c>
    </row>
    <row r="782" spans="1:17" x14ac:dyDescent="0.25">
      <c r="A782" s="8" t="s">
        <v>5875</v>
      </c>
      <c r="B782" s="8" t="s">
        <v>5876</v>
      </c>
      <c r="C782" s="9" t="s">
        <v>5877</v>
      </c>
      <c r="D782" s="9" t="s">
        <v>1617</v>
      </c>
      <c r="E782" s="9" t="s">
        <v>5878</v>
      </c>
      <c r="F782" s="10">
        <v>1.359</v>
      </c>
      <c r="G782" s="10">
        <v>1.495</v>
      </c>
      <c r="H782" s="10"/>
      <c r="I782" s="9" t="s">
        <v>292</v>
      </c>
      <c r="J782" s="9" t="s">
        <v>5879</v>
      </c>
      <c r="K782" s="9" t="s">
        <v>5880</v>
      </c>
      <c r="L782" s="8" t="s">
        <v>5881</v>
      </c>
      <c r="M782" s="9" t="s">
        <v>100</v>
      </c>
      <c r="N782" s="9" t="s">
        <v>66</v>
      </c>
      <c r="O782" s="9">
        <f>HYPERLINK("https://www.google.com/maps/search/?api=1&amp;query=42.02599213,0.05347681", "https://www.google.com/maps/search/?api=1&amp;query=42.02599213,0.05347681")</f>
      </c>
      <c r="P782" s="9" t="s">
        <v>680</v>
      </c>
      <c r="Q782" s="9" t="s">
        <v>5882</v>
      </c>
    </row>
    <row r="783" spans="1:17" x14ac:dyDescent="0.25">
      <c r="A783" s="8" t="s">
        <v>5883</v>
      </c>
      <c r="B783" s="8" t="s">
        <v>5884</v>
      </c>
      <c r="C783" s="9" t="s">
        <v>5885</v>
      </c>
      <c r="D783" s="9" t="s">
        <v>398</v>
      </c>
      <c r="E783" s="9" t="s">
        <v>2361</v>
      </c>
      <c r="F783" s="10">
        <v>1.359</v>
      </c>
      <c r="G783" s="10">
        <v>1.495</v>
      </c>
      <c r="H783" s="10"/>
      <c r="I783" s="9" t="s">
        <v>400</v>
      </c>
      <c r="J783" s="9" t="s">
        <v>5886</v>
      </c>
      <c r="K783" s="9" t="s">
        <v>5887</v>
      </c>
      <c r="L783" s="8" t="s">
        <v>2364</v>
      </c>
      <c r="M783" s="9" t="s">
        <v>36</v>
      </c>
      <c r="N783" s="9" t="s">
        <v>122</v>
      </c>
      <c r="O783" s="9">
        <f>HYPERLINK("https://www.google.com/maps/search/?api=1&amp;query=38.00203856,-0.66966164", "https://www.google.com/maps/search/?api=1&amp;query=38.00203856,-0.66966164")</f>
      </c>
      <c r="P783" s="9" t="s">
        <v>5888</v>
      </c>
      <c r="Q783" s="9" t="s">
        <v>4247</v>
      </c>
    </row>
    <row r="784" spans="1:17" x14ac:dyDescent="0.25">
      <c r="A784" s="8" t="s">
        <v>5889</v>
      </c>
      <c r="B784" s="8" t="s">
        <v>5890</v>
      </c>
      <c r="C784" s="9" t="s">
        <v>5891</v>
      </c>
      <c r="D784" s="9" t="s">
        <v>106</v>
      </c>
      <c r="E784" s="9" t="s">
        <v>5892</v>
      </c>
      <c r="F784" s="10">
        <v>1.359</v>
      </c>
      <c r="G784" s="10">
        <v>1.495</v>
      </c>
      <c r="H784" s="10"/>
      <c r="I784" s="9" t="s">
        <v>106</v>
      </c>
      <c r="J784" s="9" t="s">
        <v>5893</v>
      </c>
      <c r="K784" s="9" t="s">
        <v>5894</v>
      </c>
      <c r="L784" s="8" t="s">
        <v>5895</v>
      </c>
      <c r="M784" s="9" t="s">
        <v>49</v>
      </c>
      <c r="N784" s="9" t="s">
        <v>645</v>
      </c>
      <c r="O784" s="9">
        <f>HYPERLINK("https://www.google.com/maps/search/?api=1&amp;query=37.80627798,-0.84413854", "https://www.google.com/maps/search/?api=1&amp;query=37.80627798,-0.84413854")</f>
      </c>
      <c r="P784" s="9" t="s">
        <v>1751</v>
      </c>
      <c r="Q784" s="9" t="s">
        <v>134</v>
      </c>
    </row>
    <row r="785" spans="1:17" x14ac:dyDescent="0.25">
      <c r="A785" s="8" t="s">
        <v>5896</v>
      </c>
      <c r="B785" s="8" t="s">
        <v>5897</v>
      </c>
      <c r="C785" s="9" t="s">
        <v>5898</v>
      </c>
      <c r="D785" s="9" t="s">
        <v>1560</v>
      </c>
      <c r="E785" s="9" t="s">
        <v>1561</v>
      </c>
      <c r="F785" s="10">
        <v>1.359</v>
      </c>
      <c r="G785" s="10">
        <v>1.495</v>
      </c>
      <c r="H785" s="10"/>
      <c r="I785" s="9" t="s">
        <v>400</v>
      </c>
      <c r="J785" s="9" t="s">
        <v>5899</v>
      </c>
      <c r="K785" s="9" t="s">
        <v>5900</v>
      </c>
      <c r="L785" s="8" t="s">
        <v>2923</v>
      </c>
      <c r="M785" s="9" t="s">
        <v>49</v>
      </c>
      <c r="N785" s="9" t="s">
        <v>88</v>
      </c>
      <c r="O785" s="9">
        <f>HYPERLINK("https://www.google.com/maps/search/?api=1&amp;query=40.00340768,-0.04288479", "https://www.google.com/maps/search/?api=1&amp;query=40.00340768,-0.04288479")</f>
      </c>
      <c r="P785" s="9" t="s">
        <v>2017</v>
      </c>
      <c r="Q785" s="9" t="s">
        <v>2175</v>
      </c>
    </row>
    <row r="786" spans="1:17" x14ac:dyDescent="0.25">
      <c r="A786" s="8" t="s">
        <v>5901</v>
      </c>
      <c r="B786" s="8" t="s">
        <v>5902</v>
      </c>
      <c r="C786" s="9" t="s">
        <v>5903</v>
      </c>
      <c r="D786" s="9" t="s">
        <v>83</v>
      </c>
      <c r="E786" s="9" t="s">
        <v>83</v>
      </c>
      <c r="F786" s="10">
        <v>1.359</v>
      </c>
      <c r="G786" s="10">
        <v>1.495</v>
      </c>
      <c r="H786" s="10"/>
      <c r="I786" s="9" t="s">
        <v>83</v>
      </c>
      <c r="J786" s="9" t="s">
        <v>5904</v>
      </c>
      <c r="K786" s="9" t="s">
        <v>5905</v>
      </c>
      <c r="L786" s="8" t="s">
        <v>2313</v>
      </c>
      <c r="M786" s="9" t="s">
        <v>49</v>
      </c>
      <c r="N786" s="9" t="s">
        <v>37</v>
      </c>
      <c r="O786" s="9">
        <f>HYPERLINK("https://www.google.com/maps/search/?api=1&amp;query=40.46655539,-3.68553283", "https://www.google.com/maps/search/?api=1&amp;query=40.46655539,-3.68553283")</f>
      </c>
      <c r="P786" s="9" t="s">
        <v>5906</v>
      </c>
      <c r="Q786" s="9" t="s">
        <v>1188</v>
      </c>
    </row>
    <row r="787" spans="1:17" x14ac:dyDescent="0.25">
      <c r="A787" s="8" t="s">
        <v>5907</v>
      </c>
      <c r="B787" s="8" t="s">
        <v>5908</v>
      </c>
      <c r="C787" s="9" t="s">
        <v>5909</v>
      </c>
      <c r="D787" s="9" t="s">
        <v>106</v>
      </c>
      <c r="E787" s="9" t="s">
        <v>5910</v>
      </c>
      <c r="F787" s="10">
        <v>1.359</v>
      </c>
      <c r="G787" s="10">
        <v>1.495</v>
      </c>
      <c r="H787" s="10"/>
      <c r="I787" s="9" t="s">
        <v>106</v>
      </c>
      <c r="J787" s="9" t="s">
        <v>5911</v>
      </c>
      <c r="K787" s="9" t="s">
        <v>5912</v>
      </c>
      <c r="L787" s="8" t="s">
        <v>5913</v>
      </c>
      <c r="M787" s="9" t="s">
        <v>36</v>
      </c>
      <c r="N787" s="9" t="s">
        <v>88</v>
      </c>
      <c r="O787" s="9">
        <f>HYPERLINK("https://www.google.com/maps/search/?api=1&amp;query=38.05335858,-1.65249493", "https://www.google.com/maps/search/?api=1&amp;query=38.05335858,-1.65249493")</f>
      </c>
      <c r="P787" s="9" t="s">
        <v>1514</v>
      </c>
      <c r="Q787" s="9" t="s">
        <v>4903</v>
      </c>
    </row>
    <row r="788" spans="1:17" x14ac:dyDescent="0.25">
      <c r="A788" s="8" t="s">
        <v>5914</v>
      </c>
      <c r="B788" s="8" t="s">
        <v>5915</v>
      </c>
      <c r="C788" s="9" t="s">
        <v>5916</v>
      </c>
      <c r="D788" s="9" t="s">
        <v>155</v>
      </c>
      <c r="E788" s="9" t="s">
        <v>2394</v>
      </c>
      <c r="F788" s="10">
        <v>1.359</v>
      </c>
      <c r="G788" s="10">
        <v>1.495</v>
      </c>
      <c r="H788" s="10"/>
      <c r="I788" s="9" t="s">
        <v>157</v>
      </c>
      <c r="J788" s="9" t="s">
        <v>5917</v>
      </c>
      <c r="K788" s="9" t="s">
        <v>5918</v>
      </c>
      <c r="L788" s="8" t="s">
        <v>2397</v>
      </c>
      <c r="M788" s="9" t="s">
        <v>49</v>
      </c>
      <c r="N788" s="9" t="s">
        <v>88</v>
      </c>
      <c r="O788" s="9">
        <f>HYPERLINK("https://www.google.com/maps/search/?api=1&amp;query=39.57014034,2.68821556", "https://www.google.com/maps/search/?api=1&amp;query=39.57014034,2.68821556")</f>
      </c>
      <c r="P788" s="9" t="s">
        <v>663</v>
      </c>
      <c r="Q788" s="9" t="s">
        <v>2175</v>
      </c>
    </row>
    <row r="789" spans="1:17" x14ac:dyDescent="0.25">
      <c r="A789" s="8" t="s">
        <v>5919</v>
      </c>
      <c r="B789" s="8" t="s">
        <v>5920</v>
      </c>
      <c r="C789" s="9" t="s">
        <v>5921</v>
      </c>
      <c r="D789" s="9" t="s">
        <v>400</v>
      </c>
      <c r="E789" s="9" t="s">
        <v>5922</v>
      </c>
      <c r="F789" s="10">
        <v>1.359</v>
      </c>
      <c r="G789" s="10">
        <v>1.495</v>
      </c>
      <c r="H789" s="10"/>
      <c r="I789" s="9" t="s">
        <v>400</v>
      </c>
      <c r="J789" s="9" t="s">
        <v>5923</v>
      </c>
      <c r="K789" s="9" t="s">
        <v>5924</v>
      </c>
      <c r="L789" s="8" t="s">
        <v>5925</v>
      </c>
      <c r="M789" s="9" t="s">
        <v>49</v>
      </c>
      <c r="N789" s="9" t="s">
        <v>88</v>
      </c>
      <c r="O789" s="9">
        <f>HYPERLINK("https://www.google.com/maps/search/?api=1&amp;query=39.03233081,-0.65501381", "https://www.google.com/maps/search/?api=1&amp;query=39.03233081,-0.65501381")</f>
      </c>
      <c r="P789" s="9" t="s">
        <v>5926</v>
      </c>
      <c r="Q789" s="9" t="s">
        <v>5927</v>
      </c>
    </row>
    <row r="790" spans="1:17" x14ac:dyDescent="0.25">
      <c r="A790" s="8" t="s">
        <v>5928</v>
      </c>
      <c r="B790" s="8" t="s">
        <v>5929</v>
      </c>
      <c r="C790" s="9" t="s">
        <v>5930</v>
      </c>
      <c r="D790" s="9" t="s">
        <v>398</v>
      </c>
      <c r="E790" s="9" t="s">
        <v>5931</v>
      </c>
      <c r="F790" s="10">
        <v>1.359</v>
      </c>
      <c r="G790" s="10">
        <v>1.495</v>
      </c>
      <c r="H790" s="10"/>
      <c r="I790" s="9" t="s">
        <v>400</v>
      </c>
      <c r="J790" s="9" t="s">
        <v>5932</v>
      </c>
      <c r="K790" s="9" t="s">
        <v>5933</v>
      </c>
      <c r="L790" s="8" t="s">
        <v>5934</v>
      </c>
      <c r="M790" s="9" t="s">
        <v>49</v>
      </c>
      <c r="N790" s="9" t="s">
        <v>88</v>
      </c>
      <c r="O790" s="9">
        <f>HYPERLINK("https://www.google.com/maps/search/?api=1&amp;query=38.60957035,-0.12782946", "https://www.google.com/maps/search/?api=1&amp;query=38.60957035,-0.12782946")</f>
      </c>
      <c r="P790" s="9" t="s">
        <v>5935</v>
      </c>
      <c r="Q790" s="9" t="s">
        <v>5936</v>
      </c>
    </row>
    <row r="791" spans="1:17" x14ac:dyDescent="0.25">
      <c r="A791" s="8" t="s">
        <v>5937</v>
      </c>
      <c r="B791" s="8" t="s">
        <v>5938</v>
      </c>
      <c r="C791" s="9" t="s">
        <v>5939</v>
      </c>
      <c r="D791" s="9" t="s">
        <v>116</v>
      </c>
      <c r="E791" s="9" t="s">
        <v>5940</v>
      </c>
      <c r="F791" s="10">
        <v>1.359</v>
      </c>
      <c r="G791" s="10">
        <v>1.495</v>
      </c>
      <c r="H791" s="10"/>
      <c r="I791" s="9" t="s">
        <v>118</v>
      </c>
      <c r="J791" s="9" t="s">
        <v>5941</v>
      </c>
      <c r="K791" s="9" t="s">
        <v>5942</v>
      </c>
      <c r="L791" s="8" t="s">
        <v>5943</v>
      </c>
      <c r="M791" s="9" t="s">
        <v>49</v>
      </c>
      <c r="N791" s="9" t="s">
        <v>88</v>
      </c>
      <c r="O791" s="9">
        <f>HYPERLINK("https://www.google.com/maps/search/?api=1&amp;query=43.31865163,-2.87661056", "https://www.google.com/maps/search/?api=1&amp;query=43.31865163,-2.87661056")</f>
      </c>
      <c r="P791" s="9" t="s">
        <v>1067</v>
      </c>
      <c r="Q791" s="9" t="s">
        <v>1864</v>
      </c>
    </row>
    <row r="792" spans="1:17" x14ac:dyDescent="0.25">
      <c r="A792" s="8" t="s">
        <v>5944</v>
      </c>
      <c r="B792" s="8" t="s">
        <v>5945</v>
      </c>
      <c r="C792" s="9" t="s">
        <v>5946</v>
      </c>
      <c r="D792" s="9" t="s">
        <v>30</v>
      </c>
      <c r="E792" s="9" t="s">
        <v>30</v>
      </c>
      <c r="F792" s="10">
        <v>1.359</v>
      </c>
      <c r="G792" s="10">
        <v>1.495</v>
      </c>
      <c r="H792" s="10"/>
      <c r="I792" s="9" t="s">
        <v>32</v>
      </c>
      <c r="J792" s="9" t="s">
        <v>5947</v>
      </c>
      <c r="K792" s="9" t="s">
        <v>5948</v>
      </c>
      <c r="L792" s="8" t="s">
        <v>5949</v>
      </c>
      <c r="M792" s="9" t="s">
        <v>49</v>
      </c>
      <c r="N792" s="9" t="s">
        <v>66</v>
      </c>
      <c r="O792" s="9">
        <f>HYPERLINK("https://www.google.com/maps/search/?api=1&amp;query=38.85854609,-6.99005781", "https://www.google.com/maps/search/?api=1&amp;query=38.85854609,-6.99005781")</f>
      </c>
      <c r="P792" s="9" t="s">
        <v>419</v>
      </c>
      <c r="Q792" s="9" t="s">
        <v>5950</v>
      </c>
    </row>
    <row r="793" spans="1:17" x14ac:dyDescent="0.25">
      <c r="A793" s="8" t="s">
        <v>5951</v>
      </c>
      <c r="B793" s="8" t="s">
        <v>5952</v>
      </c>
      <c r="C793" s="9" t="s">
        <v>5953</v>
      </c>
      <c r="D793" s="9" t="s">
        <v>187</v>
      </c>
      <c r="E793" s="9" t="s">
        <v>3775</v>
      </c>
      <c r="F793" s="10">
        <v>1.359</v>
      </c>
      <c r="G793" s="10">
        <v>1.495</v>
      </c>
      <c r="H793" s="10"/>
      <c r="I793" s="9" t="s">
        <v>74</v>
      </c>
      <c r="J793" s="9" t="s">
        <v>5954</v>
      </c>
      <c r="K793" s="9" t="s">
        <v>5955</v>
      </c>
      <c r="L793" s="8" t="s">
        <v>3778</v>
      </c>
      <c r="M793" s="9" t="s">
        <v>100</v>
      </c>
      <c r="N793" s="9" t="s">
        <v>37</v>
      </c>
      <c r="O793" s="9">
        <f>HYPERLINK("https://www.google.com/maps/search/?api=1&amp;query=42.69084813,-5.76754271", "https://www.google.com/maps/search/?api=1&amp;query=42.69084813,-5.76754271")</f>
      </c>
      <c r="P793" s="9" t="s">
        <v>5956</v>
      </c>
      <c r="Q793" s="9" t="s">
        <v>1084</v>
      </c>
    </row>
    <row r="794" spans="1:17" x14ac:dyDescent="0.25">
      <c r="A794" s="8" t="s">
        <v>5957</v>
      </c>
      <c r="B794" s="8" t="s">
        <v>5958</v>
      </c>
      <c r="C794" s="9" t="s">
        <v>5959</v>
      </c>
      <c r="D794" s="9" t="s">
        <v>379</v>
      </c>
      <c r="E794" s="9" t="s">
        <v>4775</v>
      </c>
      <c r="F794" s="10">
        <v>1.359</v>
      </c>
      <c r="G794" s="10">
        <v>1.495</v>
      </c>
      <c r="H794" s="10"/>
      <c r="I794" s="9" t="s">
        <v>379</v>
      </c>
      <c r="J794" s="9" t="s">
        <v>4776</v>
      </c>
      <c r="K794" s="9" t="s">
        <v>5960</v>
      </c>
      <c r="L794" s="8" t="s">
        <v>4778</v>
      </c>
      <c r="M794" s="9" t="s">
        <v>36</v>
      </c>
      <c r="N794" s="9" t="s">
        <v>37</v>
      </c>
      <c r="O794" s="9">
        <f>HYPERLINK("https://www.google.com/maps/search/?api=1&amp;query=42.20024412,-1.67621873", "https://www.google.com/maps/search/?api=1&amp;query=42.20024412,-1.67621873")</f>
      </c>
      <c r="P794" s="9" t="s">
        <v>38</v>
      </c>
      <c r="Q794" s="9" t="s">
        <v>925</v>
      </c>
    </row>
    <row r="795" spans="1:17" x14ac:dyDescent="0.25">
      <c r="A795" s="8" t="s">
        <v>5961</v>
      </c>
      <c r="B795" s="8" t="s">
        <v>5962</v>
      </c>
      <c r="C795" s="9" t="s">
        <v>5963</v>
      </c>
      <c r="D795" s="9" t="s">
        <v>106</v>
      </c>
      <c r="E795" s="9" t="s">
        <v>5964</v>
      </c>
      <c r="F795" s="10">
        <v>1.359</v>
      </c>
      <c r="G795" s="10">
        <v>1.495</v>
      </c>
      <c r="H795" s="10"/>
      <c r="I795" s="9" t="s">
        <v>106</v>
      </c>
      <c r="J795" s="9" t="s">
        <v>5965</v>
      </c>
      <c r="K795" s="9" t="s">
        <v>5966</v>
      </c>
      <c r="L795" s="8" t="s">
        <v>5967</v>
      </c>
      <c r="M795" s="9" t="s">
        <v>49</v>
      </c>
      <c r="N795" s="9" t="s">
        <v>88</v>
      </c>
      <c r="O795" s="9">
        <f>HYPERLINK("https://www.google.com/maps/search/?api=1&amp;query=37.62425864,-0.96574457", "https://www.google.com/maps/search/?api=1&amp;query=37.62425864,-0.96574457")</f>
      </c>
      <c r="P795" s="9" t="s">
        <v>5968</v>
      </c>
      <c r="Q795" s="9" t="s">
        <v>5969</v>
      </c>
    </row>
    <row r="796" spans="1:17" x14ac:dyDescent="0.25">
      <c r="A796" s="8" t="s">
        <v>5970</v>
      </c>
      <c r="B796" s="8" t="s">
        <v>5971</v>
      </c>
      <c r="C796" s="9" t="s">
        <v>5972</v>
      </c>
      <c r="D796" s="9" t="s">
        <v>197</v>
      </c>
      <c r="E796" s="9" t="s">
        <v>3357</v>
      </c>
      <c r="F796" s="10">
        <v>1.359</v>
      </c>
      <c r="G796" s="10">
        <v>1.495</v>
      </c>
      <c r="H796" s="10"/>
      <c r="I796" s="9" t="s">
        <v>168</v>
      </c>
      <c r="J796" s="9" t="s">
        <v>5973</v>
      </c>
      <c r="K796" s="9" t="s">
        <v>5974</v>
      </c>
      <c r="L796" s="8" t="s">
        <v>3360</v>
      </c>
      <c r="M796" s="9" t="s">
        <v>49</v>
      </c>
      <c r="N796" s="9" t="s">
        <v>88</v>
      </c>
      <c r="O796" s="9">
        <f>HYPERLINK("https://www.google.com/maps/search/?api=1&amp;query=40.15050262,-3.82442914", "https://www.google.com/maps/search/?api=1&amp;query=40.15050262,-3.82442914")</f>
      </c>
      <c r="P796" s="9" t="s">
        <v>5975</v>
      </c>
      <c r="Q796" s="9" t="s">
        <v>966</v>
      </c>
    </row>
    <row r="797" spans="1:17" x14ac:dyDescent="0.25">
      <c r="A797" s="8" t="s">
        <v>5976</v>
      </c>
      <c r="B797" s="8" t="s">
        <v>5977</v>
      </c>
      <c r="C797" s="9" t="s">
        <v>5978</v>
      </c>
      <c r="D797" s="9" t="s">
        <v>919</v>
      </c>
      <c r="E797" s="9" t="s">
        <v>5979</v>
      </c>
      <c r="F797" s="10">
        <v>1.359</v>
      </c>
      <c r="G797" s="10">
        <v>1.495</v>
      </c>
      <c r="H797" s="10"/>
      <c r="I797" s="9" t="s">
        <v>118</v>
      </c>
      <c r="J797" s="9" t="s">
        <v>5980</v>
      </c>
      <c r="K797" s="9" t="s">
        <v>5981</v>
      </c>
      <c r="L797" s="8" t="s">
        <v>5982</v>
      </c>
      <c r="M797" s="9" t="s">
        <v>100</v>
      </c>
      <c r="N797" s="9" t="s">
        <v>88</v>
      </c>
      <c r="O797" s="9">
        <f>HYPERLINK("https://www.google.com/maps/search/?api=1&amp;query=42.8785389,-2.51842183", "https://www.google.com/maps/search/?api=1&amp;query=42.8785389,-2.51842183")</f>
      </c>
      <c r="P797" s="9" t="s">
        <v>5983</v>
      </c>
      <c r="Q797" s="9" t="s">
        <v>637</v>
      </c>
    </row>
    <row r="798" spans="1:17" x14ac:dyDescent="0.25">
      <c r="A798" s="8" t="s">
        <v>5984</v>
      </c>
      <c r="B798" s="8" t="s">
        <v>5985</v>
      </c>
      <c r="C798" s="9" t="s">
        <v>5986</v>
      </c>
      <c r="D798" s="9" t="s">
        <v>444</v>
      </c>
      <c r="E798" s="9" t="s">
        <v>2493</v>
      </c>
      <c r="F798" s="10">
        <v>1.359</v>
      </c>
      <c r="G798" s="10">
        <v>1.495</v>
      </c>
      <c r="H798" s="10"/>
      <c r="I798" s="9" t="s">
        <v>444</v>
      </c>
      <c r="J798" s="9" t="s">
        <v>2494</v>
      </c>
      <c r="K798" s="9" t="s">
        <v>5987</v>
      </c>
      <c r="L798" s="8" t="s">
        <v>2496</v>
      </c>
      <c r="M798" s="9" t="s">
        <v>36</v>
      </c>
      <c r="N798" s="9" t="s">
        <v>37</v>
      </c>
      <c r="O798" s="9">
        <f>HYPERLINK("https://www.google.com/maps/search/?api=1&amp;query=43.43835302,-5.79833748", "https://www.google.com/maps/search/?api=1&amp;query=43.43835302,-5.79833748")</f>
      </c>
      <c r="P798" s="9" t="s">
        <v>965</v>
      </c>
      <c r="Q798" s="9" t="s">
        <v>5988</v>
      </c>
    </row>
    <row r="799" spans="1:17" x14ac:dyDescent="0.25">
      <c r="A799" s="8" t="s">
        <v>5989</v>
      </c>
      <c r="B799" s="8" t="s">
        <v>5990</v>
      </c>
      <c r="C799" s="9" t="s">
        <v>5991</v>
      </c>
      <c r="D799" s="9" t="s">
        <v>94</v>
      </c>
      <c r="E799" s="9" t="s">
        <v>94</v>
      </c>
      <c r="F799" s="10">
        <v>1.359</v>
      </c>
      <c r="G799" s="10">
        <v>1.495</v>
      </c>
      <c r="H799" s="10"/>
      <c r="I799" s="9" t="s">
        <v>96</v>
      </c>
      <c r="J799" s="9" t="s">
        <v>5992</v>
      </c>
      <c r="K799" s="9" t="s">
        <v>5993</v>
      </c>
      <c r="L799" s="8" t="s">
        <v>5994</v>
      </c>
      <c r="M799" s="9" t="s">
        <v>49</v>
      </c>
      <c r="N799" s="9" t="s">
        <v>88</v>
      </c>
      <c r="O799" s="9">
        <f>HYPERLINK("https://www.google.com/maps/search/?api=1&amp;query=41.42104885,2.18638665", "https://www.google.com/maps/search/?api=1&amp;query=41.42104885,2.18638665")</f>
      </c>
      <c r="P799" s="9" t="s">
        <v>608</v>
      </c>
      <c r="Q799" s="9" t="s">
        <v>112</v>
      </c>
    </row>
    <row r="800" spans="1:17" x14ac:dyDescent="0.25">
      <c r="A800" s="8" t="s">
        <v>5995</v>
      </c>
      <c r="B800" s="8" t="s">
        <v>5996</v>
      </c>
      <c r="C800" s="9" t="s">
        <v>5997</v>
      </c>
      <c r="D800" s="9" t="s">
        <v>658</v>
      </c>
      <c r="E800" s="9" t="s">
        <v>2266</v>
      </c>
      <c r="F800" s="10">
        <v>1.359</v>
      </c>
      <c r="G800" s="10">
        <v>1.495</v>
      </c>
      <c r="H800" s="10"/>
      <c r="I800" s="9" t="s">
        <v>45</v>
      </c>
      <c r="J800" s="9" t="s">
        <v>5998</v>
      </c>
      <c r="K800" s="9" t="s">
        <v>5999</v>
      </c>
      <c r="L800" s="8" t="s">
        <v>6000</v>
      </c>
      <c r="M800" s="9" t="s">
        <v>49</v>
      </c>
      <c r="N800" s="9" t="s">
        <v>37</v>
      </c>
      <c r="O800" s="9">
        <f>HYPERLINK("https://www.google.com/maps/search/?api=1&amp;query=36.85309443,-2.46824934", "https://www.google.com/maps/search/?api=1&amp;query=36.85309443,-2.46824934")</f>
      </c>
      <c r="P800" s="9" t="s">
        <v>572</v>
      </c>
      <c r="Q800" s="9" t="s">
        <v>134</v>
      </c>
    </row>
    <row r="801" spans="1:17" x14ac:dyDescent="0.25">
      <c r="A801" s="8" t="s">
        <v>6001</v>
      </c>
      <c r="B801" s="8" t="s">
        <v>6002</v>
      </c>
      <c r="C801" s="9" t="s">
        <v>6003</v>
      </c>
      <c r="D801" s="9" t="s">
        <v>400</v>
      </c>
      <c r="E801" s="9" t="s">
        <v>6004</v>
      </c>
      <c r="F801" s="10">
        <v>1.359</v>
      </c>
      <c r="G801" s="10">
        <v>1.495</v>
      </c>
      <c r="H801" s="10"/>
      <c r="I801" s="9" t="s">
        <v>400</v>
      </c>
      <c r="J801" s="9" t="s">
        <v>6005</v>
      </c>
      <c r="K801" s="9" t="s">
        <v>6006</v>
      </c>
      <c r="L801" s="8" t="s">
        <v>6007</v>
      </c>
      <c r="M801" s="9" t="s">
        <v>49</v>
      </c>
      <c r="N801" s="9" t="s">
        <v>6008</v>
      </c>
      <c r="O801" s="9">
        <f>HYPERLINK("https://www.google.com/maps/search/?api=1&amp;query=39.1262824,-0.45001725", "https://www.google.com/maps/search/?api=1&amp;query=39.1262824,-0.45001725")</f>
      </c>
      <c r="P801" s="9" t="s">
        <v>880</v>
      </c>
      <c r="Q801" s="9" t="s">
        <v>6009</v>
      </c>
    </row>
    <row r="802" spans="1:17" x14ac:dyDescent="0.25">
      <c r="A802" s="8" t="s">
        <v>6010</v>
      </c>
      <c r="B802" s="8" t="s">
        <v>6011</v>
      </c>
      <c r="C802" s="9" t="s">
        <v>6012</v>
      </c>
      <c r="D802" s="9" t="s">
        <v>409</v>
      </c>
      <c r="E802" s="9" t="s">
        <v>6013</v>
      </c>
      <c r="F802" s="10">
        <v>1.359</v>
      </c>
      <c r="G802" s="10">
        <v>1.495</v>
      </c>
      <c r="H802" s="10"/>
      <c r="I802" s="9" t="s">
        <v>292</v>
      </c>
      <c r="J802" s="9" t="s">
        <v>6014</v>
      </c>
      <c r="K802" s="9" t="s">
        <v>6015</v>
      </c>
      <c r="L802" s="8" t="s">
        <v>6016</v>
      </c>
      <c r="M802" s="9" t="s">
        <v>49</v>
      </c>
      <c r="N802" s="9" t="s">
        <v>645</v>
      </c>
      <c r="O802" s="9">
        <f>HYPERLINK("https://www.google.com/maps/search/?api=1&amp;query=41.33546916,-1.64267689", "https://www.google.com/maps/search/?api=1&amp;query=41.33546916,-1.64267689")</f>
      </c>
      <c r="P802" s="9" t="s">
        <v>296</v>
      </c>
      <c r="Q802" s="9" t="s">
        <v>898</v>
      </c>
    </row>
    <row r="803" spans="1:17" x14ac:dyDescent="0.25">
      <c r="A803" s="8" t="s">
        <v>6017</v>
      </c>
      <c r="B803" s="8" t="s">
        <v>6018</v>
      </c>
      <c r="C803" s="9" t="s">
        <v>6019</v>
      </c>
      <c r="D803" s="9" t="s">
        <v>892</v>
      </c>
      <c r="E803" s="9" t="s">
        <v>6020</v>
      </c>
      <c r="F803" s="10">
        <v>1.359</v>
      </c>
      <c r="G803" s="10">
        <v>1.495</v>
      </c>
      <c r="H803" s="10"/>
      <c r="I803" s="9" t="s">
        <v>32</v>
      </c>
      <c r="J803" s="9" t="s">
        <v>6021</v>
      </c>
      <c r="K803" s="9" t="s">
        <v>6022</v>
      </c>
      <c r="L803" s="8" t="s">
        <v>6023</v>
      </c>
      <c r="M803" s="9" t="s">
        <v>49</v>
      </c>
      <c r="N803" s="9" t="s">
        <v>88</v>
      </c>
      <c r="O803" s="9">
        <f>HYPERLINK("https://www.google.com/maps/search/?api=1&amp;query=40.054816,-5.757429", "https://www.google.com/maps/search/?api=1&amp;query=40.054816,-5.757429")</f>
      </c>
      <c r="P803" s="9" t="s">
        <v>583</v>
      </c>
      <c r="Q803" s="9" t="s">
        <v>1982</v>
      </c>
    </row>
    <row r="804" spans="1:17" x14ac:dyDescent="0.25">
      <c r="A804" s="8" t="s">
        <v>6024</v>
      </c>
      <c r="B804" s="8" t="s">
        <v>6025</v>
      </c>
      <c r="C804" s="9" t="s">
        <v>6026</v>
      </c>
      <c r="D804" s="9" t="s">
        <v>280</v>
      </c>
      <c r="E804" s="9" t="s">
        <v>3541</v>
      </c>
      <c r="F804" s="10">
        <v>1.359</v>
      </c>
      <c r="G804" s="10">
        <v>1.495</v>
      </c>
      <c r="H804" s="10"/>
      <c r="I804" s="9" t="s">
        <v>118</v>
      </c>
      <c r="J804" s="9" t="s">
        <v>6027</v>
      </c>
      <c r="K804" s="9" t="s">
        <v>6028</v>
      </c>
      <c r="L804" s="8" t="s">
        <v>6029</v>
      </c>
      <c r="M804" s="9" t="s">
        <v>49</v>
      </c>
      <c r="N804" s="9" t="s">
        <v>88</v>
      </c>
      <c r="O804" s="9">
        <f>HYPERLINK("https://www.google.com/maps/search/?api=1&amp;query=43.30082285,-2.002238", "https://www.google.com/maps/search/?api=1&amp;query=43.30082285,-2.002238")</f>
      </c>
      <c r="P804" s="9" t="s">
        <v>1751</v>
      </c>
      <c r="Q804" s="9" t="s">
        <v>151</v>
      </c>
    </row>
    <row r="805" spans="1:17" x14ac:dyDescent="0.25">
      <c r="A805" s="8" t="s">
        <v>6030</v>
      </c>
      <c r="B805" s="8" t="s">
        <v>6031</v>
      </c>
      <c r="C805" s="9" t="s">
        <v>6032</v>
      </c>
      <c r="D805" s="9" t="s">
        <v>138</v>
      </c>
      <c r="E805" s="9" t="s">
        <v>1706</v>
      </c>
      <c r="F805" s="10">
        <v>1.359</v>
      </c>
      <c r="G805" s="10">
        <v>1.495</v>
      </c>
      <c r="H805" s="10"/>
      <c r="I805" s="9" t="s">
        <v>140</v>
      </c>
      <c r="J805" s="9" t="s">
        <v>6033</v>
      </c>
      <c r="K805" s="9" t="s">
        <v>6034</v>
      </c>
      <c r="L805" s="8" t="s">
        <v>6035</v>
      </c>
      <c r="M805" s="9" t="s">
        <v>100</v>
      </c>
      <c r="N805" s="9" t="s">
        <v>211</v>
      </c>
      <c r="O805" s="9">
        <f>HYPERLINK("https://www.google.com/maps/search/?api=1&amp;query=42.23662884,-8.59536038", "https://www.google.com/maps/search/?api=1&amp;query=42.23662884,-8.59536038")</f>
      </c>
      <c r="P805" s="9" t="s">
        <v>965</v>
      </c>
      <c r="Q805" s="9" t="s">
        <v>6036</v>
      </c>
    </row>
    <row r="806" spans="1:17" x14ac:dyDescent="0.25">
      <c r="A806" s="8" t="s">
        <v>6037</v>
      </c>
      <c r="B806" s="8" t="s">
        <v>6038</v>
      </c>
      <c r="C806" s="9" t="s">
        <v>6039</v>
      </c>
      <c r="D806" s="9" t="s">
        <v>116</v>
      </c>
      <c r="E806" s="9" t="s">
        <v>4065</v>
      </c>
      <c r="F806" s="10">
        <v>1.359</v>
      </c>
      <c r="G806" s="10">
        <v>1.495</v>
      </c>
      <c r="H806" s="10"/>
      <c r="I806" s="9" t="s">
        <v>118</v>
      </c>
      <c r="J806" s="9" t="s">
        <v>6040</v>
      </c>
      <c r="K806" s="9" t="s">
        <v>6041</v>
      </c>
      <c r="L806" s="8" t="s">
        <v>6042</v>
      </c>
      <c r="M806" s="9" t="s">
        <v>100</v>
      </c>
      <c r="N806" s="9" t="s">
        <v>3034</v>
      </c>
      <c r="O806" s="9">
        <f>HYPERLINK("https://www.google.com/maps/search/?api=1&amp;query=43.24725873,-2.9238984", "https://www.google.com/maps/search/?api=1&amp;query=43.24725873,-2.9238984")</f>
      </c>
      <c r="P806" s="9" t="s">
        <v>6043</v>
      </c>
      <c r="Q806" s="9" t="s">
        <v>4903</v>
      </c>
    </row>
    <row r="807" spans="1:17" x14ac:dyDescent="0.25">
      <c r="A807" s="8" t="s">
        <v>6044</v>
      </c>
      <c r="B807" s="8" t="s">
        <v>6045</v>
      </c>
      <c r="C807" s="9" t="s">
        <v>6046</v>
      </c>
      <c r="D807" s="9" t="s">
        <v>83</v>
      </c>
      <c r="E807" s="9" t="s">
        <v>3673</v>
      </c>
      <c r="F807" s="10">
        <v>1.359</v>
      </c>
      <c r="G807" s="10">
        <v>1.495</v>
      </c>
      <c r="H807" s="10"/>
      <c r="I807" s="9" t="s">
        <v>83</v>
      </c>
      <c r="J807" s="9" t="s">
        <v>6047</v>
      </c>
      <c r="K807" s="9" t="s">
        <v>6048</v>
      </c>
      <c r="L807" s="8" t="s">
        <v>3676</v>
      </c>
      <c r="M807" s="9" t="s">
        <v>49</v>
      </c>
      <c r="N807" s="9" t="s">
        <v>88</v>
      </c>
      <c r="O807" s="9">
        <f>HYPERLINK("https://www.google.com/maps/search/?api=1&amp;query=40.46904612,-3.82007152", "https://www.google.com/maps/search/?api=1&amp;query=40.46904612,-3.82007152")</f>
      </c>
      <c r="P807" s="9" t="s">
        <v>413</v>
      </c>
      <c r="Q807" s="9" t="s">
        <v>1534</v>
      </c>
    </row>
    <row r="808" spans="1:17" x14ac:dyDescent="0.25">
      <c r="A808" s="8" t="s">
        <v>6049</v>
      </c>
      <c r="B808" s="8" t="s">
        <v>6050</v>
      </c>
      <c r="C808" s="9" t="s">
        <v>6051</v>
      </c>
      <c r="D808" s="9" t="s">
        <v>379</v>
      </c>
      <c r="E808" s="9" t="s">
        <v>6052</v>
      </c>
      <c r="F808" s="10">
        <v>1.359</v>
      </c>
      <c r="G808" s="10">
        <v>1.495</v>
      </c>
      <c r="H808" s="10"/>
      <c r="I808" s="9" t="s">
        <v>379</v>
      </c>
      <c r="J808" s="9" t="s">
        <v>6053</v>
      </c>
      <c r="K808" s="9" t="s">
        <v>6054</v>
      </c>
      <c r="L808" s="8" t="s">
        <v>6055</v>
      </c>
      <c r="M808" s="9" t="s">
        <v>49</v>
      </c>
      <c r="N808" s="9" t="s">
        <v>6056</v>
      </c>
      <c r="O808" s="9">
        <f>HYPERLINK("https://www.google.com/maps/search/?api=1&amp;query=43.2901601,-1.50514913", "https://www.google.com/maps/search/?api=1&amp;query=43.2901601,-1.50514913")</f>
      </c>
      <c r="P808" s="9" t="s">
        <v>1479</v>
      </c>
      <c r="Q808" s="9" t="s">
        <v>6057</v>
      </c>
    </row>
    <row r="809" spans="1:17" x14ac:dyDescent="0.25">
      <c r="A809" s="8" t="s">
        <v>6058</v>
      </c>
      <c r="B809" s="8" t="s">
        <v>6059</v>
      </c>
      <c r="C809" s="9" t="s">
        <v>6060</v>
      </c>
      <c r="D809" s="9" t="s">
        <v>516</v>
      </c>
      <c r="E809" s="9" t="s">
        <v>6061</v>
      </c>
      <c r="F809" s="10">
        <v>1.359</v>
      </c>
      <c r="G809" s="10">
        <v>1.495</v>
      </c>
      <c r="H809" s="10"/>
      <c r="I809" s="9" t="s">
        <v>140</v>
      </c>
      <c r="J809" s="9" t="s">
        <v>6062</v>
      </c>
      <c r="K809" s="9" t="s">
        <v>6063</v>
      </c>
      <c r="L809" s="8" t="s">
        <v>6064</v>
      </c>
      <c r="M809" s="9" t="s">
        <v>36</v>
      </c>
      <c r="N809" s="9" t="s">
        <v>211</v>
      </c>
      <c r="O809" s="9">
        <f>HYPERLINK("https://www.google.com/maps/search/?api=1&amp;query=42.78247602,-7.41463031", "https://www.google.com/maps/search/?api=1&amp;query=42.78247602,-7.41463031")</f>
      </c>
      <c r="P809" s="9" t="s">
        <v>4045</v>
      </c>
      <c r="Q809" s="9" t="s">
        <v>565</v>
      </c>
    </row>
    <row r="810" spans="1:17" x14ac:dyDescent="0.25">
      <c r="A810" s="8" t="s">
        <v>6065</v>
      </c>
      <c r="B810" s="8" t="s">
        <v>6066</v>
      </c>
      <c r="C810" s="9" t="s">
        <v>6067</v>
      </c>
      <c r="D810" s="9" t="s">
        <v>280</v>
      </c>
      <c r="E810" s="9" t="s">
        <v>6068</v>
      </c>
      <c r="F810" s="10">
        <v>1.359</v>
      </c>
      <c r="G810" s="10">
        <v>1.495</v>
      </c>
      <c r="H810" s="10"/>
      <c r="I810" s="9" t="s">
        <v>118</v>
      </c>
      <c r="J810" s="9" t="s">
        <v>6069</v>
      </c>
      <c r="K810" s="9" t="s">
        <v>6070</v>
      </c>
      <c r="L810" s="8" t="s">
        <v>6071</v>
      </c>
      <c r="M810" s="9" t="s">
        <v>100</v>
      </c>
      <c r="N810" s="9" t="s">
        <v>88</v>
      </c>
      <c r="O810" s="9">
        <f>HYPERLINK("https://www.google.com/maps/search/?api=1&amp;query=43.31232725,-1.87943812", "https://www.google.com/maps/search/?api=1&amp;query=43.31232725,-1.87943812")</f>
      </c>
      <c r="P810" s="9" t="s">
        <v>6072</v>
      </c>
      <c r="Q810" s="9" t="s">
        <v>6073</v>
      </c>
    </row>
    <row r="811" spans="1:17" x14ac:dyDescent="0.25">
      <c r="A811" s="8" t="s">
        <v>6074</v>
      </c>
      <c r="B811" s="8" t="s">
        <v>6075</v>
      </c>
      <c r="C811" s="9" t="s">
        <v>6076</v>
      </c>
      <c r="D811" s="9" t="s">
        <v>253</v>
      </c>
      <c r="E811" s="9" t="s">
        <v>6077</v>
      </c>
      <c r="F811" s="10">
        <v>1.359</v>
      </c>
      <c r="G811" s="10">
        <v>1.495</v>
      </c>
      <c r="H811" s="10"/>
      <c r="I811" s="9" t="s">
        <v>96</v>
      </c>
      <c r="J811" s="9" t="s">
        <v>6078</v>
      </c>
      <c r="K811" s="9" t="s">
        <v>6079</v>
      </c>
      <c r="L811" s="8" t="s">
        <v>6080</v>
      </c>
      <c r="M811" s="9" t="s">
        <v>49</v>
      </c>
      <c r="N811" s="9" t="s">
        <v>88</v>
      </c>
      <c r="O811" s="9">
        <f>HYPERLINK("https://www.google.com/maps/search/?api=1&amp;query=40.62320625,0.59359027", "https://www.google.com/maps/search/?api=1&amp;query=40.62320625,0.59359027")</f>
      </c>
      <c r="P811" s="9" t="s">
        <v>1178</v>
      </c>
      <c r="Q811" s="9" t="s">
        <v>2175</v>
      </c>
    </row>
    <row r="812" spans="1:17" x14ac:dyDescent="0.25">
      <c r="A812" s="8" t="s">
        <v>6081</v>
      </c>
      <c r="B812" s="8" t="s">
        <v>6082</v>
      </c>
      <c r="C812" s="9" t="s">
        <v>6083</v>
      </c>
      <c r="D812" s="9" t="s">
        <v>83</v>
      </c>
      <c r="E812" s="9" t="s">
        <v>997</v>
      </c>
      <c r="F812" s="10">
        <v>1.359</v>
      </c>
      <c r="G812" s="10">
        <v>1.495</v>
      </c>
      <c r="H812" s="10"/>
      <c r="I812" s="9" t="s">
        <v>83</v>
      </c>
      <c r="J812" s="9" t="s">
        <v>4431</v>
      </c>
      <c r="K812" s="9" t="s">
        <v>6084</v>
      </c>
      <c r="L812" s="8" t="s">
        <v>1000</v>
      </c>
      <c r="M812" s="9" t="s">
        <v>49</v>
      </c>
      <c r="N812" s="9" t="s">
        <v>37</v>
      </c>
      <c r="O812" s="9">
        <f>HYPERLINK("https://www.google.com/maps/search/?api=1&amp;query=40.31661204,-3.89821439", "https://www.google.com/maps/search/?api=1&amp;query=40.31661204,-3.89821439")</f>
      </c>
      <c r="P812" s="9" t="s">
        <v>6085</v>
      </c>
      <c r="Q812" s="9" t="s">
        <v>5969</v>
      </c>
    </row>
    <row r="813" spans="1:17" x14ac:dyDescent="0.25">
      <c r="A813" s="8" t="s">
        <v>6086</v>
      </c>
      <c r="B813" s="8" t="s">
        <v>6087</v>
      </c>
      <c r="C813" s="9" t="s">
        <v>6088</v>
      </c>
      <c r="D813" s="9" t="s">
        <v>116</v>
      </c>
      <c r="E813" s="9" t="s">
        <v>3448</v>
      </c>
      <c r="F813" s="10">
        <v>1.359</v>
      </c>
      <c r="G813" s="10">
        <v>1.495</v>
      </c>
      <c r="H813" s="10"/>
      <c r="I813" s="9" t="s">
        <v>118</v>
      </c>
      <c r="J813" s="9" t="s">
        <v>6089</v>
      </c>
      <c r="K813" s="9" t="s">
        <v>6090</v>
      </c>
      <c r="L813" s="8" t="s">
        <v>3451</v>
      </c>
      <c r="M813" s="9" t="s">
        <v>36</v>
      </c>
      <c r="N813" s="9" t="s">
        <v>37</v>
      </c>
      <c r="O813" s="9">
        <f>HYPERLINK("https://www.google.com/maps/search/?api=1&amp;query=43.29845894,-3.00313028", "https://www.google.com/maps/search/?api=1&amp;query=43.29845894,-3.00313028")</f>
      </c>
      <c r="P813" s="9" t="s">
        <v>6091</v>
      </c>
      <c r="Q813" s="9" t="s">
        <v>1488</v>
      </c>
    </row>
    <row r="814" spans="1:17" x14ac:dyDescent="0.25">
      <c r="A814" s="8" t="s">
        <v>6092</v>
      </c>
      <c r="B814" s="8" t="s">
        <v>6093</v>
      </c>
      <c r="C814" s="9" t="s">
        <v>6094</v>
      </c>
      <c r="D814" s="9" t="s">
        <v>94</v>
      </c>
      <c r="E814" s="9" t="s">
        <v>6095</v>
      </c>
      <c r="F814" s="10">
        <v>1.359</v>
      </c>
      <c r="G814" s="10">
        <v>1.495</v>
      </c>
      <c r="H814" s="10"/>
      <c r="I814" s="9" t="s">
        <v>96</v>
      </c>
      <c r="J814" s="9" t="s">
        <v>6096</v>
      </c>
      <c r="K814" s="9" t="s">
        <v>6097</v>
      </c>
      <c r="L814" s="8" t="s">
        <v>6098</v>
      </c>
      <c r="M814" s="9" t="s">
        <v>36</v>
      </c>
      <c r="N814" s="9" t="s">
        <v>6099</v>
      </c>
      <c r="O814" s="9">
        <f>HYPERLINK("https://www.google.com/maps/search/?api=1&amp;query=41.40322675,1.99237782", "https://www.google.com/maps/search/?api=1&amp;query=41.40322675,1.99237782")</f>
      </c>
      <c r="P814" s="9" t="s">
        <v>6100</v>
      </c>
      <c r="Q814" s="9" t="s">
        <v>4738</v>
      </c>
    </row>
    <row r="815" spans="1:17" x14ac:dyDescent="0.25">
      <c r="A815" s="8" t="s">
        <v>6101</v>
      </c>
      <c r="B815" s="8" t="s">
        <v>6102</v>
      </c>
      <c r="C815" s="9" t="s">
        <v>6103</v>
      </c>
      <c r="D815" s="9" t="s">
        <v>177</v>
      </c>
      <c r="E815" s="9" t="s">
        <v>6104</v>
      </c>
      <c r="F815" s="10">
        <v>1.359</v>
      </c>
      <c r="G815" s="10">
        <v>1.495</v>
      </c>
      <c r="H815" s="10"/>
      <c r="I815" s="9" t="s">
        <v>74</v>
      </c>
      <c r="J815" s="9" t="s">
        <v>6105</v>
      </c>
      <c r="K815" s="9" t="s">
        <v>6106</v>
      </c>
      <c r="L815" s="8" t="s">
        <v>6107</v>
      </c>
      <c r="M815" s="9" t="s">
        <v>36</v>
      </c>
      <c r="N815" s="9" t="s">
        <v>37</v>
      </c>
      <c r="O815" s="9">
        <f>HYPERLINK("https://www.google.com/maps/search/?api=1&amp;query=41.60375567,-4.81033615", "https://www.google.com/maps/search/?api=1&amp;query=41.60375567,-4.81033615")</f>
      </c>
      <c r="P815" s="9" t="s">
        <v>3580</v>
      </c>
      <c r="Q815" s="9" t="s">
        <v>2112</v>
      </c>
    </row>
    <row r="816" spans="1:17" x14ac:dyDescent="0.25">
      <c r="A816" s="8" t="s">
        <v>6108</v>
      </c>
      <c r="B816" s="8" t="s">
        <v>6109</v>
      </c>
      <c r="C816" s="9" t="s">
        <v>6110</v>
      </c>
      <c r="D816" s="9" t="s">
        <v>434</v>
      </c>
      <c r="E816" s="9" t="s">
        <v>6111</v>
      </c>
      <c r="F816" s="10">
        <v>1.359</v>
      </c>
      <c r="G816" s="10">
        <v>1.495</v>
      </c>
      <c r="H816" s="10"/>
      <c r="I816" s="9" t="s">
        <v>96</v>
      </c>
      <c r="J816" s="9" t="s">
        <v>6112</v>
      </c>
      <c r="K816" s="9" t="s">
        <v>6113</v>
      </c>
      <c r="L816" s="8" t="s">
        <v>6114</v>
      </c>
      <c r="M816" s="9" t="s">
        <v>36</v>
      </c>
      <c r="N816" s="9" t="s">
        <v>37</v>
      </c>
      <c r="O816" s="9">
        <f>HYPERLINK("https://www.google.com/maps/search/?api=1&amp;query=42.29598359,2.94013646", "https://www.google.com/maps/search/?api=1&amp;query=42.29598359,2.94013646")</f>
      </c>
      <c r="P816" s="9" t="s">
        <v>6115</v>
      </c>
      <c r="Q816" s="9" t="s">
        <v>6116</v>
      </c>
    </row>
    <row r="817" spans="1:17" x14ac:dyDescent="0.25">
      <c r="A817" s="8" t="s">
        <v>6117</v>
      </c>
      <c r="B817" s="8" t="s">
        <v>6118</v>
      </c>
      <c r="C817" s="9" t="s">
        <v>6119</v>
      </c>
      <c r="D817" s="9" t="s">
        <v>94</v>
      </c>
      <c r="E817" s="9" t="s">
        <v>6120</v>
      </c>
      <c r="F817" s="10">
        <v>1.359</v>
      </c>
      <c r="G817" s="10">
        <v>1.495</v>
      </c>
      <c r="H817" s="10"/>
      <c r="I817" s="9" t="s">
        <v>96</v>
      </c>
      <c r="J817" s="9" t="s">
        <v>6121</v>
      </c>
      <c r="K817" s="9" t="s">
        <v>6122</v>
      </c>
      <c r="L817" s="8" t="s">
        <v>6123</v>
      </c>
      <c r="M817" s="9" t="s">
        <v>49</v>
      </c>
      <c r="N817" s="9" t="s">
        <v>88</v>
      </c>
      <c r="O817" s="9">
        <f>HYPERLINK("https://www.google.com/maps/search/?api=1&amp;query=41.34617434,1.70375261", "https://www.google.com/maps/search/?api=1&amp;query=41.34617434,1.70375261")</f>
      </c>
      <c r="P817" s="9" t="s">
        <v>2594</v>
      </c>
      <c r="Q817" s="9" t="s">
        <v>6124</v>
      </c>
    </row>
    <row r="818" spans="1:17" x14ac:dyDescent="0.25">
      <c r="A818" s="8" t="s">
        <v>6125</v>
      </c>
      <c r="B818" s="8" t="s">
        <v>6126</v>
      </c>
      <c r="C818" s="9" t="s">
        <v>6127</v>
      </c>
      <c r="D818" s="9" t="s">
        <v>94</v>
      </c>
      <c r="E818" s="9" t="s">
        <v>6128</v>
      </c>
      <c r="F818" s="10">
        <v>1.359</v>
      </c>
      <c r="G818" s="10">
        <v>1.495</v>
      </c>
      <c r="H818" s="10"/>
      <c r="I818" s="9" t="s">
        <v>96</v>
      </c>
      <c r="J818" s="9" t="s">
        <v>6129</v>
      </c>
      <c r="K818" s="9" t="s">
        <v>6130</v>
      </c>
      <c r="L818" s="8" t="s">
        <v>6131</v>
      </c>
      <c r="M818" s="9" t="s">
        <v>49</v>
      </c>
      <c r="N818" s="9" t="s">
        <v>88</v>
      </c>
      <c r="O818" s="9">
        <f>HYPERLINK("https://www.google.com/maps/search/?api=1&amp;query=41.35377907,2.10661158", "https://www.google.com/maps/search/?api=1&amp;query=41.35377907,2.10661158")</f>
      </c>
      <c r="P818" s="9" t="s">
        <v>4157</v>
      </c>
      <c r="Q818" s="9" t="s">
        <v>6132</v>
      </c>
    </row>
    <row r="819" spans="1:17" x14ac:dyDescent="0.25">
      <c r="A819" s="8" t="s">
        <v>6133</v>
      </c>
      <c r="B819" s="8" t="s">
        <v>6134</v>
      </c>
      <c r="C819" s="9" t="s">
        <v>6135</v>
      </c>
      <c r="D819" s="9" t="s">
        <v>379</v>
      </c>
      <c r="E819" s="9" t="s">
        <v>6136</v>
      </c>
      <c r="F819" s="10">
        <v>1.359</v>
      </c>
      <c r="G819" s="10">
        <v>1.495</v>
      </c>
      <c r="H819" s="10"/>
      <c r="I819" s="9" t="s">
        <v>379</v>
      </c>
      <c r="J819" s="9" t="s">
        <v>6137</v>
      </c>
      <c r="K819" s="9" t="s">
        <v>6138</v>
      </c>
      <c r="L819" s="8" t="s">
        <v>6139</v>
      </c>
      <c r="M819" s="9" t="s">
        <v>100</v>
      </c>
      <c r="N819" s="9" t="s">
        <v>37</v>
      </c>
      <c r="O819" s="9">
        <f>HYPERLINK("https://www.google.com/maps/search/?api=1&amp;query=42.0125309,-1.60107361", "https://www.google.com/maps/search/?api=1&amp;query=42.0125309,-1.60107361")</f>
      </c>
      <c r="P819" s="9" t="s">
        <v>1067</v>
      </c>
      <c r="Q819" s="9" t="s">
        <v>4470</v>
      </c>
    </row>
    <row r="820" spans="1:17" x14ac:dyDescent="0.25">
      <c r="A820" s="8" t="s">
        <v>6140</v>
      </c>
      <c r="B820" s="8" t="s">
        <v>6141</v>
      </c>
      <c r="C820" s="9" t="s">
        <v>6142</v>
      </c>
      <c r="D820" s="9" t="s">
        <v>444</v>
      </c>
      <c r="E820" s="9" t="s">
        <v>844</v>
      </c>
      <c r="F820" s="10">
        <v>1.359</v>
      </c>
      <c r="G820" s="10">
        <v>1.495</v>
      </c>
      <c r="H820" s="10"/>
      <c r="I820" s="9" t="s">
        <v>444</v>
      </c>
      <c r="J820" s="9" t="s">
        <v>6143</v>
      </c>
      <c r="K820" s="9" t="s">
        <v>6144</v>
      </c>
      <c r="L820" s="8" t="s">
        <v>6145</v>
      </c>
      <c r="M820" s="9" t="s">
        <v>36</v>
      </c>
      <c r="N820" s="9" t="s">
        <v>88</v>
      </c>
      <c r="O820" s="9">
        <f>HYPERLINK("https://www.google.com/maps/search/?api=1&amp;query=43.52097014,-5.66888874", "https://www.google.com/maps/search/?api=1&amp;query=43.52097014,-5.66888874")</f>
      </c>
      <c r="P820" s="9" t="s">
        <v>1803</v>
      </c>
      <c r="Q820" s="9" t="s">
        <v>102</v>
      </c>
    </row>
    <row r="821" spans="1:17" x14ac:dyDescent="0.25">
      <c r="A821" s="8" t="s">
        <v>6146</v>
      </c>
      <c r="B821" s="8" t="s">
        <v>6147</v>
      </c>
      <c r="C821" s="9" t="s">
        <v>6148</v>
      </c>
      <c r="D821" s="9" t="s">
        <v>217</v>
      </c>
      <c r="E821" s="9" t="s">
        <v>6149</v>
      </c>
      <c r="F821" s="10">
        <v>1.359</v>
      </c>
      <c r="G821" s="10">
        <v>1.495</v>
      </c>
      <c r="H821" s="10"/>
      <c r="I821" s="9" t="s">
        <v>45</v>
      </c>
      <c r="J821" s="9" t="s">
        <v>6150</v>
      </c>
      <c r="K821" s="9" t="s">
        <v>6151</v>
      </c>
      <c r="L821" s="8" t="s">
        <v>6152</v>
      </c>
      <c r="M821" s="9" t="s">
        <v>49</v>
      </c>
      <c r="N821" s="9" t="s">
        <v>211</v>
      </c>
      <c r="O821" s="9">
        <f>HYPERLINK("https://www.google.com/maps/search/?api=1&amp;query=36.71252793,-4.26545179", "https://www.google.com/maps/search/?api=1&amp;query=36.71252793,-4.26545179")</f>
      </c>
      <c r="P821" s="9" t="s">
        <v>1287</v>
      </c>
      <c r="Q821" s="9" t="s">
        <v>420</v>
      </c>
    </row>
    <row r="822" spans="1:17" x14ac:dyDescent="0.25">
      <c r="A822" s="8" t="s">
        <v>6153</v>
      </c>
      <c r="B822" s="8" t="s">
        <v>6154</v>
      </c>
      <c r="C822" s="9" t="s">
        <v>6155</v>
      </c>
      <c r="D822" s="9" t="s">
        <v>106</v>
      </c>
      <c r="E822" s="9" t="s">
        <v>6156</v>
      </c>
      <c r="F822" s="10">
        <v>1.359</v>
      </c>
      <c r="G822" s="10">
        <v>1.495</v>
      </c>
      <c r="H822" s="10"/>
      <c r="I822" s="9" t="s">
        <v>106</v>
      </c>
      <c r="J822" s="9" t="s">
        <v>6157</v>
      </c>
      <c r="K822" s="9" t="s">
        <v>6158</v>
      </c>
      <c r="L822" s="8" t="s">
        <v>4843</v>
      </c>
      <c r="M822" s="9" t="s">
        <v>49</v>
      </c>
      <c r="N822" s="9" t="s">
        <v>37</v>
      </c>
      <c r="O822" s="9">
        <f>HYPERLINK("https://www.google.com/maps/search/?api=1&amp;query=37.60751103,-1.7602001", "https://www.google.com/maps/search/?api=1&amp;query=37.60751103,-1.7602001")</f>
      </c>
      <c r="P822" s="9" t="s">
        <v>1645</v>
      </c>
      <c r="Q822" s="9" t="s">
        <v>3226</v>
      </c>
    </row>
    <row r="823" spans="1:17" x14ac:dyDescent="0.25">
      <c r="A823" s="8" t="s">
        <v>6159</v>
      </c>
      <c r="B823" s="8" t="s">
        <v>6160</v>
      </c>
      <c r="C823" s="9" t="s">
        <v>6161</v>
      </c>
      <c r="D823" s="9" t="s">
        <v>106</v>
      </c>
      <c r="E823" s="9" t="s">
        <v>836</v>
      </c>
      <c r="F823" s="10">
        <v>1.359</v>
      </c>
      <c r="G823" s="10">
        <v>1.495</v>
      </c>
      <c r="H823" s="10"/>
      <c r="I823" s="9" t="s">
        <v>106</v>
      </c>
      <c r="J823" s="9" t="s">
        <v>6162</v>
      </c>
      <c r="K823" s="9" t="s">
        <v>6163</v>
      </c>
      <c r="L823" s="8" t="s">
        <v>839</v>
      </c>
      <c r="M823" s="9" t="s">
        <v>36</v>
      </c>
      <c r="N823" s="9" t="s">
        <v>37</v>
      </c>
      <c r="O823" s="9">
        <f>HYPERLINK("https://www.google.com/maps/search/?api=1&amp;query=38.10083863,-1.03557637", "https://www.google.com/maps/search/?api=1&amp;query=38.10083863,-1.03557637")</f>
      </c>
      <c r="P823" s="9" t="s">
        <v>813</v>
      </c>
      <c r="Q823" s="9" t="s">
        <v>840</v>
      </c>
    </row>
    <row r="824" spans="1:17" x14ac:dyDescent="0.25">
      <c r="A824" s="8" t="s">
        <v>6164</v>
      </c>
      <c r="B824" s="8" t="s">
        <v>6165</v>
      </c>
      <c r="C824" s="9" t="s">
        <v>6166</v>
      </c>
      <c r="D824" s="9" t="s">
        <v>217</v>
      </c>
      <c r="E824" s="9" t="s">
        <v>6167</v>
      </c>
      <c r="F824" s="10">
        <v>1.359</v>
      </c>
      <c r="G824" s="10">
        <v>1.495</v>
      </c>
      <c r="H824" s="10"/>
      <c r="I824" s="9" t="s">
        <v>45</v>
      </c>
      <c r="J824" s="9" t="s">
        <v>6168</v>
      </c>
      <c r="K824" s="9" t="s">
        <v>6169</v>
      </c>
      <c r="L824" s="8" t="s">
        <v>6170</v>
      </c>
      <c r="M824" s="9" t="s">
        <v>49</v>
      </c>
      <c r="N824" s="9" t="s">
        <v>37</v>
      </c>
      <c r="O824" s="9">
        <f>HYPERLINK("https://www.google.com/maps/search/?api=1&amp;query=36.5521436,-4.62770714", "https://www.google.com/maps/search/?api=1&amp;query=36.5521436,-4.62770714")</f>
      </c>
      <c r="P824" s="9" t="s">
        <v>419</v>
      </c>
      <c r="Q824" s="9" t="s">
        <v>1566</v>
      </c>
    </row>
    <row r="825" spans="1:17" x14ac:dyDescent="0.25">
      <c r="A825" s="8" t="s">
        <v>6171</v>
      </c>
      <c r="B825" s="8" t="s">
        <v>6172</v>
      </c>
      <c r="C825" s="9" t="s">
        <v>6173</v>
      </c>
      <c r="D825" s="9" t="s">
        <v>155</v>
      </c>
      <c r="E825" s="9" t="s">
        <v>6174</v>
      </c>
      <c r="F825" s="10">
        <v>1.359</v>
      </c>
      <c r="G825" s="10">
        <v>1.495</v>
      </c>
      <c r="H825" s="10"/>
      <c r="I825" s="9" t="s">
        <v>157</v>
      </c>
      <c r="J825" s="9" t="s">
        <v>6175</v>
      </c>
      <c r="K825" s="9" t="s">
        <v>6176</v>
      </c>
      <c r="L825" s="8" t="s">
        <v>6177</v>
      </c>
      <c r="M825" s="9" t="s">
        <v>49</v>
      </c>
      <c r="N825" s="9" t="s">
        <v>88</v>
      </c>
      <c r="O825" s="9">
        <f>HYPERLINK("https://www.google.com/maps/search/?api=1&amp;query=39.64332007,2.64806688", "https://www.google.com/maps/search/?api=1&amp;query=39.64332007,2.64806688")</f>
      </c>
      <c r="P825" s="9" t="s">
        <v>6178</v>
      </c>
      <c r="Q825" s="9" t="s">
        <v>548</v>
      </c>
    </row>
    <row r="826" spans="1:17" x14ac:dyDescent="0.25">
      <c r="A826" s="8" t="s">
        <v>6179</v>
      </c>
      <c r="B826" s="8" t="s">
        <v>6180</v>
      </c>
      <c r="C826" s="9" t="s">
        <v>6181</v>
      </c>
      <c r="D826" s="9" t="s">
        <v>409</v>
      </c>
      <c r="E826" s="9" t="s">
        <v>409</v>
      </c>
      <c r="F826" s="10">
        <v>1.359</v>
      </c>
      <c r="G826" s="10">
        <v>1.495</v>
      </c>
      <c r="H826" s="10"/>
      <c r="I826" s="9" t="s">
        <v>292</v>
      </c>
      <c r="J826" s="9" t="s">
        <v>6182</v>
      </c>
      <c r="K826" s="9" t="s">
        <v>6183</v>
      </c>
      <c r="L826" s="8" t="s">
        <v>6184</v>
      </c>
      <c r="M826" s="9" t="s">
        <v>49</v>
      </c>
      <c r="N826" s="9" t="s">
        <v>88</v>
      </c>
      <c r="O826" s="9">
        <f>HYPERLINK("https://www.google.com/maps/search/?api=1&amp;query=41.64748549,-0.87742472", "https://www.google.com/maps/search/?api=1&amp;query=41.64748549,-0.87742472")</f>
      </c>
      <c r="P826" s="9" t="s">
        <v>564</v>
      </c>
      <c r="Q826" s="9" t="s">
        <v>151</v>
      </c>
    </row>
    <row r="827" spans="1:17" x14ac:dyDescent="0.25">
      <c r="A827" s="8" t="s">
        <v>6185</v>
      </c>
      <c r="B827" s="8" t="s">
        <v>6186</v>
      </c>
      <c r="C827" s="9" t="s">
        <v>6187</v>
      </c>
      <c r="D827" s="9" t="s">
        <v>1192</v>
      </c>
      <c r="E827" s="9" t="s">
        <v>1192</v>
      </c>
      <c r="F827" s="10">
        <v>1.359</v>
      </c>
      <c r="G827" s="10">
        <v>1.495</v>
      </c>
      <c r="H827" s="10"/>
      <c r="I827" s="9" t="s">
        <v>168</v>
      </c>
      <c r="J827" s="9" t="s">
        <v>6188</v>
      </c>
      <c r="K827" s="9" t="s">
        <v>6189</v>
      </c>
      <c r="L827" s="8" t="s">
        <v>6190</v>
      </c>
      <c r="M827" s="9" t="s">
        <v>49</v>
      </c>
      <c r="N827" s="9" t="s">
        <v>645</v>
      </c>
      <c r="O827" s="9">
        <f>HYPERLINK("https://www.google.com/maps/search/?api=1&amp;query=38.98300202,-3.920738", "https://www.google.com/maps/search/?api=1&amp;query=38.98300202,-3.920738")</f>
      </c>
      <c r="P827" s="9" t="s">
        <v>1203</v>
      </c>
      <c r="Q827" s="9" t="s">
        <v>2743</v>
      </c>
    </row>
    <row r="828" spans="1:17" x14ac:dyDescent="0.25">
      <c r="A828" s="8" t="s">
        <v>6191</v>
      </c>
      <c r="B828" s="8" t="s">
        <v>6192</v>
      </c>
      <c r="C828" s="9" t="s">
        <v>6193</v>
      </c>
      <c r="D828" s="9" t="s">
        <v>155</v>
      </c>
      <c r="E828" s="9" t="s">
        <v>6194</v>
      </c>
      <c r="F828" s="10">
        <v>1.359</v>
      </c>
      <c r="G828" s="10">
        <v>1.495</v>
      </c>
      <c r="H828" s="10"/>
      <c r="I828" s="9" t="s">
        <v>157</v>
      </c>
      <c r="J828" s="9" t="s">
        <v>6195</v>
      </c>
      <c r="K828" s="9" t="s">
        <v>6196</v>
      </c>
      <c r="L828" s="8" t="s">
        <v>6197</v>
      </c>
      <c r="M828" s="9" t="s">
        <v>49</v>
      </c>
      <c r="N828" s="9" t="s">
        <v>483</v>
      </c>
      <c r="O828" s="9">
        <f>HYPERLINK("https://www.google.com/maps/search/?api=1&amp;query=39.56694767,3.2203354", "https://www.google.com/maps/search/?api=1&amp;query=39.56694767,3.2203354")</f>
      </c>
      <c r="P828" s="9" t="s">
        <v>5365</v>
      </c>
      <c r="Q828" s="9" t="s">
        <v>6198</v>
      </c>
    </row>
    <row r="829" spans="1:17" x14ac:dyDescent="0.25">
      <c r="A829" s="8" t="s">
        <v>6199</v>
      </c>
      <c r="B829" s="8" t="s">
        <v>6200</v>
      </c>
      <c r="C829" s="9" t="s">
        <v>6201</v>
      </c>
      <c r="D829" s="9" t="s">
        <v>83</v>
      </c>
      <c r="E829" s="9" t="s">
        <v>1816</v>
      </c>
      <c r="F829" s="10">
        <v>1.359</v>
      </c>
      <c r="G829" s="10">
        <v>1.495</v>
      </c>
      <c r="H829" s="10"/>
      <c r="I829" s="9" t="s">
        <v>83</v>
      </c>
      <c r="J829" s="9" t="s">
        <v>6202</v>
      </c>
      <c r="K829" s="9" t="s">
        <v>6203</v>
      </c>
      <c r="L829" s="8" t="s">
        <v>1819</v>
      </c>
      <c r="M829" s="9" t="s">
        <v>36</v>
      </c>
      <c r="N829" s="9" t="s">
        <v>37</v>
      </c>
      <c r="O829" s="9">
        <f>HYPERLINK("https://www.google.com/maps/search/?api=1&amp;query=40.37723737,-3.87523091", "https://www.google.com/maps/search/?api=1&amp;query=40.37723737,-3.87523091")</f>
      </c>
      <c r="P829" s="9" t="s">
        <v>2465</v>
      </c>
      <c r="Q829" s="9" t="s">
        <v>6204</v>
      </c>
    </row>
    <row r="830" spans="1:17" x14ac:dyDescent="0.25">
      <c r="A830" s="8" t="s">
        <v>6205</v>
      </c>
      <c r="B830" s="8" t="s">
        <v>6206</v>
      </c>
      <c r="C830" s="9" t="s">
        <v>6207</v>
      </c>
      <c r="D830" s="9" t="s">
        <v>72</v>
      </c>
      <c r="E830" s="9" t="s">
        <v>1723</v>
      </c>
      <c r="F830" s="10">
        <v>1.359</v>
      </c>
      <c r="G830" s="10">
        <v>1.495</v>
      </c>
      <c r="H830" s="10"/>
      <c r="I830" s="9" t="s">
        <v>74</v>
      </c>
      <c r="J830" s="9" t="s">
        <v>6208</v>
      </c>
      <c r="K830" s="9" t="s">
        <v>6209</v>
      </c>
      <c r="L830" s="8" t="s">
        <v>1726</v>
      </c>
      <c r="M830" s="9" t="s">
        <v>36</v>
      </c>
      <c r="N830" s="9" t="s">
        <v>37</v>
      </c>
      <c r="O830" s="9">
        <f>HYPERLINK("https://www.google.com/maps/search/?api=1&amp;query=42.86685349,-4.1549918", "https://www.google.com/maps/search/?api=1&amp;query=42.86685349,-4.1549918")</f>
      </c>
      <c r="P830" s="9" t="s">
        <v>6210</v>
      </c>
      <c r="Q830" s="9" t="s">
        <v>394</v>
      </c>
    </row>
    <row r="831" spans="1:17" x14ac:dyDescent="0.25">
      <c r="A831" s="8" t="s">
        <v>6211</v>
      </c>
      <c r="B831" s="8" t="s">
        <v>6212</v>
      </c>
      <c r="C831" s="9" t="s">
        <v>6213</v>
      </c>
      <c r="D831" s="9" t="s">
        <v>253</v>
      </c>
      <c r="E831" s="9" t="s">
        <v>6214</v>
      </c>
      <c r="F831" s="10">
        <v>1.359</v>
      </c>
      <c r="G831" s="10">
        <v>1.495</v>
      </c>
      <c r="H831" s="10"/>
      <c r="I831" s="9" t="s">
        <v>96</v>
      </c>
      <c r="J831" s="9" t="s">
        <v>6215</v>
      </c>
      <c r="K831" s="9" t="s">
        <v>6216</v>
      </c>
      <c r="L831" s="8" t="s">
        <v>6217</v>
      </c>
      <c r="M831" s="9" t="s">
        <v>36</v>
      </c>
      <c r="N831" s="9" t="s">
        <v>88</v>
      </c>
      <c r="O831" s="9">
        <f>HYPERLINK("https://www.google.com/maps/search/?api=1&amp;query=41.17837042,1.48857471", "https://www.google.com/maps/search/?api=1&amp;query=41.17837042,1.48857471")</f>
      </c>
      <c r="P831" s="9" t="s">
        <v>6218</v>
      </c>
      <c r="Q831" s="9" t="s">
        <v>2959</v>
      </c>
    </row>
    <row r="832" spans="1:17" x14ac:dyDescent="0.25">
      <c r="A832" s="8" t="s">
        <v>6219</v>
      </c>
      <c r="B832" s="8" t="s">
        <v>6220</v>
      </c>
      <c r="C832" s="9" t="s">
        <v>6221</v>
      </c>
      <c r="D832" s="9" t="s">
        <v>444</v>
      </c>
      <c r="E832" s="9" t="s">
        <v>6222</v>
      </c>
      <c r="F832" s="10">
        <v>1.359</v>
      </c>
      <c r="G832" s="10">
        <v>1.495</v>
      </c>
      <c r="H832" s="10"/>
      <c r="I832" s="9" t="s">
        <v>444</v>
      </c>
      <c r="J832" s="9" t="s">
        <v>6223</v>
      </c>
      <c r="K832" s="9" t="s">
        <v>6224</v>
      </c>
      <c r="L832" s="8" t="s">
        <v>6225</v>
      </c>
      <c r="M832" s="9" t="s">
        <v>49</v>
      </c>
      <c r="N832" s="9" t="s">
        <v>6226</v>
      </c>
      <c r="O832" s="9">
        <f>HYPERLINK("https://www.google.com/maps/search/?api=1&amp;query=43.41532393,-5.81091576", "https://www.google.com/maps/search/?api=1&amp;query=43.41532393,-5.81091576")</f>
      </c>
      <c r="P832" s="9" t="s">
        <v>6227</v>
      </c>
      <c r="Q832" s="9" t="s">
        <v>6228</v>
      </c>
    </row>
    <row r="833" spans="1:17" x14ac:dyDescent="0.25">
      <c r="A833" s="8" t="s">
        <v>6229</v>
      </c>
      <c r="B833" s="8" t="s">
        <v>6230</v>
      </c>
      <c r="C833" s="9" t="s">
        <v>6231</v>
      </c>
      <c r="D833" s="9" t="s">
        <v>400</v>
      </c>
      <c r="E833" s="9" t="s">
        <v>1519</v>
      </c>
      <c r="F833" s="10">
        <v>1.359</v>
      </c>
      <c r="G833" s="10">
        <v>1.495</v>
      </c>
      <c r="H833" s="10"/>
      <c r="I833" s="9" t="s">
        <v>400</v>
      </c>
      <c r="J833" s="9" t="s">
        <v>6232</v>
      </c>
      <c r="K833" s="9" t="s">
        <v>6233</v>
      </c>
      <c r="L833" s="8" t="s">
        <v>1522</v>
      </c>
      <c r="M833" s="9" t="s">
        <v>36</v>
      </c>
      <c r="N833" s="9" t="s">
        <v>556</v>
      </c>
      <c r="O833" s="9">
        <f>HYPERLINK("https://www.google.com/maps/search/?api=1&amp;query=39.54136519,-0.46262066", "https://www.google.com/maps/search/?api=1&amp;query=39.54136519,-0.46262066")</f>
      </c>
      <c r="P833" s="9" t="s">
        <v>275</v>
      </c>
      <c r="Q833" s="9" t="s">
        <v>1278</v>
      </c>
    </row>
    <row r="834" spans="1:17" x14ac:dyDescent="0.25">
      <c r="A834" s="8" t="s">
        <v>6234</v>
      </c>
      <c r="B834" s="8" t="s">
        <v>6235</v>
      </c>
      <c r="C834" s="9" t="s">
        <v>6236</v>
      </c>
      <c r="D834" s="9" t="s">
        <v>516</v>
      </c>
      <c r="E834" s="9" t="s">
        <v>6237</v>
      </c>
      <c r="F834" s="10">
        <v>1.359</v>
      </c>
      <c r="G834" s="10">
        <v>1.495</v>
      </c>
      <c r="H834" s="10"/>
      <c r="I834" s="9" t="s">
        <v>140</v>
      </c>
      <c r="J834" s="9" t="s">
        <v>6238</v>
      </c>
      <c r="K834" s="9" t="s">
        <v>6239</v>
      </c>
      <c r="L834" s="8" t="s">
        <v>6240</v>
      </c>
      <c r="M834" s="9" t="s">
        <v>36</v>
      </c>
      <c r="N834" s="9" t="s">
        <v>211</v>
      </c>
      <c r="O834" s="9">
        <f>HYPERLINK("https://www.google.com/maps/search/?api=1&amp;query=43.25361806,-7.43301238", "https://www.google.com/maps/search/?api=1&amp;query=43.25361806,-7.43301238")</f>
      </c>
      <c r="P834" s="9" t="s">
        <v>6241</v>
      </c>
      <c r="Q834" s="9" t="s">
        <v>6242</v>
      </c>
    </row>
    <row r="835" spans="1:17" x14ac:dyDescent="0.25">
      <c r="A835" s="8" t="s">
        <v>6243</v>
      </c>
      <c r="B835" s="8" t="s">
        <v>6244</v>
      </c>
      <c r="C835" s="9" t="s">
        <v>6245</v>
      </c>
      <c r="D835" s="9" t="s">
        <v>434</v>
      </c>
      <c r="E835" s="9" t="s">
        <v>6246</v>
      </c>
      <c r="F835" s="10">
        <v>1.359</v>
      </c>
      <c r="G835" s="10">
        <v>1.495</v>
      </c>
      <c r="H835" s="10"/>
      <c r="I835" s="9" t="s">
        <v>96</v>
      </c>
      <c r="J835" s="9" t="s">
        <v>6247</v>
      </c>
      <c r="K835" s="9" t="s">
        <v>6248</v>
      </c>
      <c r="L835" s="8" t="s">
        <v>6249</v>
      </c>
      <c r="M835" s="9" t="s">
        <v>49</v>
      </c>
      <c r="N835" s="9" t="s">
        <v>88</v>
      </c>
      <c r="O835" s="9">
        <f>HYPERLINK("https://www.google.com/maps/search/?api=1&amp;query=42.25291306,3.09512149", "https://www.google.com/maps/search/?api=1&amp;query=42.25291306,3.09512149")</f>
      </c>
      <c r="P835" s="9" t="s">
        <v>6250</v>
      </c>
      <c r="Q835" s="9" t="s">
        <v>2719</v>
      </c>
    </row>
    <row r="836" spans="1:17" x14ac:dyDescent="0.25">
      <c r="A836" s="8" t="s">
        <v>6251</v>
      </c>
      <c r="B836" s="8" t="s">
        <v>6252</v>
      </c>
      <c r="C836" s="9" t="s">
        <v>6253</v>
      </c>
      <c r="D836" s="9" t="s">
        <v>94</v>
      </c>
      <c r="E836" s="9" t="s">
        <v>1238</v>
      </c>
      <c r="F836" s="10">
        <v>1.359</v>
      </c>
      <c r="G836" s="10">
        <v>1.495</v>
      </c>
      <c r="H836" s="10"/>
      <c r="I836" s="9" t="s">
        <v>96</v>
      </c>
      <c r="J836" s="9" t="s">
        <v>6254</v>
      </c>
      <c r="K836" s="9" t="s">
        <v>6255</v>
      </c>
      <c r="L836" s="8" t="s">
        <v>1241</v>
      </c>
      <c r="M836" s="9" t="s">
        <v>36</v>
      </c>
      <c r="N836" s="9" t="s">
        <v>88</v>
      </c>
      <c r="O836" s="9">
        <f>HYPERLINK("https://www.google.com/maps/search/?api=1&amp;query=41.63683246,1.85019628", "https://www.google.com/maps/search/?api=1&amp;query=41.63683246,1.85019628")</f>
      </c>
      <c r="P836" s="9" t="s">
        <v>880</v>
      </c>
      <c r="Q836" s="9" t="s">
        <v>2481</v>
      </c>
    </row>
    <row r="837" spans="1:17" x14ac:dyDescent="0.25">
      <c r="A837" s="8" t="s">
        <v>6256</v>
      </c>
      <c r="B837" s="8" t="s">
        <v>6257</v>
      </c>
      <c r="C837" s="9" t="s">
        <v>6258</v>
      </c>
      <c r="D837" s="9" t="s">
        <v>434</v>
      </c>
      <c r="E837" s="9" t="s">
        <v>6259</v>
      </c>
      <c r="F837" s="10">
        <v>1.359</v>
      </c>
      <c r="G837" s="10">
        <v>1.495</v>
      </c>
      <c r="H837" s="10"/>
      <c r="I837" s="9" t="s">
        <v>96</v>
      </c>
      <c r="J837" s="9" t="s">
        <v>6260</v>
      </c>
      <c r="K837" s="9" t="s">
        <v>6261</v>
      </c>
      <c r="L837" s="8" t="s">
        <v>6262</v>
      </c>
      <c r="M837" s="9" t="s">
        <v>100</v>
      </c>
      <c r="N837" s="9" t="s">
        <v>88</v>
      </c>
      <c r="O837" s="9">
        <f>HYPERLINK("https://www.google.com/maps/search/?api=1&amp;query=41.67885341,2.77803002", "https://www.google.com/maps/search/?api=1&amp;query=41.67885341,2.77803002")</f>
      </c>
      <c r="P837" s="9" t="s">
        <v>6263</v>
      </c>
      <c r="Q837" s="9" t="s">
        <v>898</v>
      </c>
    </row>
    <row r="838" spans="1:17" x14ac:dyDescent="0.25">
      <c r="A838" s="8" t="s">
        <v>6264</v>
      </c>
      <c r="B838" s="8" t="s">
        <v>6265</v>
      </c>
      <c r="C838" s="9" t="s">
        <v>6266</v>
      </c>
      <c r="D838" s="9" t="s">
        <v>488</v>
      </c>
      <c r="E838" s="9" t="s">
        <v>6267</v>
      </c>
      <c r="F838" s="10">
        <v>1.359</v>
      </c>
      <c r="G838" s="10">
        <v>1.495</v>
      </c>
      <c r="H838" s="10"/>
      <c r="I838" s="9" t="s">
        <v>45</v>
      </c>
      <c r="J838" s="9" t="s">
        <v>6268</v>
      </c>
      <c r="K838" s="9" t="s">
        <v>6269</v>
      </c>
      <c r="L838" s="8" t="s">
        <v>6270</v>
      </c>
      <c r="M838" s="9" t="s">
        <v>49</v>
      </c>
      <c r="N838" s="9" t="s">
        <v>37</v>
      </c>
      <c r="O838" s="9">
        <f>HYPERLINK("https://www.google.com/maps/search/?api=1&amp;query=38.08854292,-3.77887717", "https://www.google.com/maps/search/?api=1&amp;query=38.08854292,-3.77887717")</f>
      </c>
      <c r="P838" s="9" t="s">
        <v>6271</v>
      </c>
      <c r="Q838" s="9" t="s">
        <v>420</v>
      </c>
    </row>
    <row r="839" spans="1:17" x14ac:dyDescent="0.25">
      <c r="A839" s="8" t="s">
        <v>6272</v>
      </c>
      <c r="B839" s="8" t="s">
        <v>6273</v>
      </c>
      <c r="C839" s="9" t="s">
        <v>6274</v>
      </c>
      <c r="D839" s="9" t="s">
        <v>226</v>
      </c>
      <c r="E839" s="9" t="s">
        <v>6275</v>
      </c>
      <c r="F839" s="10">
        <v>1.359</v>
      </c>
      <c r="G839" s="10">
        <v>1.495</v>
      </c>
      <c r="H839" s="10"/>
      <c r="I839" s="9" t="s">
        <v>168</v>
      </c>
      <c r="J839" s="9" t="s">
        <v>6276</v>
      </c>
      <c r="K839" s="9" t="s">
        <v>6277</v>
      </c>
      <c r="L839" s="8" t="s">
        <v>6278</v>
      </c>
      <c r="M839" s="9" t="s">
        <v>49</v>
      </c>
      <c r="N839" s="9" t="s">
        <v>88</v>
      </c>
      <c r="O839" s="9">
        <f>HYPERLINK("https://www.google.com/maps/search/?api=1&amp;query=40.06451801,-3.08275026", "https://www.google.com/maps/search/?api=1&amp;query=40.06451801,-3.08275026")</f>
      </c>
      <c r="P839" s="9" t="s">
        <v>1067</v>
      </c>
      <c r="Q839" s="9" t="s">
        <v>2112</v>
      </c>
    </row>
    <row r="840" spans="1:17" x14ac:dyDescent="0.25">
      <c r="A840" s="8" t="s">
        <v>6279</v>
      </c>
      <c r="B840" s="8" t="s">
        <v>6280</v>
      </c>
      <c r="C840" s="9" t="s">
        <v>6281</v>
      </c>
      <c r="D840" s="9" t="s">
        <v>43</v>
      </c>
      <c r="E840" s="9" t="s">
        <v>1292</v>
      </c>
      <c r="F840" s="10">
        <v>1.359</v>
      </c>
      <c r="G840" s="10">
        <v>1.495</v>
      </c>
      <c r="H840" s="10"/>
      <c r="I840" s="9" t="s">
        <v>45</v>
      </c>
      <c r="J840" s="9" t="s">
        <v>1293</v>
      </c>
      <c r="K840" s="9" t="s">
        <v>6282</v>
      </c>
      <c r="L840" s="8" t="s">
        <v>1295</v>
      </c>
      <c r="M840" s="9" t="s">
        <v>49</v>
      </c>
      <c r="N840" s="9" t="s">
        <v>37</v>
      </c>
      <c r="O840" s="9">
        <f>HYPERLINK("https://www.google.com/maps/search/?api=1&amp;query=37.32368111,-7.11401191", "https://www.google.com/maps/search/?api=1&amp;query=37.32368111,-7.11401191")</f>
      </c>
      <c r="P840" s="9" t="s">
        <v>38</v>
      </c>
      <c r="Q840" s="9" t="s">
        <v>6283</v>
      </c>
    </row>
    <row r="841" spans="1:17" x14ac:dyDescent="0.25">
      <c r="A841" s="8" t="s">
        <v>6284</v>
      </c>
      <c r="B841" s="8" t="s">
        <v>6285</v>
      </c>
      <c r="C841" s="9" t="s">
        <v>6286</v>
      </c>
      <c r="D841" s="9" t="s">
        <v>434</v>
      </c>
      <c r="E841" s="9" t="s">
        <v>3009</v>
      </c>
      <c r="F841" s="10">
        <v>1.359</v>
      </c>
      <c r="G841" s="10">
        <v>1.495</v>
      </c>
      <c r="H841" s="10"/>
      <c r="I841" s="9" t="s">
        <v>96</v>
      </c>
      <c r="J841" s="9" t="s">
        <v>6287</v>
      </c>
      <c r="K841" s="9" t="s">
        <v>6288</v>
      </c>
      <c r="L841" s="8" t="s">
        <v>3012</v>
      </c>
      <c r="M841" s="9" t="s">
        <v>49</v>
      </c>
      <c r="N841" s="9" t="s">
        <v>88</v>
      </c>
      <c r="O841" s="9">
        <f>HYPERLINK("https://www.google.com/maps/search/?api=1&amp;query=42.18953188,2.50425291", "https://www.google.com/maps/search/?api=1&amp;query=42.18953188,2.50425291")</f>
      </c>
      <c r="P841" s="9" t="s">
        <v>1759</v>
      </c>
      <c r="Q841" s="9" t="s">
        <v>6289</v>
      </c>
    </row>
    <row r="842" spans="1:17" x14ac:dyDescent="0.25">
      <c r="A842" s="8" t="s">
        <v>6290</v>
      </c>
      <c r="B842" s="8" t="s">
        <v>6291</v>
      </c>
      <c r="C842" s="9" t="s">
        <v>6292</v>
      </c>
      <c r="D842" s="9" t="s">
        <v>94</v>
      </c>
      <c r="E842" s="9" t="s">
        <v>1063</v>
      </c>
      <c r="F842" s="10">
        <v>1.359</v>
      </c>
      <c r="G842" s="10">
        <v>1.495</v>
      </c>
      <c r="H842" s="10"/>
      <c r="I842" s="9" t="s">
        <v>96</v>
      </c>
      <c r="J842" s="9" t="s">
        <v>6293</v>
      </c>
      <c r="K842" s="9" t="s">
        <v>6294</v>
      </c>
      <c r="L842" s="8" t="s">
        <v>1066</v>
      </c>
      <c r="M842" s="9" t="s">
        <v>49</v>
      </c>
      <c r="N842" s="9" t="s">
        <v>88</v>
      </c>
      <c r="O842" s="9">
        <f>HYPERLINK("https://www.google.com/maps/search/?api=1&amp;query=41.41088187,2.0146474", "https://www.google.com/maps/search/?api=1&amp;query=41.41088187,2.0146474")</f>
      </c>
      <c r="P842" s="9" t="s">
        <v>880</v>
      </c>
      <c r="Q842" s="9" t="s">
        <v>112</v>
      </c>
    </row>
    <row r="843" spans="1:17" x14ac:dyDescent="0.25">
      <c r="A843" s="8" t="s">
        <v>6295</v>
      </c>
      <c r="B843" s="8" t="s">
        <v>6296</v>
      </c>
      <c r="C843" s="9" t="s">
        <v>6297</v>
      </c>
      <c r="D843" s="9" t="s">
        <v>116</v>
      </c>
      <c r="E843" s="9" t="s">
        <v>4065</v>
      </c>
      <c r="F843" s="10">
        <v>1.359</v>
      </c>
      <c r="G843" s="10">
        <v>1.495</v>
      </c>
      <c r="H843" s="10"/>
      <c r="I843" s="9" t="s">
        <v>118</v>
      </c>
      <c r="J843" s="9" t="s">
        <v>6298</v>
      </c>
      <c r="K843" s="9" t="s">
        <v>6299</v>
      </c>
      <c r="L843" s="8" t="s">
        <v>6300</v>
      </c>
      <c r="M843" s="9" t="s">
        <v>49</v>
      </c>
      <c r="N843" s="9" t="s">
        <v>6301</v>
      </c>
      <c r="O843" s="9">
        <f>HYPERLINK("https://www.google.com/maps/search/?api=1&amp;query=43.26504293,-2.96104959", "https://www.google.com/maps/search/?api=1&amp;query=43.26504293,-2.96104959")</f>
      </c>
      <c r="P843" s="9" t="s">
        <v>6302</v>
      </c>
      <c r="Q843" s="9" t="s">
        <v>1278</v>
      </c>
    </row>
    <row r="844" spans="1:17" x14ac:dyDescent="0.25">
      <c r="A844" s="8" t="s">
        <v>6303</v>
      </c>
      <c r="B844" s="8" t="s">
        <v>6304</v>
      </c>
      <c r="C844" s="9" t="s">
        <v>6305</v>
      </c>
      <c r="D844" s="9" t="s">
        <v>344</v>
      </c>
      <c r="E844" s="9" t="s">
        <v>5684</v>
      </c>
      <c r="F844" s="10">
        <v>1.359</v>
      </c>
      <c r="G844" s="10">
        <v>1.495</v>
      </c>
      <c r="H844" s="10"/>
      <c r="I844" s="9" t="s">
        <v>140</v>
      </c>
      <c r="J844" s="9" t="s">
        <v>5685</v>
      </c>
      <c r="K844" s="9" t="s">
        <v>6306</v>
      </c>
      <c r="L844" s="8" t="s">
        <v>5687</v>
      </c>
      <c r="M844" s="9" t="s">
        <v>36</v>
      </c>
      <c r="N844" s="9" t="s">
        <v>37</v>
      </c>
      <c r="O844" s="9">
        <f>HYPERLINK("https://www.google.com/maps/search/?api=1&amp;query=43.27471331,-8.52874355", "https://www.google.com/maps/search/?api=1&amp;query=43.27471331,-8.52874355")</f>
      </c>
      <c r="P844" s="9" t="s">
        <v>172</v>
      </c>
      <c r="Q844" s="9" t="s">
        <v>112</v>
      </c>
    </row>
    <row r="845" spans="1:17" x14ac:dyDescent="0.25">
      <c r="A845" s="8" t="s">
        <v>6307</v>
      </c>
      <c r="B845" s="8" t="s">
        <v>6308</v>
      </c>
      <c r="C845" s="9" t="s">
        <v>6309</v>
      </c>
      <c r="D845" s="9" t="s">
        <v>400</v>
      </c>
      <c r="E845" s="9" t="s">
        <v>6310</v>
      </c>
      <c r="F845" s="10">
        <v>1.359</v>
      </c>
      <c r="G845" s="10">
        <v>1.495</v>
      </c>
      <c r="H845" s="10"/>
      <c r="I845" s="9" t="s">
        <v>400</v>
      </c>
      <c r="J845" s="9" t="s">
        <v>6311</v>
      </c>
      <c r="K845" s="9" t="s">
        <v>6312</v>
      </c>
      <c r="L845" s="8" t="s">
        <v>6313</v>
      </c>
      <c r="M845" s="9" t="s">
        <v>36</v>
      </c>
      <c r="N845" s="9" t="s">
        <v>483</v>
      </c>
      <c r="O845" s="9">
        <f>HYPERLINK("https://www.google.com/maps/search/?api=1&amp;query=38.94935349,-0.16515611", "https://www.google.com/maps/search/?api=1&amp;query=38.94935349,-0.16515611")</f>
      </c>
      <c r="P845" s="9" t="s">
        <v>321</v>
      </c>
      <c r="Q845" s="9" t="s">
        <v>4247</v>
      </c>
    </row>
    <row r="846" spans="1:17" x14ac:dyDescent="0.25">
      <c r="A846" s="8" t="s">
        <v>6314</v>
      </c>
      <c r="B846" s="8" t="s">
        <v>6315</v>
      </c>
      <c r="C846" s="9" t="s">
        <v>6316</v>
      </c>
      <c r="D846" s="9" t="s">
        <v>83</v>
      </c>
      <c r="E846" s="9" t="s">
        <v>83</v>
      </c>
      <c r="F846" s="10">
        <v>1.359</v>
      </c>
      <c r="G846" s="10">
        <v>1.495</v>
      </c>
      <c r="H846" s="10"/>
      <c r="I846" s="9" t="s">
        <v>83</v>
      </c>
      <c r="J846" s="9" t="s">
        <v>6317</v>
      </c>
      <c r="K846" s="9" t="s">
        <v>6318</v>
      </c>
      <c r="L846" s="8" t="s">
        <v>1219</v>
      </c>
      <c r="M846" s="9" t="s">
        <v>49</v>
      </c>
      <c r="N846" s="9" t="s">
        <v>37</v>
      </c>
      <c r="O846" s="9">
        <f>HYPERLINK("https://www.google.com/maps/search/?api=1&amp;query=40.47108642,-3.58032296", "https://www.google.com/maps/search/?api=1&amp;query=40.47108642,-3.58032296")</f>
      </c>
      <c r="P846" s="9" t="s">
        <v>1250</v>
      </c>
      <c r="Q846" s="9" t="s">
        <v>6009</v>
      </c>
    </row>
    <row r="847" spans="1:17" x14ac:dyDescent="0.25">
      <c r="A847" s="8" t="s">
        <v>6319</v>
      </c>
      <c r="B847" s="8" t="s">
        <v>6320</v>
      </c>
      <c r="C847" s="9" t="s">
        <v>6321</v>
      </c>
      <c r="D847" s="9" t="s">
        <v>83</v>
      </c>
      <c r="E847" s="9" t="s">
        <v>83</v>
      </c>
      <c r="F847" s="10">
        <v>1.359</v>
      </c>
      <c r="G847" s="10">
        <v>1.495</v>
      </c>
      <c r="H847" s="10"/>
      <c r="I847" s="9" t="s">
        <v>83</v>
      </c>
      <c r="J847" s="9" t="s">
        <v>6322</v>
      </c>
      <c r="K847" s="9" t="s">
        <v>6323</v>
      </c>
      <c r="L847" s="8" t="s">
        <v>6324</v>
      </c>
      <c r="M847" s="9" t="s">
        <v>49</v>
      </c>
      <c r="N847" s="9" t="s">
        <v>88</v>
      </c>
      <c r="O847" s="9">
        <f>HYPERLINK("https://www.google.com/maps/search/?api=1&amp;query=40.3785967,-3.71859175", "https://www.google.com/maps/search/?api=1&amp;query=40.3785967,-3.71859175")</f>
      </c>
      <c r="P847" s="9" t="s">
        <v>6325</v>
      </c>
      <c r="Q847" s="9" t="s">
        <v>3926</v>
      </c>
    </row>
    <row r="848" spans="1:17" x14ac:dyDescent="0.25">
      <c r="A848" s="8" t="s">
        <v>6326</v>
      </c>
      <c r="B848" s="8" t="s">
        <v>6327</v>
      </c>
      <c r="C848" s="9" t="s">
        <v>6328</v>
      </c>
      <c r="D848" s="9" t="s">
        <v>177</v>
      </c>
      <c r="E848" s="9" t="s">
        <v>6329</v>
      </c>
      <c r="F848" s="10">
        <v>1.359</v>
      </c>
      <c r="G848" s="10">
        <v>1.495</v>
      </c>
      <c r="H848" s="10"/>
      <c r="I848" s="9" t="s">
        <v>74</v>
      </c>
      <c r="J848" s="9" t="s">
        <v>6330</v>
      </c>
      <c r="K848" s="9" t="s">
        <v>6331</v>
      </c>
      <c r="L848" s="8" t="s">
        <v>6332</v>
      </c>
      <c r="M848" s="9" t="s">
        <v>36</v>
      </c>
      <c r="N848" s="9" t="s">
        <v>211</v>
      </c>
      <c r="O848" s="9">
        <f>HYPERLINK("https://www.google.com/maps/search/?api=1&amp;query=41.57553458,-5.09959338", "https://www.google.com/maps/search/?api=1&amp;query=41.57553458,-5.09959338")</f>
      </c>
      <c r="P848" s="9" t="s">
        <v>6333</v>
      </c>
      <c r="Q848" s="9" t="s">
        <v>6334</v>
      </c>
    </row>
    <row r="849" spans="1:17" x14ac:dyDescent="0.25">
      <c r="A849" s="8" t="s">
        <v>6335</v>
      </c>
      <c r="B849" s="8" t="s">
        <v>6336</v>
      </c>
      <c r="C849" s="9" t="s">
        <v>6337</v>
      </c>
      <c r="D849" s="9" t="s">
        <v>488</v>
      </c>
      <c r="E849" s="9" t="s">
        <v>3910</v>
      </c>
      <c r="F849" s="10">
        <v>1.359</v>
      </c>
      <c r="G849" s="10">
        <v>1.495</v>
      </c>
      <c r="H849" s="10"/>
      <c r="I849" s="9" t="s">
        <v>45</v>
      </c>
      <c r="J849" s="9" t="s">
        <v>6338</v>
      </c>
      <c r="K849" s="9" t="s">
        <v>6339</v>
      </c>
      <c r="L849" s="8" t="s">
        <v>3913</v>
      </c>
      <c r="M849" s="9" t="s">
        <v>49</v>
      </c>
      <c r="N849" s="9" t="s">
        <v>37</v>
      </c>
      <c r="O849" s="9">
        <f>HYPERLINK("https://www.google.com/maps/search/?api=1&amp;query=38.19645744,-3.67330652", "https://www.google.com/maps/search/?api=1&amp;query=38.19645744,-3.67330652")</f>
      </c>
      <c r="P849" s="9" t="s">
        <v>6340</v>
      </c>
      <c r="Q849" s="9" t="s">
        <v>183</v>
      </c>
    </row>
    <row r="850" spans="1:17" x14ac:dyDescent="0.25">
      <c r="A850" s="8" t="s">
        <v>6341</v>
      </c>
      <c r="B850" s="8" t="s">
        <v>6342</v>
      </c>
      <c r="C850" s="9" t="s">
        <v>6343</v>
      </c>
      <c r="D850" s="9" t="s">
        <v>94</v>
      </c>
      <c r="E850" s="9" t="s">
        <v>94</v>
      </c>
      <c r="F850" s="10">
        <v>1.359</v>
      </c>
      <c r="G850" s="10">
        <v>1.495</v>
      </c>
      <c r="H850" s="10"/>
      <c r="I850" s="9" t="s">
        <v>96</v>
      </c>
      <c r="J850" s="9" t="s">
        <v>6344</v>
      </c>
      <c r="K850" s="9" t="s">
        <v>6345</v>
      </c>
      <c r="L850" s="8" t="s">
        <v>5215</v>
      </c>
      <c r="M850" s="9" t="s">
        <v>49</v>
      </c>
      <c r="N850" s="9" t="s">
        <v>88</v>
      </c>
      <c r="O850" s="9">
        <f>HYPERLINK("https://www.google.com/maps/search/?api=1&amp;query=41.4429014,2.20596159", "https://www.google.com/maps/search/?api=1&amp;query=41.4429014,2.20596159")</f>
      </c>
      <c r="P850" s="9" t="s">
        <v>1479</v>
      </c>
      <c r="Q850" s="9" t="s">
        <v>539</v>
      </c>
    </row>
    <row r="851" spans="1:17" x14ac:dyDescent="0.25">
      <c r="A851" s="8" t="s">
        <v>6346</v>
      </c>
      <c r="B851" s="8" t="s">
        <v>6347</v>
      </c>
      <c r="C851" s="9" t="s">
        <v>6348</v>
      </c>
      <c r="D851" s="9" t="s">
        <v>94</v>
      </c>
      <c r="E851" s="9" t="s">
        <v>6349</v>
      </c>
      <c r="F851" s="10">
        <v>1.359</v>
      </c>
      <c r="G851" s="10">
        <v>1.495</v>
      </c>
      <c r="H851" s="10"/>
      <c r="I851" s="9" t="s">
        <v>96</v>
      </c>
      <c r="J851" s="9" t="s">
        <v>6350</v>
      </c>
      <c r="K851" s="9" t="s">
        <v>6351</v>
      </c>
      <c r="L851" s="8" t="s">
        <v>6352</v>
      </c>
      <c r="M851" s="9" t="s">
        <v>49</v>
      </c>
      <c r="N851" s="9" t="s">
        <v>88</v>
      </c>
      <c r="O851" s="9">
        <f>HYPERLINK("https://www.google.com/maps/search/?api=1&amp;query=41.5484905,2.26548198", "https://www.google.com/maps/search/?api=1&amp;query=41.5484905,2.26548198")</f>
      </c>
      <c r="P851" s="9" t="s">
        <v>4458</v>
      </c>
      <c r="Q851" s="9" t="s">
        <v>2959</v>
      </c>
    </row>
    <row r="852" spans="1:17" x14ac:dyDescent="0.25">
      <c r="A852" s="8" t="s">
        <v>6353</v>
      </c>
      <c r="B852" s="8" t="s">
        <v>6354</v>
      </c>
      <c r="C852" s="9" t="s">
        <v>6355</v>
      </c>
      <c r="D852" s="9" t="s">
        <v>253</v>
      </c>
      <c r="E852" s="9" t="s">
        <v>6214</v>
      </c>
      <c r="F852" s="10">
        <v>1.359</v>
      </c>
      <c r="G852" s="10">
        <v>1.495</v>
      </c>
      <c r="H852" s="10"/>
      <c r="I852" s="9" t="s">
        <v>96</v>
      </c>
      <c r="J852" s="9" t="s">
        <v>6356</v>
      </c>
      <c r="K852" s="9" t="s">
        <v>6357</v>
      </c>
      <c r="L852" s="8" t="s">
        <v>6217</v>
      </c>
      <c r="M852" s="9" t="s">
        <v>49</v>
      </c>
      <c r="N852" s="9" t="s">
        <v>88</v>
      </c>
      <c r="O852" s="9">
        <f>HYPERLINK("https://www.google.com/maps/search/?api=1&amp;query=41.17787246,1.49089218", "https://www.google.com/maps/search/?api=1&amp;query=41.17787246,1.49089218")</f>
      </c>
      <c r="P852" s="9" t="s">
        <v>6358</v>
      </c>
      <c r="Q852" s="9" t="s">
        <v>697</v>
      </c>
    </row>
    <row r="853" spans="1:17" x14ac:dyDescent="0.25">
      <c r="A853" s="8" t="s">
        <v>6359</v>
      </c>
      <c r="B853" s="8" t="s">
        <v>6360</v>
      </c>
      <c r="C853" s="9" t="s">
        <v>6361</v>
      </c>
      <c r="D853" s="9" t="s">
        <v>83</v>
      </c>
      <c r="E853" s="9" t="s">
        <v>454</v>
      </c>
      <c r="F853" s="10">
        <v>1.359</v>
      </c>
      <c r="G853" s="10">
        <v>1.495</v>
      </c>
      <c r="H853" s="10"/>
      <c r="I853" s="9" t="s">
        <v>83</v>
      </c>
      <c r="J853" s="9" t="s">
        <v>6362</v>
      </c>
      <c r="K853" s="9" t="s">
        <v>6363</v>
      </c>
      <c r="L853" s="8" t="s">
        <v>6364</v>
      </c>
      <c r="M853" s="9" t="s">
        <v>49</v>
      </c>
      <c r="N853" s="9" t="s">
        <v>88</v>
      </c>
      <c r="O853" s="9">
        <f>HYPERLINK("https://www.google.com/maps/search/?api=1&amp;query=40.42014833,-3.57658896", "https://www.google.com/maps/search/?api=1&amp;query=40.42014833,-3.57658896")</f>
      </c>
      <c r="P853" s="9" t="s">
        <v>258</v>
      </c>
      <c r="Q853" s="9" t="s">
        <v>1727</v>
      </c>
    </row>
    <row r="854" spans="1:17" x14ac:dyDescent="0.25">
      <c r="A854" s="8" t="s">
        <v>6365</v>
      </c>
      <c r="B854" s="8" t="s">
        <v>6366</v>
      </c>
      <c r="C854" s="9" t="s">
        <v>6367</v>
      </c>
      <c r="D854" s="9" t="s">
        <v>919</v>
      </c>
      <c r="E854" s="9" t="s">
        <v>6368</v>
      </c>
      <c r="F854" s="10">
        <v>1.359</v>
      </c>
      <c r="G854" s="10">
        <v>1.495</v>
      </c>
      <c r="H854" s="10"/>
      <c r="I854" s="9" t="s">
        <v>118</v>
      </c>
      <c r="J854" s="9" t="s">
        <v>6369</v>
      </c>
      <c r="K854" s="9" t="s">
        <v>6370</v>
      </c>
      <c r="L854" s="8" t="s">
        <v>6371</v>
      </c>
      <c r="M854" s="9" t="s">
        <v>49</v>
      </c>
      <c r="N854" s="9" t="s">
        <v>88</v>
      </c>
      <c r="O854" s="9">
        <f>HYPERLINK("https://www.google.com/maps/search/?api=1&amp;query=43.14858039,-2.9516224", "https://www.google.com/maps/search/?api=1&amp;query=43.14858039,-2.9516224")</f>
      </c>
      <c r="P854" s="9" t="s">
        <v>1139</v>
      </c>
      <c r="Q854" s="9" t="s">
        <v>286</v>
      </c>
    </row>
    <row r="855" spans="1:17" x14ac:dyDescent="0.25">
      <c r="A855" s="8" t="s">
        <v>6372</v>
      </c>
      <c r="B855" s="8" t="s">
        <v>6373</v>
      </c>
      <c r="C855" s="9" t="s">
        <v>6374</v>
      </c>
      <c r="D855" s="9" t="s">
        <v>94</v>
      </c>
      <c r="E855" s="9" t="s">
        <v>1444</v>
      </c>
      <c r="F855" s="10">
        <v>1.359</v>
      </c>
      <c r="G855" s="10">
        <v>1.495</v>
      </c>
      <c r="H855" s="10"/>
      <c r="I855" s="9" t="s">
        <v>96</v>
      </c>
      <c r="J855" s="9" t="s">
        <v>6375</v>
      </c>
      <c r="K855" s="9" t="s">
        <v>6376</v>
      </c>
      <c r="L855" s="8" t="s">
        <v>6377</v>
      </c>
      <c r="M855" s="9" t="s">
        <v>100</v>
      </c>
      <c r="N855" s="9" t="s">
        <v>88</v>
      </c>
      <c r="O855" s="9">
        <f>HYPERLINK("https://www.google.com/maps/search/?api=1&amp;query=41.54131691,2.42112098", "https://www.google.com/maps/search/?api=1&amp;query=41.54131691,2.42112098")</f>
      </c>
      <c r="P855" s="9" t="s">
        <v>6263</v>
      </c>
      <c r="Q855" s="9" t="s">
        <v>213</v>
      </c>
    </row>
    <row r="856" spans="1:17" x14ac:dyDescent="0.25">
      <c r="A856" s="8" t="s">
        <v>6378</v>
      </c>
      <c r="B856" s="8" t="s">
        <v>6379</v>
      </c>
      <c r="C856" s="9" t="s">
        <v>6380</v>
      </c>
      <c r="D856" s="9" t="s">
        <v>488</v>
      </c>
      <c r="E856" s="9" t="s">
        <v>6381</v>
      </c>
      <c r="F856" s="10">
        <v>1.359</v>
      </c>
      <c r="G856" s="10">
        <v>1.495</v>
      </c>
      <c r="H856" s="10"/>
      <c r="I856" s="9" t="s">
        <v>45</v>
      </c>
      <c r="J856" s="9" t="s">
        <v>6382</v>
      </c>
      <c r="K856" s="9" t="s">
        <v>6383</v>
      </c>
      <c r="L856" s="8" t="s">
        <v>6384</v>
      </c>
      <c r="M856" s="9" t="s">
        <v>36</v>
      </c>
      <c r="N856" s="9" t="s">
        <v>37</v>
      </c>
      <c r="O856" s="9">
        <f>HYPERLINK("https://www.google.com/maps/search/?api=1&amp;query=37.59395055,-3.60215206", "https://www.google.com/maps/search/?api=1&amp;query=37.59395055,-3.60215206")</f>
      </c>
      <c r="P856" s="9" t="s">
        <v>915</v>
      </c>
      <c r="Q856" s="9" t="s">
        <v>4738</v>
      </c>
    </row>
    <row r="857" spans="1:17" x14ac:dyDescent="0.25">
      <c r="A857" s="8" t="s">
        <v>6385</v>
      </c>
      <c r="B857" s="8" t="s">
        <v>6386</v>
      </c>
      <c r="C857" s="9" t="s">
        <v>6387</v>
      </c>
      <c r="D857" s="9" t="s">
        <v>61</v>
      </c>
      <c r="E857" s="9" t="s">
        <v>62</v>
      </c>
      <c r="F857" s="10">
        <v>1.359</v>
      </c>
      <c r="G857" s="10">
        <v>1.495</v>
      </c>
      <c r="H857" s="10"/>
      <c r="I857" s="9" t="s">
        <v>45</v>
      </c>
      <c r="J857" s="9" t="s">
        <v>6388</v>
      </c>
      <c r="K857" s="9" t="s">
        <v>6389</v>
      </c>
      <c r="L857" s="8" t="s">
        <v>65</v>
      </c>
      <c r="M857" s="9" t="s">
        <v>36</v>
      </c>
      <c r="N857" s="9" t="s">
        <v>37</v>
      </c>
      <c r="O857" s="9">
        <f>HYPERLINK("https://www.google.com/maps/search/?api=1&amp;query=37.30313892,-4.87668764", "https://www.google.com/maps/search/?api=1&amp;query=37.30313892,-4.87668764")</f>
      </c>
      <c r="P857" s="9" t="s">
        <v>1067</v>
      </c>
      <c r="Q857" s="9" t="s">
        <v>6390</v>
      </c>
    </row>
    <row r="858" spans="1:17" x14ac:dyDescent="0.25">
      <c r="A858" s="8" t="s">
        <v>6391</v>
      </c>
      <c r="B858" s="8" t="s">
        <v>6392</v>
      </c>
      <c r="C858" s="9" t="s">
        <v>6393</v>
      </c>
      <c r="D858" s="9" t="s">
        <v>307</v>
      </c>
      <c r="E858" s="9" t="s">
        <v>6394</v>
      </c>
      <c r="F858" s="10">
        <v>1.359</v>
      </c>
      <c r="G858" s="10">
        <v>1.495</v>
      </c>
      <c r="H858" s="10"/>
      <c r="I858" s="9" t="s">
        <v>74</v>
      </c>
      <c r="J858" s="9" t="s">
        <v>6395</v>
      </c>
      <c r="K858" s="9" t="s">
        <v>6396</v>
      </c>
      <c r="L858" s="8" t="s">
        <v>6397</v>
      </c>
      <c r="M858" s="9" t="s">
        <v>36</v>
      </c>
      <c r="N858" s="9" t="s">
        <v>211</v>
      </c>
      <c r="O858" s="9">
        <f>HYPERLINK("https://www.google.com/maps/search/?api=1&amp;query=41.52321407,-5.38618101", "https://www.google.com/maps/search/?api=1&amp;query=41.52321407,-5.38618101")</f>
      </c>
      <c r="P858" s="9" t="s">
        <v>1203</v>
      </c>
      <c r="Q858" s="9" t="s">
        <v>112</v>
      </c>
    </row>
    <row r="859" spans="1:17" x14ac:dyDescent="0.25">
      <c r="A859" s="8" t="s">
        <v>6398</v>
      </c>
      <c r="B859" s="8" t="s">
        <v>6399</v>
      </c>
      <c r="C859" s="9" t="s">
        <v>6400</v>
      </c>
      <c r="D859" s="9" t="s">
        <v>400</v>
      </c>
      <c r="E859" s="9" t="s">
        <v>758</v>
      </c>
      <c r="F859" s="10">
        <v>1.359</v>
      </c>
      <c r="G859" s="10">
        <v>1.495</v>
      </c>
      <c r="H859" s="10"/>
      <c r="I859" s="9" t="s">
        <v>400</v>
      </c>
      <c r="J859" s="9" t="s">
        <v>6401</v>
      </c>
      <c r="K859" s="9" t="s">
        <v>6402</v>
      </c>
      <c r="L859" s="8" t="s">
        <v>761</v>
      </c>
      <c r="M859" s="9" t="s">
        <v>100</v>
      </c>
      <c r="N859" s="9" t="s">
        <v>37</v>
      </c>
      <c r="O859" s="9">
        <f>HYPERLINK("https://www.google.com/maps/search/?api=1&amp;query=39.45614923,-0.9039437", "https://www.google.com/maps/search/?api=1&amp;query=39.45614923,-0.9039437")</f>
      </c>
      <c r="P859" s="9" t="s">
        <v>965</v>
      </c>
      <c r="Q859" s="9" t="s">
        <v>6403</v>
      </c>
    </row>
    <row r="860" spans="1:17" x14ac:dyDescent="0.25">
      <c r="A860" s="8" t="s">
        <v>6404</v>
      </c>
      <c r="B860" s="8" t="s">
        <v>6405</v>
      </c>
      <c r="C860" s="9" t="s">
        <v>6406</v>
      </c>
      <c r="D860" s="9" t="s">
        <v>892</v>
      </c>
      <c r="E860" s="9" t="s">
        <v>1199</v>
      </c>
      <c r="F860" s="10">
        <v>1.359</v>
      </c>
      <c r="G860" s="10">
        <v>1.495</v>
      </c>
      <c r="H860" s="10"/>
      <c r="I860" s="9" t="s">
        <v>32</v>
      </c>
      <c r="J860" s="9" t="s">
        <v>6407</v>
      </c>
      <c r="K860" s="9" t="s">
        <v>6408</v>
      </c>
      <c r="L860" s="8" t="s">
        <v>6409</v>
      </c>
      <c r="M860" s="9" t="s">
        <v>36</v>
      </c>
      <c r="N860" s="9" t="s">
        <v>66</v>
      </c>
      <c r="O860" s="9">
        <f>HYPERLINK("https://www.google.com/maps/search/?api=1&amp;query=39.48173625,-6.36284033", "https://www.google.com/maps/search/?api=1&amp;query=39.48173625,-6.36284033")</f>
      </c>
      <c r="P860" s="9" t="s">
        <v>3013</v>
      </c>
      <c r="Q860" s="9" t="s">
        <v>6410</v>
      </c>
    </row>
    <row r="861" spans="1:17" x14ac:dyDescent="0.25">
      <c r="A861" s="8" t="s">
        <v>1653</v>
      </c>
      <c r="B861" s="8" t="s">
        <v>6411</v>
      </c>
      <c r="C861" s="9" t="s">
        <v>6412</v>
      </c>
      <c r="D861" s="9" t="s">
        <v>919</v>
      </c>
      <c r="E861" s="9" t="s">
        <v>920</v>
      </c>
      <c r="F861" s="10">
        <v>1.359</v>
      </c>
      <c r="G861" s="10">
        <v>1.495</v>
      </c>
      <c r="H861" s="10"/>
      <c r="I861" s="9" t="s">
        <v>118</v>
      </c>
      <c r="J861" s="9" t="s">
        <v>921</v>
      </c>
      <c r="K861" s="9" t="s">
        <v>6413</v>
      </c>
      <c r="L861" s="8" t="s">
        <v>923</v>
      </c>
      <c r="M861" s="9" t="s">
        <v>49</v>
      </c>
      <c r="N861" s="9" t="s">
        <v>66</v>
      </c>
      <c r="O861" s="9">
        <f>HYPERLINK("https://www.google.com/maps/search/?api=1&amp;query=42.96629215,-2.87369924", "https://www.google.com/maps/search/?api=1&amp;query=42.96629215,-2.87369924")</f>
      </c>
      <c r="P861" s="9" t="s">
        <v>38</v>
      </c>
      <c r="Q861" s="9" t="s">
        <v>5429</v>
      </c>
    </row>
    <row r="862" spans="1:17" x14ac:dyDescent="0.25">
      <c r="A862" s="8" t="s">
        <v>6414</v>
      </c>
      <c r="B862" s="8" t="s">
        <v>6415</v>
      </c>
      <c r="C862" s="9" t="s">
        <v>6416</v>
      </c>
      <c r="D862" s="9" t="s">
        <v>116</v>
      </c>
      <c r="E862" s="9" t="s">
        <v>6417</v>
      </c>
      <c r="F862" s="10">
        <v>1.359</v>
      </c>
      <c r="G862" s="10">
        <v>1.495</v>
      </c>
      <c r="H862" s="10"/>
      <c r="I862" s="9" t="s">
        <v>118</v>
      </c>
      <c r="J862" s="9" t="s">
        <v>6418</v>
      </c>
      <c r="K862" s="9" t="s">
        <v>6419</v>
      </c>
      <c r="L862" s="8" t="s">
        <v>6420</v>
      </c>
      <c r="M862" s="9" t="s">
        <v>36</v>
      </c>
      <c r="N862" s="9" t="s">
        <v>483</v>
      </c>
      <c r="O862" s="9">
        <f>HYPERLINK("https://www.google.com/maps/search/?api=1&amp;query=43.25949343,-2.52368233", "https://www.google.com/maps/search/?api=1&amp;query=43.25949343,-2.52368233")</f>
      </c>
      <c r="P862" s="9" t="s">
        <v>6421</v>
      </c>
      <c r="Q862" s="9" t="s">
        <v>2018</v>
      </c>
    </row>
    <row r="863" spans="1:17" x14ac:dyDescent="0.25">
      <c r="A863" s="8" t="s">
        <v>6422</v>
      </c>
      <c r="B863" s="8" t="s">
        <v>6423</v>
      </c>
      <c r="C863" s="9" t="s">
        <v>6424</v>
      </c>
      <c r="D863" s="9" t="s">
        <v>1560</v>
      </c>
      <c r="E863" s="9" t="s">
        <v>6425</v>
      </c>
      <c r="F863" s="10">
        <v>1.359</v>
      </c>
      <c r="G863" s="10">
        <v>1.495</v>
      </c>
      <c r="H863" s="10"/>
      <c r="I863" s="9" t="s">
        <v>400</v>
      </c>
      <c r="J863" s="9" t="s">
        <v>6426</v>
      </c>
      <c r="K863" s="9" t="s">
        <v>6427</v>
      </c>
      <c r="L863" s="8" t="s">
        <v>6428</v>
      </c>
      <c r="M863" s="9" t="s">
        <v>49</v>
      </c>
      <c r="N863" s="9" t="s">
        <v>88</v>
      </c>
      <c r="O863" s="9">
        <f>HYPERLINK("https://www.google.com/maps/search/?api=1&amp;query=39.85647837,-0.16799314", "https://www.google.com/maps/search/?api=1&amp;query=39.85647837,-0.16799314")</f>
      </c>
      <c r="P863" s="9" t="s">
        <v>2817</v>
      </c>
      <c r="Q863" s="9" t="s">
        <v>5442</v>
      </c>
    </row>
    <row r="864" spans="1:17" x14ac:dyDescent="0.25">
      <c r="A864" s="8" t="s">
        <v>6429</v>
      </c>
      <c r="B864" s="8" t="s">
        <v>6430</v>
      </c>
      <c r="C864" s="9" t="s">
        <v>6431</v>
      </c>
      <c r="D864" s="9" t="s">
        <v>106</v>
      </c>
      <c r="E864" s="9" t="s">
        <v>3623</v>
      </c>
      <c r="F864" s="10">
        <v>1.359</v>
      </c>
      <c r="G864" s="10">
        <v>1.495</v>
      </c>
      <c r="H864" s="10"/>
      <c r="I864" s="9" t="s">
        <v>106</v>
      </c>
      <c r="J864" s="9" t="s">
        <v>6432</v>
      </c>
      <c r="K864" s="9" t="s">
        <v>6433</v>
      </c>
      <c r="L864" s="8" t="s">
        <v>3626</v>
      </c>
      <c r="M864" s="9" t="s">
        <v>36</v>
      </c>
      <c r="N864" s="9" t="s">
        <v>88</v>
      </c>
      <c r="O864" s="9">
        <f>HYPERLINK("https://www.google.com/maps/search/?api=1&amp;query=38.61818788,-1.10913271", "https://www.google.com/maps/search/?api=1&amp;query=38.61818788,-1.10913271")</f>
      </c>
      <c r="P864" s="9" t="s">
        <v>1533</v>
      </c>
      <c r="Q864" s="9" t="s">
        <v>112</v>
      </c>
    </row>
    <row r="865" spans="1:17" x14ac:dyDescent="0.25">
      <c r="A865" s="8" t="s">
        <v>6434</v>
      </c>
      <c r="B865" s="8" t="s">
        <v>6435</v>
      </c>
      <c r="C865" s="9" t="s">
        <v>6436</v>
      </c>
      <c r="D865" s="9" t="s">
        <v>409</v>
      </c>
      <c r="E865" s="9" t="s">
        <v>409</v>
      </c>
      <c r="F865" s="10">
        <v>1.359</v>
      </c>
      <c r="G865" s="10">
        <v>1.495</v>
      </c>
      <c r="H865" s="10"/>
      <c r="I865" s="9" t="s">
        <v>292</v>
      </c>
      <c r="J865" s="9" t="s">
        <v>6437</v>
      </c>
      <c r="K865" s="9" t="s">
        <v>6438</v>
      </c>
      <c r="L865" s="8" t="s">
        <v>6439</v>
      </c>
      <c r="M865" s="9" t="s">
        <v>36</v>
      </c>
      <c r="N865" s="9" t="s">
        <v>37</v>
      </c>
      <c r="O865" s="9">
        <f>HYPERLINK("https://www.google.com/maps/search/?api=1&amp;query=41.63578542,-0.99186264", "https://www.google.com/maps/search/?api=1&amp;query=41.63578542,-0.99186264")</f>
      </c>
      <c r="P865" s="9" t="s">
        <v>6210</v>
      </c>
      <c r="Q865" s="9" t="s">
        <v>2751</v>
      </c>
    </row>
    <row r="866" spans="1:17" x14ac:dyDescent="0.25">
      <c r="A866" s="8" t="s">
        <v>6440</v>
      </c>
      <c r="B866" s="8" t="s">
        <v>6441</v>
      </c>
      <c r="C866" s="9" t="s">
        <v>6442</v>
      </c>
      <c r="D866" s="9" t="s">
        <v>226</v>
      </c>
      <c r="E866" s="9" t="s">
        <v>6443</v>
      </c>
      <c r="F866" s="10">
        <v>1.359</v>
      </c>
      <c r="G866" s="10">
        <v>1.495</v>
      </c>
      <c r="H866" s="10"/>
      <c r="I866" s="9" t="s">
        <v>168</v>
      </c>
      <c r="J866" s="9" t="s">
        <v>6444</v>
      </c>
      <c r="K866" s="9" t="s">
        <v>6445</v>
      </c>
      <c r="L866" s="8" t="s">
        <v>6446</v>
      </c>
      <c r="M866" s="9" t="s">
        <v>49</v>
      </c>
      <c r="N866" s="9" t="s">
        <v>37</v>
      </c>
      <c r="O866" s="9">
        <f>HYPERLINK("https://www.google.com/maps/search/?api=1&amp;query=39.59732825,-2.28105577", "https://www.google.com/maps/search/?api=1&amp;query=39.59732825,-2.28105577")</f>
      </c>
      <c r="P866" s="9" t="s">
        <v>680</v>
      </c>
      <c r="Q866" s="9" t="s">
        <v>1242</v>
      </c>
    </row>
    <row r="867" spans="1:17" x14ac:dyDescent="0.25">
      <c r="A867" s="8" t="s">
        <v>6447</v>
      </c>
      <c r="B867" s="8" t="s">
        <v>6448</v>
      </c>
      <c r="C867" s="9" t="s">
        <v>6449</v>
      </c>
      <c r="D867" s="9" t="s">
        <v>1847</v>
      </c>
      <c r="E867" s="9" t="s">
        <v>6450</v>
      </c>
      <c r="F867" s="10">
        <v>1.359</v>
      </c>
      <c r="G867" s="10">
        <v>1.495</v>
      </c>
      <c r="H867" s="10"/>
      <c r="I867" s="9" t="s">
        <v>74</v>
      </c>
      <c r="J867" s="9" t="s">
        <v>6451</v>
      </c>
      <c r="K867" s="9" t="s">
        <v>6452</v>
      </c>
      <c r="L867" s="8" t="s">
        <v>6453</v>
      </c>
      <c r="M867" s="9" t="s">
        <v>36</v>
      </c>
      <c r="N867" s="9" t="s">
        <v>211</v>
      </c>
      <c r="O867" s="9">
        <f>HYPERLINK("https://www.google.com/maps/search/?api=1&amp;query=41.36791912,-3.64226546", "https://www.google.com/maps/search/?api=1&amp;query=41.36791912,-3.64226546")</f>
      </c>
      <c r="P867" s="9" t="s">
        <v>38</v>
      </c>
      <c r="Q867" s="9" t="s">
        <v>3744</v>
      </c>
    </row>
    <row r="868" spans="1:17" x14ac:dyDescent="0.25">
      <c r="A868" s="8" t="s">
        <v>6454</v>
      </c>
      <c r="B868" s="8" t="s">
        <v>6455</v>
      </c>
      <c r="C868" s="9" t="s">
        <v>6456</v>
      </c>
      <c r="D868" s="9" t="s">
        <v>344</v>
      </c>
      <c r="E868" s="9" t="s">
        <v>3069</v>
      </c>
      <c r="F868" s="10">
        <v>1.359</v>
      </c>
      <c r="G868" s="10">
        <v>1.495</v>
      </c>
      <c r="H868" s="10"/>
      <c r="I868" s="9" t="s">
        <v>140</v>
      </c>
      <c r="J868" s="9" t="s">
        <v>6457</v>
      </c>
      <c r="K868" s="9" t="s">
        <v>6458</v>
      </c>
      <c r="L868" s="8" t="s">
        <v>3072</v>
      </c>
      <c r="M868" s="9" t="s">
        <v>36</v>
      </c>
      <c r="N868" s="9" t="s">
        <v>37</v>
      </c>
      <c r="O868" s="9">
        <f>HYPERLINK("https://www.google.com/maps/search/?api=1&amp;query=43.2392957,-8.13456005", "https://www.google.com/maps/search/?api=1&amp;query=43.2392957,-8.13456005")</f>
      </c>
      <c r="P868" s="9" t="s">
        <v>38</v>
      </c>
      <c r="Q868" s="9" t="s">
        <v>3073</v>
      </c>
    </row>
    <row r="869" spans="1:17" x14ac:dyDescent="0.25">
      <c r="A869" s="8" t="s">
        <v>6459</v>
      </c>
      <c r="B869" s="8" t="s">
        <v>6460</v>
      </c>
      <c r="C869" s="9" t="s">
        <v>6461</v>
      </c>
      <c r="D869" s="9" t="s">
        <v>2050</v>
      </c>
      <c r="E869" s="9" t="s">
        <v>6462</v>
      </c>
      <c r="F869" s="10">
        <v>1.359</v>
      </c>
      <c r="G869" s="10">
        <v>1.495</v>
      </c>
      <c r="H869" s="10"/>
      <c r="I869" s="9" t="s">
        <v>140</v>
      </c>
      <c r="J869" s="9" t="s">
        <v>6463</v>
      </c>
      <c r="K869" s="9" t="s">
        <v>6464</v>
      </c>
      <c r="L869" s="8" t="s">
        <v>6465</v>
      </c>
      <c r="M869" s="9" t="s">
        <v>36</v>
      </c>
      <c r="N869" s="9" t="s">
        <v>37</v>
      </c>
      <c r="O869" s="9">
        <f>HYPERLINK("https://www.google.com/maps/search/?api=1&amp;query=42.03114228,-7.17993149", "https://www.google.com/maps/search/?api=1&amp;query=42.03114228,-7.17993149")</f>
      </c>
      <c r="P869" s="9" t="s">
        <v>965</v>
      </c>
      <c r="Q869" s="9" t="s">
        <v>3920</v>
      </c>
    </row>
    <row r="870" spans="1:17" x14ac:dyDescent="0.25">
      <c r="A870" s="8" t="s">
        <v>6466</v>
      </c>
      <c r="B870" s="8" t="s">
        <v>6467</v>
      </c>
      <c r="C870" s="9" t="s">
        <v>6468</v>
      </c>
      <c r="D870" s="9" t="s">
        <v>94</v>
      </c>
      <c r="E870" s="9" t="s">
        <v>94</v>
      </c>
      <c r="F870" s="10">
        <v>1.359</v>
      </c>
      <c r="G870" s="10">
        <v>1.495</v>
      </c>
      <c r="H870" s="10"/>
      <c r="I870" s="9" t="s">
        <v>96</v>
      </c>
      <c r="J870" s="9" t="s">
        <v>6469</v>
      </c>
      <c r="K870" s="9" t="s">
        <v>6470</v>
      </c>
      <c r="L870" s="8" t="s">
        <v>6471</v>
      </c>
      <c r="M870" s="9" t="s">
        <v>49</v>
      </c>
      <c r="N870" s="9" t="s">
        <v>37</v>
      </c>
      <c r="O870" s="9">
        <f>HYPERLINK("https://www.google.com/maps/search/?api=1&amp;query=41.4163614,2.13641948", "https://www.google.com/maps/search/?api=1&amp;query=41.4163614,2.13641948")</f>
      </c>
      <c r="P870" s="9" t="s">
        <v>6472</v>
      </c>
      <c r="Q870" s="9" t="s">
        <v>1341</v>
      </c>
    </row>
    <row r="871" spans="1:17" x14ac:dyDescent="0.25">
      <c r="A871" s="8" t="s">
        <v>6473</v>
      </c>
      <c r="B871" s="8" t="s">
        <v>6474</v>
      </c>
      <c r="C871" s="9" t="s">
        <v>6475</v>
      </c>
      <c r="D871" s="9" t="s">
        <v>469</v>
      </c>
      <c r="E871" s="9" t="s">
        <v>6476</v>
      </c>
      <c r="F871" s="10">
        <v>1.359</v>
      </c>
      <c r="G871" s="10">
        <v>1.495</v>
      </c>
      <c r="H871" s="10"/>
      <c r="I871" s="9" t="s">
        <v>74</v>
      </c>
      <c r="J871" s="9" t="s">
        <v>6477</v>
      </c>
      <c r="K871" s="9" t="s">
        <v>6478</v>
      </c>
      <c r="L871" s="8" t="s">
        <v>6479</v>
      </c>
      <c r="M871" s="9" t="s">
        <v>36</v>
      </c>
      <c r="N871" s="9" t="s">
        <v>37</v>
      </c>
      <c r="O871" s="9">
        <f>HYPERLINK("https://www.google.com/maps/search/?api=1&amp;query=40.60370194,-6.52900686", "https://www.google.com/maps/search/?api=1&amp;query=40.60370194,-6.52900686")</f>
      </c>
      <c r="P871" s="9" t="s">
        <v>705</v>
      </c>
      <c r="Q871" s="9" t="s">
        <v>512</v>
      </c>
    </row>
    <row r="872" spans="1:17" x14ac:dyDescent="0.25">
      <c r="A872" s="8" t="s">
        <v>1871</v>
      </c>
      <c r="B872" s="8" t="s">
        <v>6480</v>
      </c>
      <c r="C872" s="9" t="s">
        <v>6481</v>
      </c>
      <c r="D872" s="9" t="s">
        <v>400</v>
      </c>
      <c r="E872" s="9" t="s">
        <v>6482</v>
      </c>
      <c r="F872" s="10">
        <v>1.359</v>
      </c>
      <c r="G872" s="10">
        <v>1.495</v>
      </c>
      <c r="H872" s="10"/>
      <c r="I872" s="9" t="s">
        <v>400</v>
      </c>
      <c r="J872" s="9" t="s">
        <v>6483</v>
      </c>
      <c r="K872" s="9" t="s">
        <v>6484</v>
      </c>
      <c r="L872" s="8" t="s">
        <v>6485</v>
      </c>
      <c r="M872" s="9" t="s">
        <v>49</v>
      </c>
      <c r="N872" s="9" t="s">
        <v>88</v>
      </c>
      <c r="O872" s="9">
        <f>HYPERLINK("https://www.google.com/maps/search/?api=1&amp;query=39.20478153,-0.31734254", "https://www.google.com/maps/search/?api=1&amp;query=39.20478153,-0.31734254")</f>
      </c>
      <c r="P872" s="9" t="s">
        <v>2967</v>
      </c>
      <c r="Q872" s="9" t="s">
        <v>1566</v>
      </c>
    </row>
    <row r="873" spans="1:17" x14ac:dyDescent="0.25">
      <c r="A873" s="8" t="s">
        <v>6486</v>
      </c>
      <c r="B873" s="8" t="s">
        <v>6487</v>
      </c>
      <c r="C873" s="9" t="s">
        <v>6488</v>
      </c>
      <c r="D873" s="9" t="s">
        <v>919</v>
      </c>
      <c r="E873" s="9" t="s">
        <v>3122</v>
      </c>
      <c r="F873" s="10">
        <v>1.359</v>
      </c>
      <c r="G873" s="10">
        <v>1.495</v>
      </c>
      <c r="H873" s="10"/>
      <c r="I873" s="9" t="s">
        <v>118</v>
      </c>
      <c r="J873" s="9" t="s">
        <v>6489</v>
      </c>
      <c r="K873" s="9" t="s">
        <v>6490</v>
      </c>
      <c r="L873" s="8" t="s">
        <v>6491</v>
      </c>
      <c r="M873" s="9" t="s">
        <v>49</v>
      </c>
      <c r="N873" s="9" t="s">
        <v>645</v>
      </c>
      <c r="O873" s="9">
        <f>HYPERLINK("https://www.google.com/maps/search/?api=1&amp;query=42.86452927,-2.66049778", "https://www.google.com/maps/search/?api=1&amp;query=42.86452927,-2.66049778")</f>
      </c>
      <c r="P873" s="9" t="s">
        <v>789</v>
      </c>
      <c r="Q873" s="9" t="s">
        <v>6492</v>
      </c>
    </row>
    <row r="874" spans="1:17" x14ac:dyDescent="0.25">
      <c r="A874" s="8" t="s">
        <v>6493</v>
      </c>
      <c r="B874" s="8" t="s">
        <v>6494</v>
      </c>
      <c r="C874" s="9" t="s">
        <v>6495</v>
      </c>
      <c r="D874" s="9" t="s">
        <v>1282</v>
      </c>
      <c r="E874" s="9" t="s">
        <v>6496</v>
      </c>
      <c r="F874" s="10">
        <v>1.359</v>
      </c>
      <c r="G874" s="10">
        <v>1.495</v>
      </c>
      <c r="H874" s="10"/>
      <c r="I874" s="9" t="s">
        <v>45</v>
      </c>
      <c r="J874" s="9" t="s">
        <v>6497</v>
      </c>
      <c r="K874" s="9" t="s">
        <v>6498</v>
      </c>
      <c r="L874" s="8" t="s">
        <v>6499</v>
      </c>
      <c r="M874" s="9" t="s">
        <v>36</v>
      </c>
      <c r="N874" s="9" t="s">
        <v>88</v>
      </c>
      <c r="O874" s="9">
        <f>HYPERLINK("https://www.google.com/maps/search/?api=1&amp;query=37.34428605,-3.61904314", "https://www.google.com/maps/search/?api=1&amp;query=37.34428605,-3.61904314")</f>
      </c>
      <c r="P874" s="9" t="s">
        <v>1311</v>
      </c>
      <c r="Q874" s="9" t="s">
        <v>6500</v>
      </c>
    </row>
    <row r="875" spans="1:17" x14ac:dyDescent="0.25">
      <c r="A875" s="8" t="s">
        <v>6501</v>
      </c>
      <c r="B875" s="8" t="s">
        <v>6502</v>
      </c>
      <c r="C875" s="9" t="s">
        <v>6503</v>
      </c>
      <c r="D875" s="9" t="s">
        <v>83</v>
      </c>
      <c r="E875" s="9" t="s">
        <v>1674</v>
      </c>
      <c r="F875" s="10">
        <v>1.359</v>
      </c>
      <c r="G875" s="10">
        <v>1.495</v>
      </c>
      <c r="H875" s="10"/>
      <c r="I875" s="9" t="s">
        <v>83</v>
      </c>
      <c r="J875" s="9" t="s">
        <v>6504</v>
      </c>
      <c r="K875" s="9" t="s">
        <v>6505</v>
      </c>
      <c r="L875" s="8" t="s">
        <v>1677</v>
      </c>
      <c r="M875" s="9" t="s">
        <v>36</v>
      </c>
      <c r="N875" s="9" t="s">
        <v>88</v>
      </c>
      <c r="O875" s="9">
        <f>HYPERLINK("https://www.google.com/maps/search/?api=1&amp;query=40.55250997,-3.61885974", "https://www.google.com/maps/search/?api=1&amp;query=40.55250997,-3.61885974")</f>
      </c>
      <c r="P875" s="9" t="s">
        <v>4344</v>
      </c>
      <c r="Q875" s="9" t="s">
        <v>1727</v>
      </c>
    </row>
    <row r="876" spans="1:17" x14ac:dyDescent="0.25">
      <c r="A876" s="8" t="s">
        <v>6506</v>
      </c>
      <c r="B876" s="8" t="s">
        <v>6507</v>
      </c>
      <c r="C876" s="9" t="s">
        <v>6508</v>
      </c>
      <c r="D876" s="9" t="s">
        <v>444</v>
      </c>
      <c r="E876" s="9" t="s">
        <v>1665</v>
      </c>
      <c r="F876" s="10">
        <v>1.359</v>
      </c>
      <c r="G876" s="10">
        <v>1.495</v>
      </c>
      <c r="H876" s="10"/>
      <c r="I876" s="9" t="s">
        <v>444</v>
      </c>
      <c r="J876" s="9" t="s">
        <v>6509</v>
      </c>
      <c r="K876" s="9" t="s">
        <v>6510</v>
      </c>
      <c r="L876" s="8" t="s">
        <v>1668</v>
      </c>
      <c r="M876" s="9" t="s">
        <v>49</v>
      </c>
      <c r="N876" s="9" t="s">
        <v>37</v>
      </c>
      <c r="O876" s="9">
        <f>HYPERLINK("https://www.google.com/maps/search/?api=1&amp;query=43.51429676,-5.81969524", "https://www.google.com/maps/search/?api=1&amp;query=43.51429676,-5.81969524")</f>
      </c>
      <c r="P876" s="9" t="s">
        <v>1669</v>
      </c>
      <c r="Q876" s="9" t="s">
        <v>6511</v>
      </c>
    </row>
    <row r="877" spans="1:17" x14ac:dyDescent="0.25">
      <c r="A877" s="8" t="s">
        <v>6512</v>
      </c>
      <c r="B877" s="8" t="s">
        <v>6513</v>
      </c>
      <c r="C877" s="9" t="s">
        <v>6514</v>
      </c>
      <c r="D877" s="9" t="s">
        <v>253</v>
      </c>
      <c r="E877" s="9" t="s">
        <v>6515</v>
      </c>
      <c r="F877" s="10">
        <v>1.359</v>
      </c>
      <c r="G877" s="10">
        <v>1.495</v>
      </c>
      <c r="H877" s="10"/>
      <c r="I877" s="9" t="s">
        <v>96</v>
      </c>
      <c r="J877" s="9" t="s">
        <v>6516</v>
      </c>
      <c r="K877" s="9" t="s">
        <v>6517</v>
      </c>
      <c r="L877" s="8" t="s">
        <v>6518</v>
      </c>
      <c r="M877" s="9" t="s">
        <v>49</v>
      </c>
      <c r="N877" s="9" t="s">
        <v>88</v>
      </c>
      <c r="O877" s="9">
        <f>HYPERLINK("https://www.google.com/maps/search/?api=1&amp;query=41.11425593,1.15581996", "https://www.google.com/maps/search/?api=1&amp;query=41.11425593,1.15581996")</f>
      </c>
      <c r="P877" s="9" t="s">
        <v>3729</v>
      </c>
      <c r="Q877" s="9" t="s">
        <v>6519</v>
      </c>
    </row>
    <row r="878" spans="1:17" x14ac:dyDescent="0.25">
      <c r="A878" s="8" t="s">
        <v>6520</v>
      </c>
      <c r="B878" s="8" t="s">
        <v>6521</v>
      </c>
      <c r="C878" s="9" t="s">
        <v>6522</v>
      </c>
      <c r="D878" s="9" t="s">
        <v>177</v>
      </c>
      <c r="E878" s="9" t="s">
        <v>6523</v>
      </c>
      <c r="F878" s="10">
        <v>1.359</v>
      </c>
      <c r="G878" s="10">
        <v>1.495</v>
      </c>
      <c r="H878" s="10"/>
      <c r="I878" s="9" t="s">
        <v>74</v>
      </c>
      <c r="J878" s="9" t="s">
        <v>6524</v>
      </c>
      <c r="K878" s="9" t="s">
        <v>6525</v>
      </c>
      <c r="L878" s="8" t="s">
        <v>6526</v>
      </c>
      <c r="M878" s="9" t="s">
        <v>49</v>
      </c>
      <c r="N878" s="9" t="s">
        <v>645</v>
      </c>
      <c r="O878" s="9">
        <f>HYPERLINK("https://www.google.com/maps/search/?api=1&amp;query=41.74405853,-4.6598428", "https://www.google.com/maps/search/?api=1&amp;query=41.74405853,-4.6598428")</f>
      </c>
      <c r="P878" s="9" t="s">
        <v>705</v>
      </c>
      <c r="Q878" s="9" t="s">
        <v>6527</v>
      </c>
    </row>
    <row r="879" spans="1:17" x14ac:dyDescent="0.25">
      <c r="A879" s="8" t="s">
        <v>6528</v>
      </c>
      <c r="B879" s="8" t="s">
        <v>6529</v>
      </c>
      <c r="C879" s="9" t="s">
        <v>6530</v>
      </c>
      <c r="D879" s="9" t="s">
        <v>280</v>
      </c>
      <c r="E879" s="9" t="s">
        <v>6531</v>
      </c>
      <c r="F879" s="10">
        <v>1.359</v>
      </c>
      <c r="G879" s="10">
        <v>1.495</v>
      </c>
      <c r="H879" s="10"/>
      <c r="I879" s="9" t="s">
        <v>118</v>
      </c>
      <c r="J879" s="9" t="s">
        <v>6532</v>
      </c>
      <c r="K879" s="9" t="s">
        <v>6533</v>
      </c>
      <c r="L879" s="8" t="s">
        <v>6534</v>
      </c>
      <c r="M879" s="9" t="s">
        <v>49</v>
      </c>
      <c r="N879" s="9" t="s">
        <v>88</v>
      </c>
      <c r="O879" s="9">
        <f>HYPERLINK("https://www.google.com/maps/search/?api=1&amp;query=43.25265678,-2.02163596", "https://www.google.com/maps/search/?api=1&amp;query=43.25265678,-2.02163596")</f>
      </c>
      <c r="P879" s="9" t="s">
        <v>144</v>
      </c>
      <c r="Q879" s="9" t="s">
        <v>6535</v>
      </c>
    </row>
    <row r="880" spans="1:17" x14ac:dyDescent="0.25">
      <c r="A880" s="8" t="s">
        <v>6536</v>
      </c>
      <c r="B880" s="8" t="s">
        <v>6537</v>
      </c>
      <c r="C880" s="9" t="s">
        <v>6538</v>
      </c>
      <c r="D880" s="9" t="s">
        <v>94</v>
      </c>
      <c r="E880" s="9" t="s">
        <v>6539</v>
      </c>
      <c r="F880" s="10">
        <v>1.359</v>
      </c>
      <c r="G880" s="10">
        <v>1.495</v>
      </c>
      <c r="H880" s="10"/>
      <c r="I880" s="9" t="s">
        <v>96</v>
      </c>
      <c r="J880" s="9" t="s">
        <v>6540</v>
      </c>
      <c r="K880" s="9" t="s">
        <v>6541</v>
      </c>
      <c r="L880" s="8" t="s">
        <v>6542</v>
      </c>
      <c r="M880" s="9" t="s">
        <v>36</v>
      </c>
      <c r="N880" s="9" t="s">
        <v>88</v>
      </c>
      <c r="O880" s="9">
        <f>HYPERLINK("https://www.google.com/maps/search/?api=1&amp;query=41.73800782,2.26677116", "https://www.google.com/maps/search/?api=1&amp;query=41.73800782,2.26677116")</f>
      </c>
      <c r="P880" s="9" t="s">
        <v>6543</v>
      </c>
      <c r="Q880" s="9" t="s">
        <v>6544</v>
      </c>
    </row>
    <row r="881" spans="1:17" x14ac:dyDescent="0.25">
      <c r="A881" s="8" t="s">
        <v>6545</v>
      </c>
      <c r="B881" s="8" t="s">
        <v>6546</v>
      </c>
      <c r="C881" s="9" t="s">
        <v>6547</v>
      </c>
      <c r="D881" s="9" t="s">
        <v>138</v>
      </c>
      <c r="E881" s="9" t="s">
        <v>2163</v>
      </c>
      <c r="F881" s="10">
        <v>1.359</v>
      </c>
      <c r="G881" s="10">
        <v>1.495</v>
      </c>
      <c r="H881" s="10"/>
      <c r="I881" s="9" t="s">
        <v>140</v>
      </c>
      <c r="J881" s="9" t="s">
        <v>6548</v>
      </c>
      <c r="K881" s="9" t="s">
        <v>6549</v>
      </c>
      <c r="L881" s="8" t="s">
        <v>6550</v>
      </c>
      <c r="M881" s="9" t="s">
        <v>49</v>
      </c>
      <c r="N881" s="9" t="s">
        <v>37</v>
      </c>
      <c r="O881" s="9">
        <f>HYPERLINK("https://www.google.com/maps/search/?api=1&amp;query=42.2289323,-8.72010561", "https://www.google.com/maps/search/?api=1&amp;query=42.2289323,-8.72010561")</f>
      </c>
      <c r="P881" s="9" t="s">
        <v>646</v>
      </c>
      <c r="Q881" s="9" t="s">
        <v>6551</v>
      </c>
    </row>
    <row r="882" spans="1:17" x14ac:dyDescent="0.25">
      <c r="A882" s="8" t="s">
        <v>6552</v>
      </c>
      <c r="B882" s="8" t="s">
        <v>6553</v>
      </c>
      <c r="C882" s="9" t="s">
        <v>6554</v>
      </c>
      <c r="D882" s="9" t="s">
        <v>217</v>
      </c>
      <c r="E882" s="9" t="s">
        <v>271</v>
      </c>
      <c r="F882" s="10">
        <v>1.359</v>
      </c>
      <c r="G882" s="10">
        <v>1.495</v>
      </c>
      <c r="H882" s="10"/>
      <c r="I882" s="9" t="s">
        <v>45</v>
      </c>
      <c r="J882" s="9" t="s">
        <v>6555</v>
      </c>
      <c r="K882" s="9" t="s">
        <v>6556</v>
      </c>
      <c r="L882" s="8" t="s">
        <v>5581</v>
      </c>
      <c r="M882" s="9" t="s">
        <v>36</v>
      </c>
      <c r="N882" s="9" t="s">
        <v>88</v>
      </c>
      <c r="O882" s="9">
        <f>HYPERLINK("https://www.google.com/maps/search/?api=1&amp;query=36.68240468,-4.46832639", "https://www.google.com/maps/search/?api=1&amp;query=36.68240468,-4.46832639")</f>
      </c>
      <c r="P882" s="9" t="s">
        <v>1287</v>
      </c>
      <c r="Q882" s="9" t="s">
        <v>6198</v>
      </c>
    </row>
    <row r="883" spans="1:17" x14ac:dyDescent="0.25">
      <c r="A883" s="8" t="s">
        <v>6557</v>
      </c>
      <c r="B883" s="8" t="s">
        <v>6558</v>
      </c>
      <c r="C883" s="9" t="s">
        <v>6559</v>
      </c>
      <c r="D883" s="9" t="s">
        <v>400</v>
      </c>
      <c r="E883" s="9" t="s">
        <v>400</v>
      </c>
      <c r="F883" s="10">
        <v>1.359</v>
      </c>
      <c r="G883" s="10">
        <v>1.495</v>
      </c>
      <c r="H883" s="10"/>
      <c r="I883" s="9" t="s">
        <v>400</v>
      </c>
      <c r="J883" s="9" t="s">
        <v>6560</v>
      </c>
      <c r="K883" s="9" t="s">
        <v>6561</v>
      </c>
      <c r="L883" s="8" t="s">
        <v>6562</v>
      </c>
      <c r="M883" s="9" t="s">
        <v>49</v>
      </c>
      <c r="N883" s="9" t="s">
        <v>645</v>
      </c>
      <c r="O883" s="9">
        <f>HYPERLINK("https://www.google.com/maps/search/?api=1&amp;query=39.46075355,-0.40001269", "https://www.google.com/maps/search/?api=1&amp;query=39.46075355,-0.40001269")</f>
      </c>
      <c r="P883" s="9" t="s">
        <v>6563</v>
      </c>
      <c r="Q883" s="9" t="s">
        <v>6564</v>
      </c>
    </row>
    <row r="884" spans="1:17" x14ac:dyDescent="0.25">
      <c r="A884" s="8" t="s">
        <v>6565</v>
      </c>
      <c r="B884" s="8" t="s">
        <v>6566</v>
      </c>
      <c r="C884" s="9" t="s">
        <v>6567</v>
      </c>
      <c r="D884" s="9" t="s">
        <v>83</v>
      </c>
      <c r="E884" s="9" t="s">
        <v>3487</v>
      </c>
      <c r="F884" s="10">
        <v>1.359</v>
      </c>
      <c r="G884" s="10">
        <v>1.495</v>
      </c>
      <c r="H884" s="10"/>
      <c r="I884" s="9" t="s">
        <v>83</v>
      </c>
      <c r="J884" s="9" t="s">
        <v>6568</v>
      </c>
      <c r="K884" s="9" t="s">
        <v>6569</v>
      </c>
      <c r="L884" s="8" t="s">
        <v>6570</v>
      </c>
      <c r="M884" s="9" t="s">
        <v>49</v>
      </c>
      <c r="N884" s="9" t="s">
        <v>37</v>
      </c>
      <c r="O884" s="9">
        <f>HYPERLINK("https://www.google.com/maps/search/?api=1&amp;query=40.32432338,-3.84727461", "https://www.google.com/maps/search/?api=1&amp;query=40.32432338,-3.84727461")</f>
      </c>
      <c r="P884" s="9" t="s">
        <v>2529</v>
      </c>
      <c r="Q884" s="9" t="s">
        <v>1188</v>
      </c>
    </row>
    <row r="885" spans="1:17" x14ac:dyDescent="0.25">
      <c r="A885" s="8" t="s">
        <v>6571</v>
      </c>
      <c r="B885" s="8" t="s">
        <v>6572</v>
      </c>
      <c r="C885" s="9" t="s">
        <v>6573</v>
      </c>
      <c r="D885" s="9" t="s">
        <v>116</v>
      </c>
      <c r="E885" s="9" t="s">
        <v>6574</v>
      </c>
      <c r="F885" s="10">
        <v>1.359</v>
      </c>
      <c r="G885" s="10">
        <v>1.495</v>
      </c>
      <c r="H885" s="10"/>
      <c r="I885" s="9" t="s">
        <v>118</v>
      </c>
      <c r="J885" s="9" t="s">
        <v>6575</v>
      </c>
      <c r="K885" s="9" t="s">
        <v>6576</v>
      </c>
      <c r="L885" s="8" t="s">
        <v>6577</v>
      </c>
      <c r="M885" s="9" t="s">
        <v>49</v>
      </c>
      <c r="N885" s="9" t="s">
        <v>88</v>
      </c>
      <c r="O885" s="9">
        <f>HYPERLINK("https://www.google.com/maps/search/?api=1&amp;query=43.17533552,-2.64148657", "https://www.google.com/maps/search/?api=1&amp;query=43.17533552,-2.64148657")</f>
      </c>
      <c r="P885" s="9" t="s">
        <v>172</v>
      </c>
      <c r="Q885" s="9" t="s">
        <v>112</v>
      </c>
    </row>
    <row r="886" spans="1:17" x14ac:dyDescent="0.25">
      <c r="A886" s="8" t="s">
        <v>6578</v>
      </c>
      <c r="B886" s="8" t="s">
        <v>6579</v>
      </c>
      <c r="C886" s="9" t="s">
        <v>6580</v>
      </c>
      <c r="D886" s="9" t="s">
        <v>379</v>
      </c>
      <c r="E886" s="9" t="s">
        <v>380</v>
      </c>
      <c r="F886" s="10">
        <v>1.359</v>
      </c>
      <c r="G886" s="10">
        <v>1.495</v>
      </c>
      <c r="H886" s="10"/>
      <c r="I886" s="9" t="s">
        <v>379</v>
      </c>
      <c r="J886" s="9" t="s">
        <v>6581</v>
      </c>
      <c r="K886" s="9" t="s">
        <v>6582</v>
      </c>
      <c r="L886" s="8" t="s">
        <v>383</v>
      </c>
      <c r="M886" s="9" t="s">
        <v>100</v>
      </c>
      <c r="N886" s="9" t="s">
        <v>37</v>
      </c>
      <c r="O886" s="9">
        <f>HYPERLINK("https://www.google.com/maps/search/?api=1&amp;query=43.27822491,-1.70850542", "https://www.google.com/maps/search/?api=1&amp;query=43.27822491,-1.70850542")</f>
      </c>
      <c r="P886" s="9" t="s">
        <v>6583</v>
      </c>
      <c r="Q886" s="9" t="s">
        <v>102</v>
      </c>
    </row>
    <row r="887" spans="1:17" x14ac:dyDescent="0.25">
      <c r="A887" s="8" t="s">
        <v>6584</v>
      </c>
      <c r="B887" s="8" t="s">
        <v>6585</v>
      </c>
      <c r="C887" s="9" t="s">
        <v>6586</v>
      </c>
      <c r="D887" s="9" t="s">
        <v>106</v>
      </c>
      <c r="E887" s="9" t="s">
        <v>6587</v>
      </c>
      <c r="F887" s="10">
        <v>1.359</v>
      </c>
      <c r="G887" s="10">
        <v>1.495</v>
      </c>
      <c r="H887" s="10"/>
      <c r="I887" s="9" t="s">
        <v>106</v>
      </c>
      <c r="J887" s="9" t="s">
        <v>6588</v>
      </c>
      <c r="K887" s="9" t="s">
        <v>6589</v>
      </c>
      <c r="L887" s="8" t="s">
        <v>6590</v>
      </c>
      <c r="M887" s="9" t="s">
        <v>36</v>
      </c>
      <c r="N887" s="9" t="s">
        <v>88</v>
      </c>
      <c r="O887" s="9">
        <f>HYPERLINK("https://www.google.com/maps/search/?api=1&amp;query=37.83953223,-0.77815464", "https://www.google.com/maps/search/?api=1&amp;query=37.83953223,-0.77815464")</f>
      </c>
      <c r="P887" s="9" t="s">
        <v>5968</v>
      </c>
      <c r="Q887" s="9" t="s">
        <v>6591</v>
      </c>
    </row>
    <row r="888" spans="1:17" x14ac:dyDescent="0.25">
      <c r="A888" s="8" t="s">
        <v>6592</v>
      </c>
      <c r="B888" s="8" t="s">
        <v>6593</v>
      </c>
      <c r="C888" s="9" t="s">
        <v>6594</v>
      </c>
      <c r="D888" s="9" t="s">
        <v>138</v>
      </c>
      <c r="E888" s="9" t="s">
        <v>138</v>
      </c>
      <c r="F888" s="10">
        <v>1.359</v>
      </c>
      <c r="G888" s="10">
        <v>1.495</v>
      </c>
      <c r="H888" s="10"/>
      <c r="I888" s="9" t="s">
        <v>140</v>
      </c>
      <c r="J888" s="9" t="s">
        <v>6595</v>
      </c>
      <c r="K888" s="9" t="s">
        <v>6596</v>
      </c>
      <c r="L888" s="8" t="s">
        <v>6597</v>
      </c>
      <c r="M888" s="9" t="s">
        <v>49</v>
      </c>
      <c r="N888" s="9" t="s">
        <v>211</v>
      </c>
      <c r="O888" s="9">
        <f>HYPERLINK("https://www.google.com/maps/search/?api=1&amp;query=42.43639172,-8.64385057", "https://www.google.com/maps/search/?api=1&amp;query=42.43639172,-8.64385057")</f>
      </c>
      <c r="P888" s="9" t="s">
        <v>1287</v>
      </c>
      <c r="Q888" s="9" t="s">
        <v>6598</v>
      </c>
    </row>
    <row r="889" spans="1:17" x14ac:dyDescent="0.25">
      <c r="A889" s="8" t="s">
        <v>6599</v>
      </c>
      <c r="B889" s="8" t="s">
        <v>6600</v>
      </c>
      <c r="C889" s="9" t="s">
        <v>6601</v>
      </c>
      <c r="D889" s="9" t="s">
        <v>1617</v>
      </c>
      <c r="E889" s="9" t="s">
        <v>1617</v>
      </c>
      <c r="F889" s="10">
        <v>1.359</v>
      </c>
      <c r="G889" s="10">
        <v>1.495</v>
      </c>
      <c r="H889" s="10"/>
      <c r="I889" s="9" t="s">
        <v>292</v>
      </c>
      <c r="J889" s="9" t="s">
        <v>6602</v>
      </c>
      <c r="K889" s="9" t="s">
        <v>6603</v>
      </c>
      <c r="L889" s="8" t="s">
        <v>2283</v>
      </c>
      <c r="M889" s="9" t="s">
        <v>100</v>
      </c>
      <c r="N889" s="9" t="s">
        <v>37</v>
      </c>
      <c r="O889" s="9">
        <f>HYPERLINK("https://www.google.com/maps/search/?api=1&amp;query=42.13183457,-0.41906477", "https://www.google.com/maps/search/?api=1&amp;query=42.13183457,-0.41906477")</f>
      </c>
      <c r="P889" s="9" t="s">
        <v>3346</v>
      </c>
      <c r="Q889" s="9" t="s">
        <v>3926</v>
      </c>
    </row>
    <row r="890" spans="1:17" x14ac:dyDescent="0.25">
      <c r="A890" s="8" t="s">
        <v>6604</v>
      </c>
      <c r="B890" s="8" t="s">
        <v>6605</v>
      </c>
      <c r="C890" s="9" t="s">
        <v>6606</v>
      </c>
      <c r="D890" s="9" t="s">
        <v>83</v>
      </c>
      <c r="E890" s="9" t="s">
        <v>6607</v>
      </c>
      <c r="F890" s="10">
        <v>1.359</v>
      </c>
      <c r="G890" s="10">
        <v>1.495</v>
      </c>
      <c r="H890" s="10"/>
      <c r="I890" s="9" t="s">
        <v>83</v>
      </c>
      <c r="J890" s="9" t="s">
        <v>6608</v>
      </c>
      <c r="K890" s="9" t="s">
        <v>6609</v>
      </c>
      <c r="L890" s="8" t="s">
        <v>6610</v>
      </c>
      <c r="M890" s="9" t="s">
        <v>100</v>
      </c>
      <c r="N890" s="9" t="s">
        <v>211</v>
      </c>
      <c r="O890" s="9">
        <f>HYPERLINK("https://www.google.com/maps/search/?api=1&amp;query=40.95540857,-3.78416265", "https://www.google.com/maps/search/?api=1&amp;query=40.95540857,-3.78416265")</f>
      </c>
      <c r="P890" s="9" t="s">
        <v>2786</v>
      </c>
      <c r="Q890" s="9" t="s">
        <v>3771</v>
      </c>
    </row>
    <row r="891" spans="1:17" x14ac:dyDescent="0.25">
      <c r="A891" s="8" t="s">
        <v>5324</v>
      </c>
      <c r="B891" s="8" t="s">
        <v>6611</v>
      </c>
      <c r="C891" s="9" t="s">
        <v>6612</v>
      </c>
      <c r="D891" s="9" t="s">
        <v>83</v>
      </c>
      <c r="E891" s="9" t="s">
        <v>6613</v>
      </c>
      <c r="F891" s="10">
        <v>1.359</v>
      </c>
      <c r="G891" s="10">
        <v>1.495</v>
      </c>
      <c r="H891" s="10"/>
      <c r="I891" s="9" t="s">
        <v>83</v>
      </c>
      <c r="J891" s="9" t="s">
        <v>6614</v>
      </c>
      <c r="K891" s="9" t="s">
        <v>6615</v>
      </c>
      <c r="L891" s="8" t="s">
        <v>6616</v>
      </c>
      <c r="M891" s="9" t="s">
        <v>100</v>
      </c>
      <c r="N891" s="9" t="s">
        <v>6617</v>
      </c>
      <c r="O891" s="9">
        <f>HYPERLINK("https://www.google.com/maps/search/?api=1&amp;query=40.35742221,-4.37948412", "https://www.google.com/maps/search/?api=1&amp;query=40.35742221,-4.37948412")</f>
      </c>
      <c r="P891" s="9" t="s">
        <v>2625</v>
      </c>
      <c r="Q891" s="9" t="s">
        <v>2743</v>
      </c>
    </row>
    <row r="892" spans="1:17" x14ac:dyDescent="0.25">
      <c r="A892" s="8" t="s">
        <v>6618</v>
      </c>
      <c r="B892" s="8" t="s">
        <v>6619</v>
      </c>
      <c r="C892" s="9" t="s">
        <v>6620</v>
      </c>
      <c r="D892" s="9" t="s">
        <v>94</v>
      </c>
      <c r="E892" s="9" t="s">
        <v>6621</v>
      </c>
      <c r="F892" s="10">
        <v>1.359</v>
      </c>
      <c r="G892" s="10">
        <v>1.495</v>
      </c>
      <c r="H892" s="10"/>
      <c r="I892" s="9" t="s">
        <v>96</v>
      </c>
      <c r="J892" s="9" t="s">
        <v>6622</v>
      </c>
      <c r="K892" s="9" t="s">
        <v>6623</v>
      </c>
      <c r="L892" s="8" t="s">
        <v>6624</v>
      </c>
      <c r="M892" s="9" t="s">
        <v>36</v>
      </c>
      <c r="N892" s="9" t="s">
        <v>88</v>
      </c>
      <c r="O892" s="9">
        <f>HYPERLINK("https://www.google.com/maps/search/?api=1&amp;query=41.65781602,2.45063669", "https://www.google.com/maps/search/?api=1&amp;query=41.65781602,2.45063669")</f>
      </c>
      <c r="P892" s="9" t="s">
        <v>4458</v>
      </c>
      <c r="Q892" s="9" t="s">
        <v>6625</v>
      </c>
    </row>
    <row r="893" spans="1:17" x14ac:dyDescent="0.25">
      <c r="A893" s="8" t="s">
        <v>6626</v>
      </c>
      <c r="B893" s="8" t="s">
        <v>6627</v>
      </c>
      <c r="C893" s="9" t="s">
        <v>6628</v>
      </c>
      <c r="D893" s="9" t="s">
        <v>919</v>
      </c>
      <c r="E893" s="9" t="s">
        <v>6629</v>
      </c>
      <c r="F893" s="10">
        <v>1.359</v>
      </c>
      <c r="G893" s="10">
        <v>1.495</v>
      </c>
      <c r="H893" s="10"/>
      <c r="I893" s="9" t="s">
        <v>118</v>
      </c>
      <c r="J893" s="9" t="s">
        <v>6630</v>
      </c>
      <c r="K893" s="9" t="s">
        <v>6631</v>
      </c>
      <c r="L893" s="8" t="s">
        <v>6632</v>
      </c>
      <c r="M893" s="9" t="s">
        <v>49</v>
      </c>
      <c r="N893" s="9" t="s">
        <v>88</v>
      </c>
      <c r="O893" s="9">
        <f>HYPERLINK("https://www.google.com/maps/search/?api=1&amp;query=42.83984218,-2.66264565", "https://www.google.com/maps/search/?api=1&amp;query=42.83984218,-2.66264565")</f>
      </c>
      <c r="P893" s="9" t="s">
        <v>6633</v>
      </c>
      <c r="Q893" s="9" t="s">
        <v>6634</v>
      </c>
    </row>
    <row r="894" spans="1:17" x14ac:dyDescent="0.25">
      <c r="A894" s="8" t="s">
        <v>6635</v>
      </c>
      <c r="B894" s="8" t="s">
        <v>6636</v>
      </c>
      <c r="C894" s="9" t="s">
        <v>6637</v>
      </c>
      <c r="D894" s="9" t="s">
        <v>424</v>
      </c>
      <c r="E894" s="9" t="s">
        <v>6638</v>
      </c>
      <c r="F894" s="10">
        <v>1.359</v>
      </c>
      <c r="G894" s="10">
        <v>1.495</v>
      </c>
      <c r="H894" s="10"/>
      <c r="I894" s="9" t="s">
        <v>96</v>
      </c>
      <c r="J894" s="9" t="s">
        <v>6639</v>
      </c>
      <c r="K894" s="9" t="s">
        <v>6640</v>
      </c>
      <c r="L894" s="8" t="s">
        <v>6641</v>
      </c>
      <c r="M894" s="9" t="s">
        <v>36</v>
      </c>
      <c r="N894" s="9" t="s">
        <v>88</v>
      </c>
      <c r="O894" s="9">
        <f>HYPERLINK("https://www.google.com/maps/search/?api=1&amp;query=42.1712737,0.89507343", "https://www.google.com/maps/search/?api=1&amp;query=42.1712737,0.89507343")</f>
      </c>
      <c r="P894" s="9" t="s">
        <v>915</v>
      </c>
      <c r="Q894" s="9" t="s">
        <v>6642</v>
      </c>
    </row>
    <row r="895" spans="1:17" x14ac:dyDescent="0.25">
      <c r="A895" s="8" t="s">
        <v>6643</v>
      </c>
      <c r="B895" s="8" t="s">
        <v>6644</v>
      </c>
      <c r="C895" s="9" t="s">
        <v>6645</v>
      </c>
      <c r="D895" s="9" t="s">
        <v>83</v>
      </c>
      <c r="E895" s="9" t="s">
        <v>83</v>
      </c>
      <c r="F895" s="10">
        <v>1.359</v>
      </c>
      <c r="G895" s="10">
        <v>1.495</v>
      </c>
      <c r="H895" s="10"/>
      <c r="I895" s="9" t="s">
        <v>83</v>
      </c>
      <c r="J895" s="9" t="s">
        <v>6646</v>
      </c>
      <c r="K895" s="9" t="s">
        <v>6647</v>
      </c>
      <c r="L895" s="8" t="s">
        <v>1219</v>
      </c>
      <c r="M895" s="9" t="s">
        <v>36</v>
      </c>
      <c r="N895" s="9" t="s">
        <v>37</v>
      </c>
      <c r="O895" s="9">
        <f>HYPERLINK("https://www.google.com/maps/search/?api=1&amp;query=40.5021644,-3.58485073", "https://www.google.com/maps/search/?api=1&amp;query=40.5021644,-3.58485073")</f>
      </c>
      <c r="P895" s="9" t="s">
        <v>6648</v>
      </c>
      <c r="Q895" s="9" t="s">
        <v>1131</v>
      </c>
    </row>
    <row r="896" spans="1:17" x14ac:dyDescent="0.25">
      <c r="A896" s="8" t="s">
        <v>6649</v>
      </c>
      <c r="B896" s="8" t="s">
        <v>6650</v>
      </c>
      <c r="C896" s="9" t="s">
        <v>6651</v>
      </c>
      <c r="D896" s="9" t="s">
        <v>94</v>
      </c>
      <c r="E896" s="9" t="s">
        <v>6652</v>
      </c>
      <c r="F896" s="10">
        <v>1.359</v>
      </c>
      <c r="G896" s="10">
        <v>1.495</v>
      </c>
      <c r="H896" s="10"/>
      <c r="I896" s="9" t="s">
        <v>96</v>
      </c>
      <c r="J896" s="9" t="s">
        <v>6653</v>
      </c>
      <c r="K896" s="9" t="s">
        <v>6654</v>
      </c>
      <c r="L896" s="8" t="s">
        <v>6655</v>
      </c>
      <c r="M896" s="9" t="s">
        <v>49</v>
      </c>
      <c r="N896" s="9" t="s">
        <v>88</v>
      </c>
      <c r="O896" s="9">
        <f>HYPERLINK("https://www.google.com/maps/search/?api=1&amp;query=41.5113226,2.36137453", "https://www.google.com/maps/search/?api=1&amp;query=41.5113226,2.36137453")</f>
      </c>
      <c r="P896" s="9" t="s">
        <v>663</v>
      </c>
      <c r="Q896" s="9" t="s">
        <v>4940</v>
      </c>
    </row>
    <row r="897" spans="1:17" x14ac:dyDescent="0.25">
      <c r="A897" s="8" t="s">
        <v>6656</v>
      </c>
      <c r="B897" s="8" t="s">
        <v>6657</v>
      </c>
      <c r="C897" s="9" t="s">
        <v>6658</v>
      </c>
      <c r="D897" s="9" t="s">
        <v>226</v>
      </c>
      <c r="E897" s="9" t="s">
        <v>6659</v>
      </c>
      <c r="F897" s="10">
        <v>1.359</v>
      </c>
      <c r="G897" s="10">
        <v>1.495</v>
      </c>
      <c r="H897" s="10"/>
      <c r="I897" s="9" t="s">
        <v>168</v>
      </c>
      <c r="J897" s="9" t="s">
        <v>6660</v>
      </c>
      <c r="K897" s="9" t="s">
        <v>6661</v>
      </c>
      <c r="L897" s="8" t="s">
        <v>6662</v>
      </c>
      <c r="M897" s="9" t="s">
        <v>36</v>
      </c>
      <c r="N897" s="9" t="s">
        <v>122</v>
      </c>
      <c r="O897" s="9">
        <f>HYPERLINK("https://www.google.com/maps/search/?api=1&amp;query=39.39215242,-2.43903094", "https://www.google.com/maps/search/?api=1&amp;query=39.39215242,-2.43903094")</f>
      </c>
      <c r="P897" s="9" t="s">
        <v>6663</v>
      </c>
      <c r="Q897" s="9" t="s">
        <v>6664</v>
      </c>
    </row>
    <row r="898" spans="1:17" x14ac:dyDescent="0.25">
      <c r="A898" s="8" t="s">
        <v>6665</v>
      </c>
      <c r="B898" s="8" t="s">
        <v>6666</v>
      </c>
      <c r="C898" s="9" t="s">
        <v>6667</v>
      </c>
      <c r="D898" s="9" t="s">
        <v>398</v>
      </c>
      <c r="E898" s="9" t="s">
        <v>399</v>
      </c>
      <c r="F898" s="10">
        <v>1.359</v>
      </c>
      <c r="G898" s="10">
        <v>1.495</v>
      </c>
      <c r="H898" s="10"/>
      <c r="I898" s="9" t="s">
        <v>400</v>
      </c>
      <c r="J898" s="9" t="s">
        <v>6668</v>
      </c>
      <c r="K898" s="9" t="s">
        <v>6669</v>
      </c>
      <c r="L898" s="8" t="s">
        <v>403</v>
      </c>
      <c r="M898" s="9" t="s">
        <v>100</v>
      </c>
      <c r="N898" s="9" t="s">
        <v>88</v>
      </c>
      <c r="O898" s="9">
        <f>HYPERLINK("https://www.google.com/maps/search/?api=1&amp;query=38.78542083,0.15996767", "https://www.google.com/maps/search/?api=1&amp;query=38.78542083,0.15996767")</f>
      </c>
      <c r="P898" s="9" t="s">
        <v>1637</v>
      </c>
      <c r="Q898" s="9" t="s">
        <v>112</v>
      </c>
    </row>
    <row r="899" spans="1:17" x14ac:dyDescent="0.25">
      <c r="A899" s="8" t="s">
        <v>6670</v>
      </c>
      <c r="B899" s="8" t="s">
        <v>6671</v>
      </c>
      <c r="C899" s="9" t="s">
        <v>6672</v>
      </c>
      <c r="D899" s="9" t="s">
        <v>94</v>
      </c>
      <c r="E899" s="9" t="s">
        <v>1330</v>
      </c>
      <c r="F899" s="10">
        <v>1.359</v>
      </c>
      <c r="G899" s="10">
        <v>1.495</v>
      </c>
      <c r="H899" s="10"/>
      <c r="I899" s="9" t="s">
        <v>96</v>
      </c>
      <c r="J899" s="9" t="s">
        <v>6673</v>
      </c>
      <c r="K899" s="9" t="s">
        <v>6674</v>
      </c>
      <c r="L899" s="8" t="s">
        <v>1333</v>
      </c>
      <c r="M899" s="9" t="s">
        <v>36</v>
      </c>
      <c r="N899" s="9" t="s">
        <v>88</v>
      </c>
      <c r="O899" s="9">
        <f>HYPERLINK("https://www.google.com/maps/search/?api=1&amp;query=41.49296371,2.33394919", "https://www.google.com/maps/search/?api=1&amp;query=41.49296371,2.33394919")</f>
      </c>
      <c r="P899" s="9" t="s">
        <v>144</v>
      </c>
      <c r="Q899" s="9" t="s">
        <v>2818</v>
      </c>
    </row>
    <row r="900" spans="1:17" x14ac:dyDescent="0.25">
      <c r="A900" s="8" t="s">
        <v>6675</v>
      </c>
      <c r="B900" s="8" t="s">
        <v>6676</v>
      </c>
      <c r="C900" s="9" t="s">
        <v>6677</v>
      </c>
      <c r="D900" s="9" t="s">
        <v>253</v>
      </c>
      <c r="E900" s="9" t="s">
        <v>6678</v>
      </c>
      <c r="F900" s="10">
        <v>1.359</v>
      </c>
      <c r="G900" s="10">
        <v>1.495</v>
      </c>
      <c r="H900" s="10"/>
      <c r="I900" s="9" t="s">
        <v>96</v>
      </c>
      <c r="J900" s="9" t="s">
        <v>6679</v>
      </c>
      <c r="K900" s="9" t="s">
        <v>6680</v>
      </c>
      <c r="L900" s="8" t="s">
        <v>6681</v>
      </c>
      <c r="M900" s="9" t="s">
        <v>49</v>
      </c>
      <c r="N900" s="9" t="s">
        <v>88</v>
      </c>
      <c r="O900" s="9">
        <f>HYPERLINK("https://www.google.com/maps/search/?api=1&amp;query=41.21561813,1.53523512", "https://www.google.com/maps/search/?api=1&amp;query=41.21561813,1.53523512")</f>
      </c>
      <c r="P900" s="9" t="s">
        <v>1565</v>
      </c>
      <c r="Q900" s="9" t="s">
        <v>857</v>
      </c>
    </row>
    <row r="901" spans="1:17" x14ac:dyDescent="0.25">
      <c r="A901" s="8" t="s">
        <v>6682</v>
      </c>
      <c r="B901" s="8" t="s">
        <v>6683</v>
      </c>
      <c r="C901" s="9" t="s">
        <v>6684</v>
      </c>
      <c r="D901" s="9" t="s">
        <v>2050</v>
      </c>
      <c r="E901" s="9" t="s">
        <v>6685</v>
      </c>
      <c r="F901" s="10">
        <v>1.359</v>
      </c>
      <c r="G901" s="10">
        <v>1.495</v>
      </c>
      <c r="H901" s="10"/>
      <c r="I901" s="9" t="s">
        <v>140</v>
      </c>
      <c r="J901" s="9" t="s">
        <v>6686</v>
      </c>
      <c r="K901" s="9" t="s">
        <v>6687</v>
      </c>
      <c r="L901" s="8" t="s">
        <v>6688</v>
      </c>
      <c r="M901" s="9" t="s">
        <v>36</v>
      </c>
      <c r="N901" s="9" t="s">
        <v>66</v>
      </c>
      <c r="O901" s="9">
        <f>HYPERLINK("https://www.google.com/maps/search/?api=1&amp;query=42.01930143,-7.60860838", "https://www.google.com/maps/search/?api=1&amp;query=42.01930143,-7.60860838")</f>
      </c>
      <c r="P901" s="9" t="s">
        <v>6210</v>
      </c>
      <c r="Q901" s="9" t="s">
        <v>6689</v>
      </c>
    </row>
    <row r="902" spans="1:17" x14ac:dyDescent="0.25">
      <c r="A902" s="8" t="s">
        <v>6690</v>
      </c>
      <c r="B902" s="8" t="s">
        <v>6691</v>
      </c>
      <c r="C902" s="9" t="s">
        <v>6692</v>
      </c>
      <c r="D902" s="9" t="s">
        <v>379</v>
      </c>
      <c r="E902" s="9" t="s">
        <v>5137</v>
      </c>
      <c r="F902" s="10">
        <v>1.359</v>
      </c>
      <c r="G902" s="10">
        <v>1.495</v>
      </c>
      <c r="H902" s="10"/>
      <c r="I902" s="9" t="s">
        <v>379</v>
      </c>
      <c r="J902" s="9" t="s">
        <v>6693</v>
      </c>
      <c r="K902" s="9" t="s">
        <v>6694</v>
      </c>
      <c r="L902" s="8" t="s">
        <v>6695</v>
      </c>
      <c r="M902" s="9" t="s">
        <v>49</v>
      </c>
      <c r="N902" s="9" t="s">
        <v>556</v>
      </c>
      <c r="O902" s="9">
        <f>HYPERLINK("https://www.google.com/maps/search/?api=1&amp;query=42.81437221,-1.68435524", "https://www.google.com/maps/search/?api=1&amp;query=42.81437221,-1.68435524")</f>
      </c>
      <c r="P902" s="9" t="s">
        <v>1637</v>
      </c>
      <c r="Q902" s="9" t="s">
        <v>6696</v>
      </c>
    </row>
    <row r="903" spans="1:17" x14ac:dyDescent="0.25">
      <c r="A903" s="8" t="s">
        <v>6697</v>
      </c>
      <c r="B903" s="8" t="s">
        <v>6698</v>
      </c>
      <c r="C903" s="9" t="s">
        <v>6699</v>
      </c>
      <c r="D903" s="9" t="s">
        <v>516</v>
      </c>
      <c r="E903" s="9" t="s">
        <v>516</v>
      </c>
      <c r="F903" s="10">
        <v>1.359</v>
      </c>
      <c r="G903" s="10">
        <v>1.495</v>
      </c>
      <c r="H903" s="10"/>
      <c r="I903" s="9" t="s">
        <v>140</v>
      </c>
      <c r="J903" s="9" t="s">
        <v>6700</v>
      </c>
      <c r="K903" s="9" t="s">
        <v>6701</v>
      </c>
      <c r="L903" s="8" t="s">
        <v>6702</v>
      </c>
      <c r="M903" s="9" t="s">
        <v>49</v>
      </c>
      <c r="N903" s="9" t="s">
        <v>211</v>
      </c>
      <c r="O903" s="9">
        <f>HYPERLINK("https://www.google.com/maps/search/?api=1&amp;query=43.0061404,-7.55123662", "https://www.google.com/maps/search/?api=1&amp;query=43.0061404,-7.55123662")</f>
      </c>
      <c r="P903" s="9" t="s">
        <v>521</v>
      </c>
      <c r="Q903" s="9" t="s">
        <v>6703</v>
      </c>
    </row>
    <row r="904" spans="1:17" x14ac:dyDescent="0.25">
      <c r="A904" s="8" t="s">
        <v>6704</v>
      </c>
      <c r="B904" s="8" t="s">
        <v>6705</v>
      </c>
      <c r="C904" s="9" t="s">
        <v>6706</v>
      </c>
      <c r="D904" s="9" t="s">
        <v>83</v>
      </c>
      <c r="E904" s="9" t="s">
        <v>2891</v>
      </c>
      <c r="F904" s="10">
        <v>1.359</v>
      </c>
      <c r="G904" s="10">
        <v>1.495</v>
      </c>
      <c r="H904" s="10"/>
      <c r="I904" s="9" t="s">
        <v>83</v>
      </c>
      <c r="J904" s="9" t="s">
        <v>6707</v>
      </c>
      <c r="K904" s="9" t="s">
        <v>6708</v>
      </c>
      <c r="L904" s="8" t="s">
        <v>6709</v>
      </c>
      <c r="M904" s="9" t="s">
        <v>49</v>
      </c>
      <c r="N904" s="9" t="s">
        <v>37</v>
      </c>
      <c r="O904" s="9">
        <f>HYPERLINK("https://www.google.com/maps/search/?api=1&amp;query=40.4812878,-3.40029427", "https://www.google.com/maps/search/?api=1&amp;query=40.4812878,-3.40029427")</f>
      </c>
      <c r="P904" s="9" t="s">
        <v>6710</v>
      </c>
      <c r="Q904" s="9" t="s">
        <v>3627</v>
      </c>
    </row>
    <row r="905" spans="1:17" x14ac:dyDescent="0.25">
      <c r="A905" s="8" t="s">
        <v>6711</v>
      </c>
      <c r="B905" s="8" t="s">
        <v>6712</v>
      </c>
      <c r="C905" s="9" t="s">
        <v>6713</v>
      </c>
      <c r="D905" s="9" t="s">
        <v>177</v>
      </c>
      <c r="E905" s="9" t="s">
        <v>177</v>
      </c>
      <c r="F905" s="10">
        <v>1.359</v>
      </c>
      <c r="G905" s="10">
        <v>1.495</v>
      </c>
      <c r="H905" s="10"/>
      <c r="I905" s="9" t="s">
        <v>74</v>
      </c>
      <c r="J905" s="9" t="s">
        <v>6714</v>
      </c>
      <c r="K905" s="9" t="s">
        <v>6715</v>
      </c>
      <c r="L905" s="8" t="s">
        <v>6716</v>
      </c>
      <c r="M905" s="9" t="s">
        <v>49</v>
      </c>
      <c r="N905" s="9" t="s">
        <v>211</v>
      </c>
      <c r="O905" s="9">
        <f>HYPERLINK("https://www.google.com/maps/search/?api=1&amp;query=41.64640964,-4.69408475", "https://www.google.com/maps/search/?api=1&amp;query=41.64640964,-4.69408475")</f>
      </c>
      <c r="P905" s="9" t="s">
        <v>521</v>
      </c>
      <c r="Q905" s="9" t="s">
        <v>297</v>
      </c>
    </row>
    <row r="906" spans="1:17" x14ac:dyDescent="0.25">
      <c r="A906" s="8" t="s">
        <v>6717</v>
      </c>
      <c r="B906" s="8" t="s">
        <v>6718</v>
      </c>
      <c r="C906" s="9" t="s">
        <v>6719</v>
      </c>
      <c r="D906" s="9" t="s">
        <v>226</v>
      </c>
      <c r="E906" s="9" t="s">
        <v>6720</v>
      </c>
      <c r="F906" s="10">
        <v>1.359</v>
      </c>
      <c r="G906" s="10">
        <v>1.495</v>
      </c>
      <c r="H906" s="10"/>
      <c r="I906" s="9" t="s">
        <v>168</v>
      </c>
      <c r="J906" s="9" t="s">
        <v>6721</v>
      </c>
      <c r="K906" s="9" t="s">
        <v>6722</v>
      </c>
      <c r="L906" s="8" t="s">
        <v>6723</v>
      </c>
      <c r="M906" s="9" t="s">
        <v>100</v>
      </c>
      <c r="N906" s="9" t="s">
        <v>88</v>
      </c>
      <c r="O906" s="9">
        <f>HYPERLINK("https://www.google.com/maps/search/?api=1&amp;query=39.56516933,-1.91398647", "https://www.google.com/maps/search/?api=1&amp;query=39.56516933,-1.91398647")</f>
      </c>
      <c r="P906" s="9" t="s">
        <v>880</v>
      </c>
      <c r="Q906" s="9" t="s">
        <v>539</v>
      </c>
    </row>
    <row r="907" spans="1:17" x14ac:dyDescent="0.25">
      <c r="A907" s="8" t="s">
        <v>6724</v>
      </c>
      <c r="B907" s="8" t="s">
        <v>6725</v>
      </c>
      <c r="C907" s="9" t="s">
        <v>6726</v>
      </c>
      <c r="D907" s="9" t="s">
        <v>83</v>
      </c>
      <c r="E907" s="9" t="s">
        <v>83</v>
      </c>
      <c r="F907" s="10">
        <v>1.359</v>
      </c>
      <c r="G907" s="10">
        <v>1.495</v>
      </c>
      <c r="H907" s="10"/>
      <c r="I907" s="9" t="s">
        <v>83</v>
      </c>
      <c r="J907" s="9" t="s">
        <v>6727</v>
      </c>
      <c r="K907" s="9" t="s">
        <v>6728</v>
      </c>
      <c r="L907" s="8" t="s">
        <v>6729</v>
      </c>
      <c r="M907" s="9" t="s">
        <v>49</v>
      </c>
      <c r="N907" s="9" t="s">
        <v>37</v>
      </c>
      <c r="O907" s="9">
        <f>HYPERLINK("https://www.google.com/maps/search/?api=1&amp;query=40.50221989,-3.66302892", "https://www.google.com/maps/search/?api=1&amp;query=40.50221989,-3.66302892")</f>
      </c>
      <c r="P907" s="9" t="s">
        <v>6730</v>
      </c>
      <c r="Q907" s="9" t="s">
        <v>134</v>
      </c>
    </row>
    <row r="908" spans="1:17" x14ac:dyDescent="0.25">
      <c r="A908" s="8" t="s">
        <v>6731</v>
      </c>
      <c r="B908" s="8" t="s">
        <v>6732</v>
      </c>
      <c r="C908" s="9" t="s">
        <v>6733</v>
      </c>
      <c r="D908" s="9" t="s">
        <v>3841</v>
      </c>
      <c r="E908" s="9" t="s">
        <v>6734</v>
      </c>
      <c r="F908" s="10">
        <v>1.359</v>
      </c>
      <c r="G908" s="10">
        <v>1.495</v>
      </c>
      <c r="H908" s="10"/>
      <c r="I908" s="9" t="s">
        <v>74</v>
      </c>
      <c r="J908" s="9" t="s">
        <v>6735</v>
      </c>
      <c r="K908" s="9" t="s">
        <v>6736</v>
      </c>
      <c r="L908" s="8" t="s">
        <v>6737</v>
      </c>
      <c r="M908" s="9" t="s">
        <v>49</v>
      </c>
      <c r="N908" s="9" t="s">
        <v>6738</v>
      </c>
      <c r="O908" s="9">
        <f>HYPERLINK("https://www.google.com/maps/search/?api=1&amp;query=41.80578747,-2.78632601", "https://www.google.com/maps/search/?api=1&amp;query=41.80578747,-2.78632601")</f>
      </c>
      <c r="P908" s="9" t="s">
        <v>321</v>
      </c>
      <c r="Q908" s="9" t="s">
        <v>6739</v>
      </c>
    </row>
    <row r="909" spans="1:17" x14ac:dyDescent="0.25">
      <c r="A909" s="8" t="s">
        <v>6740</v>
      </c>
      <c r="B909" s="8" t="s">
        <v>6741</v>
      </c>
      <c r="C909" s="9" t="s">
        <v>6742</v>
      </c>
      <c r="D909" s="9" t="s">
        <v>631</v>
      </c>
      <c r="E909" s="9" t="s">
        <v>632</v>
      </c>
      <c r="F909" s="10">
        <v>1.359</v>
      </c>
      <c r="G909" s="10">
        <v>1.495</v>
      </c>
      <c r="H909" s="10"/>
      <c r="I909" s="9" t="s">
        <v>45</v>
      </c>
      <c r="J909" s="9" t="s">
        <v>6743</v>
      </c>
      <c r="K909" s="9" t="s">
        <v>6744</v>
      </c>
      <c r="L909" s="8" t="s">
        <v>635</v>
      </c>
      <c r="M909" s="9" t="s">
        <v>49</v>
      </c>
      <c r="N909" s="9" t="s">
        <v>37</v>
      </c>
      <c r="O909" s="9">
        <f>HYPERLINK("https://www.google.com/maps/search/?api=1&amp;query=37.44013715,-4.55272509", "https://www.google.com/maps/search/?api=1&amp;query=37.44013715,-4.55272509")</f>
      </c>
      <c r="P909" s="9" t="s">
        <v>144</v>
      </c>
      <c r="Q909" s="9" t="s">
        <v>1068</v>
      </c>
    </row>
    <row r="910" spans="1:17" x14ac:dyDescent="0.25">
      <c r="A910" s="8" t="s">
        <v>6745</v>
      </c>
      <c r="B910" s="8" t="s">
        <v>6746</v>
      </c>
      <c r="C910" s="9" t="s">
        <v>6747</v>
      </c>
      <c r="D910" s="9" t="s">
        <v>217</v>
      </c>
      <c r="E910" s="9" t="s">
        <v>218</v>
      </c>
      <c r="F910" s="10">
        <v>1.359</v>
      </c>
      <c r="G910" s="10">
        <v>1.495</v>
      </c>
      <c r="H910" s="10"/>
      <c r="I910" s="9" t="s">
        <v>45</v>
      </c>
      <c r="J910" s="9" t="s">
        <v>6748</v>
      </c>
      <c r="K910" s="9" t="s">
        <v>6749</v>
      </c>
      <c r="L910" s="8" t="s">
        <v>221</v>
      </c>
      <c r="M910" s="9" t="s">
        <v>49</v>
      </c>
      <c r="N910" s="9" t="s">
        <v>37</v>
      </c>
      <c r="O910" s="9">
        <f>HYPERLINK("https://www.google.com/maps/search/?api=1&amp;query=36.46492375,-5.11488285", "https://www.google.com/maps/search/?api=1&amp;query=36.46492375,-5.11488285")</f>
      </c>
      <c r="P910" s="9" t="s">
        <v>1250</v>
      </c>
      <c r="Q910" s="9" t="s">
        <v>754</v>
      </c>
    </row>
    <row r="911" spans="1:17" x14ac:dyDescent="0.25">
      <c r="A911" s="8" t="s">
        <v>6750</v>
      </c>
      <c r="B911" s="8" t="s">
        <v>6751</v>
      </c>
      <c r="C911" s="9" t="s">
        <v>6752</v>
      </c>
      <c r="D911" s="9" t="s">
        <v>94</v>
      </c>
      <c r="E911" s="9" t="s">
        <v>6753</v>
      </c>
      <c r="F911" s="10">
        <v>1.359</v>
      </c>
      <c r="G911" s="10">
        <v>1.495</v>
      </c>
      <c r="H911" s="10"/>
      <c r="I911" s="9" t="s">
        <v>96</v>
      </c>
      <c r="J911" s="9" t="s">
        <v>6754</v>
      </c>
      <c r="K911" s="9" t="s">
        <v>6755</v>
      </c>
      <c r="L911" s="8" t="s">
        <v>6756</v>
      </c>
      <c r="M911" s="9" t="s">
        <v>36</v>
      </c>
      <c r="N911" s="9" t="s">
        <v>88</v>
      </c>
      <c r="O911" s="9">
        <f>HYPERLINK("https://www.google.com/maps/search/?api=1&amp;query=41.55178077,2.28513012", "https://www.google.com/maps/search/?api=1&amp;query=41.55178077,2.28513012")</f>
      </c>
      <c r="P911" s="9" t="s">
        <v>413</v>
      </c>
      <c r="Q911" s="9" t="s">
        <v>2895</v>
      </c>
    </row>
    <row r="912" spans="1:17" x14ac:dyDescent="0.25">
      <c r="A912" s="8" t="s">
        <v>6757</v>
      </c>
      <c r="B912" s="8" t="s">
        <v>6758</v>
      </c>
      <c r="C912" s="9" t="s">
        <v>6759</v>
      </c>
      <c r="D912" s="9" t="s">
        <v>307</v>
      </c>
      <c r="E912" s="9" t="s">
        <v>4179</v>
      </c>
      <c r="F912" s="10">
        <v>1.359</v>
      </c>
      <c r="G912" s="10">
        <v>1.495</v>
      </c>
      <c r="H912" s="10"/>
      <c r="I912" s="9" t="s">
        <v>74</v>
      </c>
      <c r="J912" s="9" t="s">
        <v>6760</v>
      </c>
      <c r="K912" s="9" t="s">
        <v>6761</v>
      </c>
      <c r="L912" s="8" t="s">
        <v>4182</v>
      </c>
      <c r="M912" s="9" t="s">
        <v>36</v>
      </c>
      <c r="N912" s="9" t="s">
        <v>37</v>
      </c>
      <c r="O912" s="9">
        <f>HYPERLINK("https://www.google.com/maps/search/?api=1&amp;query=42.08929339,-5.7155384", "https://www.google.com/maps/search/?api=1&amp;query=42.08929339,-5.7155384")</f>
      </c>
      <c r="P912" s="9" t="s">
        <v>4183</v>
      </c>
      <c r="Q912" s="9" t="s">
        <v>2112</v>
      </c>
    </row>
    <row r="913" spans="1:17" x14ac:dyDescent="0.25">
      <c r="A913" s="8" t="s">
        <v>6762</v>
      </c>
      <c r="B913" s="8" t="s">
        <v>6763</v>
      </c>
      <c r="C913" s="9" t="s">
        <v>6764</v>
      </c>
      <c r="D913" s="9" t="s">
        <v>398</v>
      </c>
      <c r="E913" s="9" t="s">
        <v>2534</v>
      </c>
      <c r="F913" s="10">
        <v>1.359</v>
      </c>
      <c r="G913" s="10">
        <v>1.495</v>
      </c>
      <c r="H913" s="10"/>
      <c r="I913" s="9" t="s">
        <v>400</v>
      </c>
      <c r="J913" s="9" t="s">
        <v>6765</v>
      </c>
      <c r="K913" s="9" t="s">
        <v>6766</v>
      </c>
      <c r="L913" s="8" t="s">
        <v>6767</v>
      </c>
      <c r="M913" s="9" t="s">
        <v>49</v>
      </c>
      <c r="N913" s="9" t="s">
        <v>88</v>
      </c>
      <c r="O913" s="9">
        <f>HYPERLINK("https://www.google.com/maps/search/?api=1&amp;query=38.70874034,-0.47257307", "https://www.google.com/maps/search/?api=1&amp;query=38.70874034,-0.47257307")</f>
      </c>
      <c r="P913" s="9" t="s">
        <v>6768</v>
      </c>
      <c r="Q913" s="9" t="s">
        <v>740</v>
      </c>
    </row>
    <row r="914" spans="1:17" x14ac:dyDescent="0.25">
      <c r="A914" s="8" t="s">
        <v>6769</v>
      </c>
      <c r="B914" s="8" t="s">
        <v>6770</v>
      </c>
      <c r="C914" s="9" t="s">
        <v>6771</v>
      </c>
      <c r="D914" s="9" t="s">
        <v>344</v>
      </c>
      <c r="E914" s="9" t="s">
        <v>6772</v>
      </c>
      <c r="F914" s="10">
        <v>1.359</v>
      </c>
      <c r="G914" s="10">
        <v>1.495</v>
      </c>
      <c r="H914" s="10"/>
      <c r="I914" s="9" t="s">
        <v>140</v>
      </c>
      <c r="J914" s="9" t="s">
        <v>6773</v>
      </c>
      <c r="K914" s="9" t="s">
        <v>6774</v>
      </c>
      <c r="L914" s="8" t="s">
        <v>1943</v>
      </c>
      <c r="M914" s="9" t="s">
        <v>49</v>
      </c>
      <c r="N914" s="9" t="s">
        <v>211</v>
      </c>
      <c r="O914" s="9">
        <f>HYPERLINK("https://www.google.com/maps/search/?api=1&amp;query=42.87323506,-8.62268359", "https://www.google.com/maps/search/?api=1&amp;query=42.87323506,-8.62268359")</f>
      </c>
      <c r="P914" s="9" t="s">
        <v>906</v>
      </c>
      <c r="Q914" s="9" t="s">
        <v>2554</v>
      </c>
    </row>
    <row r="915" spans="1:17" x14ac:dyDescent="0.25">
      <c r="A915" s="8" t="s">
        <v>6775</v>
      </c>
      <c r="B915" s="8" t="s">
        <v>6776</v>
      </c>
      <c r="C915" s="9" t="s">
        <v>6777</v>
      </c>
      <c r="D915" s="9" t="s">
        <v>808</v>
      </c>
      <c r="E915" s="9" t="s">
        <v>2330</v>
      </c>
      <c r="F915" s="10">
        <v>1.359</v>
      </c>
      <c r="G915" s="10">
        <v>1.495</v>
      </c>
      <c r="H915" s="10"/>
      <c r="I915" s="9" t="s">
        <v>808</v>
      </c>
      <c r="J915" s="9" t="s">
        <v>6778</v>
      </c>
      <c r="K915" s="9" t="s">
        <v>6779</v>
      </c>
      <c r="L915" s="8" t="s">
        <v>6780</v>
      </c>
      <c r="M915" s="9" t="s">
        <v>36</v>
      </c>
      <c r="N915" s="9" t="s">
        <v>211</v>
      </c>
      <c r="O915" s="9">
        <f>HYPERLINK("https://www.google.com/maps/search/?api=1&amp;query=43.46338376,-3.83817637", "https://www.google.com/maps/search/?api=1&amp;query=43.46338376,-3.83817637")</f>
      </c>
      <c r="P915" s="9" t="s">
        <v>626</v>
      </c>
      <c r="Q915" s="9" t="s">
        <v>134</v>
      </c>
    </row>
    <row r="916" spans="1:17" x14ac:dyDescent="0.25">
      <c r="A916" s="8" t="s">
        <v>6781</v>
      </c>
      <c r="B916" s="8" t="s">
        <v>6782</v>
      </c>
      <c r="C916" s="9" t="s">
        <v>6783</v>
      </c>
      <c r="D916" s="9" t="s">
        <v>400</v>
      </c>
      <c r="E916" s="9" t="s">
        <v>6784</v>
      </c>
      <c r="F916" s="10">
        <v>1.359</v>
      </c>
      <c r="G916" s="10">
        <v>1.495</v>
      </c>
      <c r="H916" s="10"/>
      <c r="I916" s="9" t="s">
        <v>400</v>
      </c>
      <c r="J916" s="9" t="s">
        <v>6785</v>
      </c>
      <c r="K916" s="9" t="s">
        <v>6786</v>
      </c>
      <c r="L916" s="8" t="s">
        <v>6787</v>
      </c>
      <c r="M916" s="9" t="s">
        <v>49</v>
      </c>
      <c r="N916" s="9" t="s">
        <v>37</v>
      </c>
      <c r="O916" s="9">
        <f>HYPERLINK("https://www.google.com/maps/search/?api=1&amp;query=39.53910052,-1.31190042", "https://www.google.com/maps/search/?api=1&amp;query=39.53910052,-1.31190042")</f>
      </c>
      <c r="P916" s="9" t="s">
        <v>6788</v>
      </c>
      <c r="Q916" s="9" t="s">
        <v>6789</v>
      </c>
    </row>
    <row r="917" spans="1:17" x14ac:dyDescent="0.25">
      <c r="A917" s="8" t="s">
        <v>6790</v>
      </c>
      <c r="B917" s="8" t="s">
        <v>6791</v>
      </c>
      <c r="C917" s="9" t="s">
        <v>6792</v>
      </c>
      <c r="D917" s="9" t="s">
        <v>631</v>
      </c>
      <c r="E917" s="9" t="s">
        <v>1047</v>
      </c>
      <c r="F917" s="10">
        <v>1.359</v>
      </c>
      <c r="G917" s="10">
        <v>1.495</v>
      </c>
      <c r="H917" s="10"/>
      <c r="I917" s="9" t="s">
        <v>45</v>
      </c>
      <c r="J917" s="9" t="s">
        <v>6793</v>
      </c>
      <c r="K917" s="9" t="s">
        <v>6794</v>
      </c>
      <c r="L917" s="8" t="s">
        <v>6795</v>
      </c>
      <c r="M917" s="9" t="s">
        <v>100</v>
      </c>
      <c r="N917" s="9" t="s">
        <v>37</v>
      </c>
      <c r="O917" s="9">
        <f>HYPERLINK("https://www.google.com/maps/search/?api=1&amp;query=37.79756053,-4.81089959", "https://www.google.com/maps/search/?api=1&amp;query=37.79756053,-4.81089959")</f>
      </c>
      <c r="P917" s="9" t="s">
        <v>144</v>
      </c>
      <c r="Q917" s="9" t="s">
        <v>6796</v>
      </c>
    </row>
    <row r="918" spans="1:17" x14ac:dyDescent="0.25">
      <c r="A918" s="8" t="s">
        <v>6797</v>
      </c>
      <c r="B918" s="8" t="s">
        <v>6798</v>
      </c>
      <c r="C918" s="9" t="s">
        <v>6799</v>
      </c>
      <c r="D918" s="9" t="s">
        <v>94</v>
      </c>
      <c r="E918" s="9" t="s">
        <v>94</v>
      </c>
      <c r="F918" s="10">
        <v>1.359</v>
      </c>
      <c r="G918" s="10">
        <v>1.495</v>
      </c>
      <c r="H918" s="10"/>
      <c r="I918" s="9" t="s">
        <v>96</v>
      </c>
      <c r="J918" s="9" t="s">
        <v>6800</v>
      </c>
      <c r="K918" s="9" t="s">
        <v>6801</v>
      </c>
      <c r="L918" s="8" t="s">
        <v>6802</v>
      </c>
      <c r="M918" s="9" t="s">
        <v>49</v>
      </c>
      <c r="N918" s="9" t="s">
        <v>37</v>
      </c>
      <c r="O918" s="9">
        <f>HYPERLINK("https://www.google.com/maps/search/?api=1&amp;query=41.32801123,2.11397428", "https://www.google.com/maps/search/?api=1&amp;query=41.32801123,2.11397428")</f>
      </c>
      <c r="P918" s="9" t="s">
        <v>6803</v>
      </c>
      <c r="Q918" s="9" t="s">
        <v>151</v>
      </c>
    </row>
    <row r="919" spans="1:17" x14ac:dyDescent="0.25">
      <c r="A919" s="8" t="s">
        <v>6804</v>
      </c>
      <c r="B919" s="8" t="s">
        <v>6805</v>
      </c>
      <c r="C919" s="9" t="s">
        <v>6806</v>
      </c>
      <c r="D919" s="9" t="s">
        <v>177</v>
      </c>
      <c r="E919" s="9" t="s">
        <v>177</v>
      </c>
      <c r="F919" s="10">
        <v>1.359</v>
      </c>
      <c r="G919" s="10">
        <v>1.495</v>
      </c>
      <c r="H919" s="10"/>
      <c r="I919" s="9" t="s">
        <v>74</v>
      </c>
      <c r="J919" s="9" t="s">
        <v>6807</v>
      </c>
      <c r="K919" s="9" t="s">
        <v>6808</v>
      </c>
      <c r="L919" s="8" t="s">
        <v>6716</v>
      </c>
      <c r="M919" s="9" t="s">
        <v>49</v>
      </c>
      <c r="N919" s="9" t="s">
        <v>66</v>
      </c>
      <c r="O919" s="9">
        <f>HYPERLINK("https://www.google.com/maps/search/?api=1&amp;query=41.60887853,-4.70944578", "https://www.google.com/maps/search/?api=1&amp;query=41.60887853,-4.70944578")</f>
      </c>
      <c r="P919" s="9" t="s">
        <v>3400</v>
      </c>
      <c r="Q919" s="9" t="s">
        <v>1534</v>
      </c>
    </row>
    <row r="920" spans="1:17" x14ac:dyDescent="0.25">
      <c r="A920" s="8" t="s">
        <v>6809</v>
      </c>
      <c r="B920" s="8" t="s">
        <v>6810</v>
      </c>
      <c r="C920" s="9" t="s">
        <v>6811</v>
      </c>
      <c r="D920" s="9" t="s">
        <v>83</v>
      </c>
      <c r="E920" s="9" t="s">
        <v>6812</v>
      </c>
      <c r="F920" s="10">
        <v>1.359</v>
      </c>
      <c r="G920" s="10">
        <v>1.495</v>
      </c>
      <c r="H920" s="10"/>
      <c r="I920" s="9" t="s">
        <v>83</v>
      </c>
      <c r="J920" s="9" t="s">
        <v>6813</v>
      </c>
      <c r="K920" s="9" t="s">
        <v>6814</v>
      </c>
      <c r="L920" s="8" t="s">
        <v>5045</v>
      </c>
      <c r="M920" s="9" t="s">
        <v>49</v>
      </c>
      <c r="N920" s="9" t="s">
        <v>88</v>
      </c>
      <c r="O920" s="9">
        <f>HYPERLINK("https://www.google.com/maps/search/?api=1&amp;query=40.5071703,-3.69102159", "https://www.google.com/maps/search/?api=1&amp;query=40.5071703,-3.69102159")</f>
      </c>
      <c r="P920" s="9" t="s">
        <v>608</v>
      </c>
      <c r="Q920" s="9" t="s">
        <v>4326</v>
      </c>
    </row>
    <row r="921" spans="1:17" x14ac:dyDescent="0.25">
      <c r="A921" s="8" t="s">
        <v>6815</v>
      </c>
      <c r="B921" s="8" t="s">
        <v>6816</v>
      </c>
      <c r="C921" s="9" t="s">
        <v>4056</v>
      </c>
      <c r="D921" s="9" t="s">
        <v>1617</v>
      </c>
      <c r="E921" s="9" t="s">
        <v>4810</v>
      </c>
      <c r="F921" s="10">
        <v>1.359</v>
      </c>
      <c r="G921" s="10">
        <v>1.495</v>
      </c>
      <c r="H921" s="10"/>
      <c r="I921" s="9" t="s">
        <v>292</v>
      </c>
      <c r="J921" s="9" t="s">
        <v>6817</v>
      </c>
      <c r="K921" s="9" t="s">
        <v>6818</v>
      </c>
      <c r="L921" s="8" t="s">
        <v>4813</v>
      </c>
      <c r="M921" s="9" t="s">
        <v>49</v>
      </c>
      <c r="N921" s="9" t="s">
        <v>6819</v>
      </c>
      <c r="O921" s="9">
        <f>HYPERLINK("https://www.google.com/maps/search/?api=1&amp;query=41.52525281,0.34773958", "https://www.google.com/maps/search/?api=1&amp;query=41.52525281,0.34773958")</f>
      </c>
      <c r="P921" s="9" t="s">
        <v>6820</v>
      </c>
      <c r="Q921" s="9" t="s">
        <v>1733</v>
      </c>
    </row>
    <row r="922" spans="1:17" x14ac:dyDescent="0.25">
      <c r="A922" s="8" t="s">
        <v>6821</v>
      </c>
      <c r="B922" s="8" t="s">
        <v>6822</v>
      </c>
      <c r="C922" s="9" t="s">
        <v>6823</v>
      </c>
      <c r="D922" s="9" t="s">
        <v>808</v>
      </c>
      <c r="E922" s="9" t="s">
        <v>5108</v>
      </c>
      <c r="F922" s="10">
        <v>1.359</v>
      </c>
      <c r="G922" s="10">
        <v>1.495</v>
      </c>
      <c r="H922" s="10"/>
      <c r="I922" s="9" t="s">
        <v>808</v>
      </c>
      <c r="J922" s="9" t="s">
        <v>6824</v>
      </c>
      <c r="K922" s="9" t="s">
        <v>6825</v>
      </c>
      <c r="L922" s="8" t="s">
        <v>5111</v>
      </c>
      <c r="M922" s="9" t="s">
        <v>49</v>
      </c>
      <c r="N922" s="9" t="s">
        <v>88</v>
      </c>
      <c r="O922" s="9">
        <f>HYPERLINK("https://www.google.com/maps/search/?api=1&amp;query=43.39000602,-3.68273175", "https://www.google.com/maps/search/?api=1&amp;query=43.39000602,-3.68273175")</f>
      </c>
      <c r="P922" s="9" t="s">
        <v>6826</v>
      </c>
      <c r="Q922" s="9" t="s">
        <v>6827</v>
      </c>
    </row>
    <row r="923" spans="1:17" x14ac:dyDescent="0.25">
      <c r="A923" s="8" t="s">
        <v>6828</v>
      </c>
      <c r="B923" s="8" t="s">
        <v>6829</v>
      </c>
      <c r="C923" s="9" t="s">
        <v>6830</v>
      </c>
      <c r="D923" s="9" t="s">
        <v>444</v>
      </c>
      <c r="E923" s="9" t="s">
        <v>6831</v>
      </c>
      <c r="F923" s="10">
        <v>1.359</v>
      </c>
      <c r="G923" s="10">
        <v>1.495</v>
      </c>
      <c r="H923" s="10"/>
      <c r="I923" s="9" t="s">
        <v>444</v>
      </c>
      <c r="J923" s="9" t="s">
        <v>6832</v>
      </c>
      <c r="K923" s="9" t="s">
        <v>6833</v>
      </c>
      <c r="L923" s="8" t="s">
        <v>4316</v>
      </c>
      <c r="M923" s="9" t="s">
        <v>49</v>
      </c>
      <c r="N923" s="9" t="s">
        <v>211</v>
      </c>
      <c r="O923" s="9">
        <f>HYPERLINK("https://www.google.com/maps/search/?api=1&amp;query=43.37099508,-5.81584427", "https://www.google.com/maps/search/?api=1&amp;query=43.37099508,-5.81584427")</f>
      </c>
      <c r="P923" s="9" t="s">
        <v>6834</v>
      </c>
      <c r="Q923" s="9" t="s">
        <v>6835</v>
      </c>
    </row>
    <row r="924" spans="1:17" x14ac:dyDescent="0.25">
      <c r="A924" s="8" t="s">
        <v>6836</v>
      </c>
      <c r="B924" s="8" t="s">
        <v>6837</v>
      </c>
      <c r="C924" s="9" t="s">
        <v>6838</v>
      </c>
      <c r="D924" s="9" t="s">
        <v>106</v>
      </c>
      <c r="E924" s="9" t="s">
        <v>6839</v>
      </c>
      <c r="F924" s="10">
        <v>1.359</v>
      </c>
      <c r="G924" s="10">
        <v>1.495</v>
      </c>
      <c r="H924" s="10"/>
      <c r="I924" s="9" t="s">
        <v>106</v>
      </c>
      <c r="J924" s="9" t="s">
        <v>6840</v>
      </c>
      <c r="K924" s="9" t="s">
        <v>6841</v>
      </c>
      <c r="L924" s="8" t="s">
        <v>329</v>
      </c>
      <c r="M924" s="9" t="s">
        <v>49</v>
      </c>
      <c r="N924" s="9" t="s">
        <v>122</v>
      </c>
      <c r="O924" s="9">
        <f>HYPERLINK("https://www.google.com/maps/search/?api=1&amp;query=37.6279253,-0.70888552", "https://www.google.com/maps/search/?api=1&amp;query=37.6279253,-0.70888552")</f>
      </c>
      <c r="P924" s="9" t="s">
        <v>5968</v>
      </c>
      <c r="Q924" s="9" t="s">
        <v>3311</v>
      </c>
    </row>
    <row r="925" spans="1:17" x14ac:dyDescent="0.25">
      <c r="A925" s="8" t="s">
        <v>6842</v>
      </c>
      <c r="B925" s="8" t="s">
        <v>6843</v>
      </c>
      <c r="C925" s="9" t="s">
        <v>6844</v>
      </c>
      <c r="D925" s="9" t="s">
        <v>1847</v>
      </c>
      <c r="E925" s="9" t="s">
        <v>6845</v>
      </c>
      <c r="F925" s="10">
        <v>1.359</v>
      </c>
      <c r="G925" s="10">
        <v>1.495</v>
      </c>
      <c r="H925" s="10"/>
      <c r="I925" s="9" t="s">
        <v>74</v>
      </c>
      <c r="J925" s="9" t="s">
        <v>6846</v>
      </c>
      <c r="K925" s="9" t="s">
        <v>6847</v>
      </c>
      <c r="L925" s="8" t="s">
        <v>6848</v>
      </c>
      <c r="M925" s="9" t="s">
        <v>49</v>
      </c>
      <c r="N925" s="9" t="s">
        <v>211</v>
      </c>
      <c r="O925" s="9">
        <f>HYPERLINK("https://www.google.com/maps/search/?api=1&amp;query=41.32428299,-3.63106673", "https://www.google.com/maps/search/?api=1&amp;query=41.32428299,-3.63106673")</f>
      </c>
      <c r="P925" s="9" t="s">
        <v>5708</v>
      </c>
      <c r="Q925" s="9" t="s">
        <v>1242</v>
      </c>
    </row>
    <row r="926" spans="1:17" x14ac:dyDescent="0.25">
      <c r="A926" s="8" t="s">
        <v>6849</v>
      </c>
      <c r="B926" s="8" t="s">
        <v>6850</v>
      </c>
      <c r="C926" s="9" t="s">
        <v>6851</v>
      </c>
      <c r="D926" s="9" t="s">
        <v>83</v>
      </c>
      <c r="E926" s="9" t="s">
        <v>2891</v>
      </c>
      <c r="F926" s="10">
        <v>1.359</v>
      </c>
      <c r="G926" s="10">
        <v>1.495</v>
      </c>
      <c r="H926" s="10"/>
      <c r="I926" s="9" t="s">
        <v>83</v>
      </c>
      <c r="J926" s="9" t="s">
        <v>6852</v>
      </c>
      <c r="K926" s="9" t="s">
        <v>6853</v>
      </c>
      <c r="L926" s="8" t="s">
        <v>2894</v>
      </c>
      <c r="M926" s="9" t="s">
        <v>36</v>
      </c>
      <c r="N926" s="9" t="s">
        <v>88</v>
      </c>
      <c r="O926" s="9">
        <f>HYPERLINK("https://www.google.com/maps/search/?api=1&amp;query=40.47124241,-3.41312201", "https://www.google.com/maps/search/?api=1&amp;query=40.47124241,-3.41312201")</f>
      </c>
      <c r="P926" s="9" t="s">
        <v>1139</v>
      </c>
      <c r="Q926" s="9" t="s">
        <v>6854</v>
      </c>
    </row>
    <row r="927" spans="1:17" x14ac:dyDescent="0.25">
      <c r="A927" s="8" t="s">
        <v>6855</v>
      </c>
      <c r="B927" s="8" t="s">
        <v>6856</v>
      </c>
      <c r="C927" s="9" t="s">
        <v>6857</v>
      </c>
      <c r="D927" s="9" t="s">
        <v>155</v>
      </c>
      <c r="E927" s="9" t="s">
        <v>3503</v>
      </c>
      <c r="F927" s="10">
        <v>1.359</v>
      </c>
      <c r="G927" s="10">
        <v>1.495</v>
      </c>
      <c r="H927" s="10"/>
      <c r="I927" s="9" t="s">
        <v>157</v>
      </c>
      <c r="J927" s="9" t="s">
        <v>6858</v>
      </c>
      <c r="K927" s="9" t="s">
        <v>6859</v>
      </c>
      <c r="L927" s="8" t="s">
        <v>3506</v>
      </c>
      <c r="M927" s="9" t="s">
        <v>49</v>
      </c>
      <c r="N927" s="9" t="s">
        <v>88</v>
      </c>
      <c r="O927" s="9">
        <f>HYPERLINK("https://www.google.com/maps/search/?api=1&amp;query=39.4843962,2.83217152", "https://www.google.com/maps/search/?api=1&amp;query=39.4843962,2.83217152")</f>
      </c>
      <c r="P927" s="9" t="s">
        <v>1381</v>
      </c>
      <c r="Q927" s="9" t="s">
        <v>151</v>
      </c>
    </row>
    <row r="928" spans="1:17" x14ac:dyDescent="0.25">
      <c r="A928" s="8" t="s">
        <v>6860</v>
      </c>
      <c r="B928" s="8" t="s">
        <v>6861</v>
      </c>
      <c r="C928" s="9" t="s">
        <v>6862</v>
      </c>
      <c r="D928" s="9" t="s">
        <v>424</v>
      </c>
      <c r="E928" s="9" t="s">
        <v>6863</v>
      </c>
      <c r="F928" s="10">
        <v>1.359</v>
      </c>
      <c r="G928" s="10">
        <v>1.495</v>
      </c>
      <c r="H928" s="10"/>
      <c r="I928" s="9" t="s">
        <v>96</v>
      </c>
      <c r="J928" s="9" t="s">
        <v>6864</v>
      </c>
      <c r="K928" s="9" t="s">
        <v>6865</v>
      </c>
      <c r="L928" s="8" t="s">
        <v>6866</v>
      </c>
      <c r="M928" s="9" t="s">
        <v>49</v>
      </c>
      <c r="N928" s="9" t="s">
        <v>88</v>
      </c>
      <c r="O928" s="9">
        <f>HYPERLINK("https://www.google.com/maps/search/?api=1&amp;query=41.79314743,0.81096461", "https://www.google.com/maps/search/?api=1&amp;query=41.79314743,0.81096461")</f>
      </c>
      <c r="P928" s="9" t="s">
        <v>6867</v>
      </c>
      <c r="Q928" s="9" t="s">
        <v>102</v>
      </c>
    </row>
    <row r="929" spans="1:17" x14ac:dyDescent="0.25">
      <c r="A929" s="8" t="s">
        <v>6868</v>
      </c>
      <c r="B929" s="8" t="s">
        <v>6869</v>
      </c>
      <c r="C929" s="9" t="s">
        <v>6870</v>
      </c>
      <c r="D929" s="9" t="s">
        <v>128</v>
      </c>
      <c r="E929" s="9" t="s">
        <v>6871</v>
      </c>
      <c r="F929" s="10">
        <v>1.359</v>
      </c>
      <c r="G929" s="10">
        <v>1.495</v>
      </c>
      <c r="H929" s="10"/>
      <c r="I929" s="9" t="s">
        <v>45</v>
      </c>
      <c r="J929" s="9" t="s">
        <v>6872</v>
      </c>
      <c r="K929" s="9" t="s">
        <v>6873</v>
      </c>
      <c r="L929" s="8" t="s">
        <v>6874</v>
      </c>
      <c r="M929" s="9" t="s">
        <v>36</v>
      </c>
      <c r="N929" s="9" t="s">
        <v>37</v>
      </c>
      <c r="O929" s="9">
        <f>HYPERLINK("https://www.google.com/maps/search/?api=1&amp;query=36.19979277,-5.51457117", "https://www.google.com/maps/search/?api=1&amp;query=36.19979277,-5.51457117")</f>
      </c>
      <c r="P929" s="9" t="s">
        <v>67</v>
      </c>
      <c r="Q929" s="9" t="s">
        <v>124</v>
      </c>
    </row>
    <row r="930" spans="1:17" x14ac:dyDescent="0.25">
      <c r="A930" s="8" t="s">
        <v>6875</v>
      </c>
      <c r="B930" s="8" t="s">
        <v>6876</v>
      </c>
      <c r="C930" s="9" t="s">
        <v>6877</v>
      </c>
      <c r="D930" s="9" t="s">
        <v>116</v>
      </c>
      <c r="E930" s="9" t="s">
        <v>6878</v>
      </c>
      <c r="F930" s="10">
        <v>1.359</v>
      </c>
      <c r="G930" s="10">
        <v>1.495</v>
      </c>
      <c r="H930" s="10"/>
      <c r="I930" s="9" t="s">
        <v>118</v>
      </c>
      <c r="J930" s="9" t="s">
        <v>6879</v>
      </c>
      <c r="K930" s="9" t="s">
        <v>6880</v>
      </c>
      <c r="L930" s="8" t="s">
        <v>6881</v>
      </c>
      <c r="M930" s="9" t="s">
        <v>49</v>
      </c>
      <c r="N930" s="9" t="s">
        <v>122</v>
      </c>
      <c r="O930" s="9">
        <f>HYPERLINK("https://www.google.com/maps/search/?api=1&amp;query=43.29308988,-3.00635675", "https://www.google.com/maps/search/?api=1&amp;query=43.29308988,-3.00635675")</f>
      </c>
      <c r="P930" s="9" t="s">
        <v>4492</v>
      </c>
      <c r="Q930" s="9" t="s">
        <v>297</v>
      </c>
    </row>
    <row r="931" spans="1:17" x14ac:dyDescent="0.25">
      <c r="A931" s="8" t="s">
        <v>6882</v>
      </c>
      <c r="B931" s="8" t="s">
        <v>6883</v>
      </c>
      <c r="C931" s="9" t="s">
        <v>6884</v>
      </c>
      <c r="D931" s="9" t="s">
        <v>83</v>
      </c>
      <c r="E931" s="9" t="s">
        <v>6885</v>
      </c>
      <c r="F931" s="10">
        <v>1.359</v>
      </c>
      <c r="G931" s="10">
        <v>1.495</v>
      </c>
      <c r="H931" s="10"/>
      <c r="I931" s="9" t="s">
        <v>83</v>
      </c>
      <c r="J931" s="9" t="s">
        <v>6886</v>
      </c>
      <c r="K931" s="9" t="s">
        <v>6887</v>
      </c>
      <c r="L931" s="8" t="s">
        <v>6888</v>
      </c>
      <c r="M931" s="9" t="s">
        <v>36</v>
      </c>
      <c r="N931" s="9" t="s">
        <v>645</v>
      </c>
      <c r="O931" s="9">
        <f>HYPERLINK("https://www.google.com/maps/search/?api=1&amp;query=40.56823609,-3.917352", "https://www.google.com/maps/search/?api=1&amp;query=40.56823609,-3.917352")</f>
      </c>
      <c r="P931" s="9" t="s">
        <v>5365</v>
      </c>
      <c r="Q931" s="9" t="s">
        <v>331</v>
      </c>
    </row>
    <row r="932" spans="1:17" x14ac:dyDescent="0.25">
      <c r="A932" s="8" t="s">
        <v>6889</v>
      </c>
      <c r="B932" s="8" t="s">
        <v>6890</v>
      </c>
      <c r="C932" s="9" t="s">
        <v>6891</v>
      </c>
      <c r="D932" s="9" t="s">
        <v>631</v>
      </c>
      <c r="E932" s="9" t="s">
        <v>1047</v>
      </c>
      <c r="F932" s="10">
        <v>1.359</v>
      </c>
      <c r="G932" s="10">
        <v>1.495</v>
      </c>
      <c r="H932" s="10"/>
      <c r="I932" s="9" t="s">
        <v>45</v>
      </c>
      <c r="J932" s="9" t="s">
        <v>6892</v>
      </c>
      <c r="K932" s="9" t="s">
        <v>6893</v>
      </c>
      <c r="L932" s="8" t="s">
        <v>6894</v>
      </c>
      <c r="M932" s="9" t="s">
        <v>49</v>
      </c>
      <c r="N932" s="9" t="s">
        <v>37</v>
      </c>
      <c r="O932" s="9">
        <f>HYPERLINK("https://www.google.com/maps/search/?api=1&amp;query=37.89307105,-4.80962681", "https://www.google.com/maps/search/?api=1&amp;query=37.89307105,-4.80962681")</f>
      </c>
      <c r="P932" s="9" t="s">
        <v>1381</v>
      </c>
      <c r="Q932" s="9" t="s">
        <v>697</v>
      </c>
    </row>
    <row r="933" spans="1:17" x14ac:dyDescent="0.25">
      <c r="A933" s="8" t="s">
        <v>6895</v>
      </c>
      <c r="B933" s="8" t="s">
        <v>6896</v>
      </c>
      <c r="C933" s="9" t="s">
        <v>6897</v>
      </c>
      <c r="D933" s="9" t="s">
        <v>61</v>
      </c>
      <c r="E933" s="9" t="s">
        <v>4653</v>
      </c>
      <c r="F933" s="10">
        <v>1.359</v>
      </c>
      <c r="G933" s="10">
        <v>1.495</v>
      </c>
      <c r="H933" s="10"/>
      <c r="I933" s="9" t="s">
        <v>45</v>
      </c>
      <c r="J933" s="9" t="s">
        <v>6898</v>
      </c>
      <c r="K933" s="9" t="s">
        <v>6899</v>
      </c>
      <c r="L933" s="8" t="s">
        <v>4656</v>
      </c>
      <c r="M933" s="9" t="s">
        <v>36</v>
      </c>
      <c r="N933" s="9" t="s">
        <v>88</v>
      </c>
      <c r="O933" s="9">
        <f>HYPERLINK("https://www.google.com/maps/search/?api=1&amp;query=37.36242387,-6.03669161", "https://www.google.com/maps/search/?api=1&amp;query=37.36242387,-6.03669161")</f>
      </c>
      <c r="P933" s="9" t="s">
        <v>2967</v>
      </c>
      <c r="Q933" s="9" t="s">
        <v>6900</v>
      </c>
    </row>
    <row r="934" spans="1:17" x14ac:dyDescent="0.25">
      <c r="A934" s="8" t="s">
        <v>6901</v>
      </c>
      <c r="B934" s="8" t="s">
        <v>6902</v>
      </c>
      <c r="C934" s="9" t="s">
        <v>6903</v>
      </c>
      <c r="D934" s="9" t="s">
        <v>116</v>
      </c>
      <c r="E934" s="9" t="s">
        <v>6904</v>
      </c>
      <c r="F934" s="10">
        <v>1.359</v>
      </c>
      <c r="G934" s="10">
        <v>1.495</v>
      </c>
      <c r="H934" s="10"/>
      <c r="I934" s="9" t="s">
        <v>118</v>
      </c>
      <c r="J934" s="9" t="s">
        <v>6905</v>
      </c>
      <c r="K934" s="9" t="s">
        <v>6906</v>
      </c>
      <c r="L934" s="8" t="s">
        <v>1161</v>
      </c>
      <c r="M934" s="9" t="s">
        <v>49</v>
      </c>
      <c r="N934" s="9" t="s">
        <v>88</v>
      </c>
      <c r="O934" s="9">
        <f>HYPERLINK("https://www.google.com/maps/search/?api=1&amp;query=43.32194896,-3.06788571", "https://www.google.com/maps/search/?api=1&amp;query=43.32194896,-3.06788571")</f>
      </c>
      <c r="P934" s="9" t="s">
        <v>172</v>
      </c>
      <c r="Q934" s="9" t="s">
        <v>6907</v>
      </c>
    </row>
    <row r="935" spans="1:17" x14ac:dyDescent="0.25">
      <c r="A935" s="8" t="s">
        <v>6908</v>
      </c>
      <c r="B935" s="8" t="s">
        <v>6909</v>
      </c>
      <c r="C935" s="9" t="s">
        <v>6910</v>
      </c>
      <c r="D935" s="9" t="s">
        <v>217</v>
      </c>
      <c r="E935" s="9" t="s">
        <v>1224</v>
      </c>
      <c r="F935" s="10">
        <v>1.359</v>
      </c>
      <c r="G935" s="10">
        <v>1.495</v>
      </c>
      <c r="H935" s="10"/>
      <c r="I935" s="9" t="s">
        <v>45</v>
      </c>
      <c r="J935" s="9" t="s">
        <v>6911</v>
      </c>
      <c r="K935" s="9" t="s">
        <v>6912</v>
      </c>
      <c r="L935" s="8" t="s">
        <v>1227</v>
      </c>
      <c r="M935" s="9" t="s">
        <v>49</v>
      </c>
      <c r="N935" s="9" t="s">
        <v>37</v>
      </c>
      <c r="O935" s="9">
        <f>HYPERLINK("https://www.google.com/maps/search/?api=1&amp;query=36.91857317,-4.44005042", "https://www.google.com/maps/search/?api=1&amp;query=36.91857317,-4.44005042")</f>
      </c>
      <c r="P935" s="9" t="s">
        <v>1311</v>
      </c>
      <c r="Q935" s="9" t="s">
        <v>394</v>
      </c>
    </row>
    <row r="936" spans="1:17" x14ac:dyDescent="0.25">
      <c r="A936" s="8" t="s">
        <v>6913</v>
      </c>
      <c r="B936" s="8" t="s">
        <v>6914</v>
      </c>
      <c r="C936" s="9" t="s">
        <v>6915</v>
      </c>
      <c r="D936" s="9" t="s">
        <v>409</v>
      </c>
      <c r="E936" s="9" t="s">
        <v>6916</v>
      </c>
      <c r="F936" s="10">
        <v>1.359</v>
      </c>
      <c r="G936" s="10">
        <v>1.495</v>
      </c>
      <c r="H936" s="10"/>
      <c r="I936" s="9" t="s">
        <v>292</v>
      </c>
      <c r="J936" s="9" t="s">
        <v>6917</v>
      </c>
      <c r="K936" s="9" t="s">
        <v>6918</v>
      </c>
      <c r="L936" s="8" t="s">
        <v>6919</v>
      </c>
      <c r="M936" s="9" t="s">
        <v>49</v>
      </c>
      <c r="N936" s="9" t="s">
        <v>88</v>
      </c>
      <c r="O936" s="9">
        <f>HYPERLINK("https://www.google.com/maps/search/?api=1&amp;query=41.51495698,-0.63650717", "https://www.google.com/maps/search/?api=1&amp;query=41.51495698,-0.63650717")</f>
      </c>
      <c r="P936" s="9" t="s">
        <v>6920</v>
      </c>
      <c r="Q936" s="9" t="s">
        <v>6921</v>
      </c>
    </row>
    <row r="937" spans="1:17" x14ac:dyDescent="0.25">
      <c r="A937" s="8" t="s">
        <v>6922</v>
      </c>
      <c r="B937" s="8" t="s">
        <v>6923</v>
      </c>
      <c r="C937" s="9" t="s">
        <v>6924</v>
      </c>
      <c r="D937" s="9" t="s">
        <v>94</v>
      </c>
      <c r="E937" s="9" t="s">
        <v>6925</v>
      </c>
      <c r="F937" s="10">
        <v>1.359</v>
      </c>
      <c r="G937" s="10">
        <v>1.495</v>
      </c>
      <c r="H937" s="10"/>
      <c r="I937" s="9" t="s">
        <v>96</v>
      </c>
      <c r="J937" s="9" t="s">
        <v>6926</v>
      </c>
      <c r="K937" s="9" t="s">
        <v>6927</v>
      </c>
      <c r="L937" s="8" t="s">
        <v>6928</v>
      </c>
      <c r="M937" s="9" t="s">
        <v>49</v>
      </c>
      <c r="N937" s="9" t="s">
        <v>37</v>
      </c>
      <c r="O937" s="9">
        <f>HYPERLINK("https://www.google.com/maps/search/?api=1&amp;query=41.44432108,2.21077863", "https://www.google.com/maps/search/?api=1&amp;query=41.44432108,2.21077863")</f>
      </c>
      <c r="P937" s="9" t="s">
        <v>1702</v>
      </c>
      <c r="Q937" s="9" t="s">
        <v>1629</v>
      </c>
    </row>
    <row r="938" spans="1:17" x14ac:dyDescent="0.25">
      <c r="A938" s="8" t="s">
        <v>6929</v>
      </c>
      <c r="B938" s="8" t="s">
        <v>6930</v>
      </c>
      <c r="C938" s="9" t="s">
        <v>6931</v>
      </c>
      <c r="D938" s="9" t="s">
        <v>344</v>
      </c>
      <c r="E938" s="9" t="s">
        <v>6932</v>
      </c>
      <c r="F938" s="10">
        <v>1.359</v>
      </c>
      <c r="G938" s="10">
        <v>1.495</v>
      </c>
      <c r="H938" s="10"/>
      <c r="I938" s="9" t="s">
        <v>140</v>
      </c>
      <c r="J938" s="9" t="s">
        <v>6933</v>
      </c>
      <c r="K938" s="9" t="s">
        <v>6934</v>
      </c>
      <c r="L938" s="8" t="s">
        <v>6935</v>
      </c>
      <c r="M938" s="9" t="s">
        <v>49</v>
      </c>
      <c r="N938" s="9" t="s">
        <v>211</v>
      </c>
      <c r="O938" s="9">
        <f>HYPERLINK("https://www.google.com/maps/search/?api=1&amp;query=43.11196859,-9.02877615", "https://www.google.com/maps/search/?api=1&amp;query=43.11196859,-9.02877615")</f>
      </c>
      <c r="P938" s="9" t="s">
        <v>1423</v>
      </c>
      <c r="Q938" s="9" t="s">
        <v>6936</v>
      </c>
    </row>
    <row r="939" spans="1:17" x14ac:dyDescent="0.25">
      <c r="A939" s="8" t="s">
        <v>6937</v>
      </c>
      <c r="B939" s="8" t="s">
        <v>6938</v>
      </c>
      <c r="C939" s="9" t="s">
        <v>6939</v>
      </c>
      <c r="D939" s="9" t="s">
        <v>116</v>
      </c>
      <c r="E939" s="9" t="s">
        <v>4065</v>
      </c>
      <c r="F939" s="10">
        <v>1.359</v>
      </c>
      <c r="G939" s="10">
        <v>1.495</v>
      </c>
      <c r="H939" s="10"/>
      <c r="I939" s="9" t="s">
        <v>118</v>
      </c>
      <c r="J939" s="9" t="s">
        <v>6940</v>
      </c>
      <c r="K939" s="9" t="s">
        <v>6941</v>
      </c>
      <c r="L939" s="8" t="s">
        <v>6042</v>
      </c>
      <c r="M939" s="9" t="s">
        <v>100</v>
      </c>
      <c r="N939" s="9" t="s">
        <v>37</v>
      </c>
      <c r="O939" s="9">
        <f>HYPERLINK("https://www.google.com/maps/search/?api=1&amp;query=43.24893843,-2.92471359", "https://www.google.com/maps/search/?api=1&amp;query=43.24893843,-2.92471359")</f>
      </c>
      <c r="P939" s="9" t="s">
        <v>6942</v>
      </c>
      <c r="Q939" s="9" t="s">
        <v>6943</v>
      </c>
    </row>
    <row r="940" spans="1:17" x14ac:dyDescent="0.25">
      <c r="A940" s="8" t="s">
        <v>6944</v>
      </c>
      <c r="B940" s="8" t="s">
        <v>6945</v>
      </c>
      <c r="C940" s="9" t="s">
        <v>6946</v>
      </c>
      <c r="D940" s="9" t="s">
        <v>138</v>
      </c>
      <c r="E940" s="9" t="s">
        <v>6947</v>
      </c>
      <c r="F940" s="10">
        <v>1.359</v>
      </c>
      <c r="G940" s="10">
        <v>1.495</v>
      </c>
      <c r="H940" s="10"/>
      <c r="I940" s="9" t="s">
        <v>140</v>
      </c>
      <c r="J940" s="9" t="s">
        <v>6948</v>
      </c>
      <c r="K940" s="9" t="s">
        <v>6949</v>
      </c>
      <c r="L940" s="8" t="s">
        <v>6950</v>
      </c>
      <c r="M940" s="9" t="s">
        <v>49</v>
      </c>
      <c r="N940" s="9" t="s">
        <v>211</v>
      </c>
      <c r="O940" s="9">
        <f>HYPERLINK("https://www.google.com/maps/search/?api=1&amp;query=42.11182744,-8.75988384", "https://www.google.com/maps/search/?api=1&amp;query=42.11182744,-8.75988384")</f>
      </c>
      <c r="P940" s="9" t="s">
        <v>1250</v>
      </c>
      <c r="Q940" s="9" t="s">
        <v>6951</v>
      </c>
    </row>
    <row r="941" spans="1:17" x14ac:dyDescent="0.25">
      <c r="A941" s="8" t="s">
        <v>6952</v>
      </c>
      <c r="B941" s="8" t="s">
        <v>6953</v>
      </c>
      <c r="C941" s="9" t="s">
        <v>6954</v>
      </c>
      <c r="D941" s="9" t="s">
        <v>808</v>
      </c>
      <c r="E941" s="9" t="s">
        <v>6955</v>
      </c>
      <c r="F941" s="10">
        <v>1.359</v>
      </c>
      <c r="G941" s="10">
        <v>1.495</v>
      </c>
      <c r="H941" s="10"/>
      <c r="I941" s="9" t="s">
        <v>808</v>
      </c>
      <c r="J941" s="9" t="s">
        <v>6956</v>
      </c>
      <c r="K941" s="9" t="s">
        <v>6957</v>
      </c>
      <c r="L941" s="8" t="s">
        <v>6958</v>
      </c>
      <c r="M941" s="9" t="s">
        <v>49</v>
      </c>
      <c r="N941" s="9" t="s">
        <v>211</v>
      </c>
      <c r="O941" s="9">
        <f>HYPERLINK("https://www.google.com/maps/search/?api=1&amp;query=43.3998249,-3.43925167", "https://www.google.com/maps/search/?api=1&amp;query=43.3998249,-3.43925167")</f>
      </c>
      <c r="P941" s="9" t="s">
        <v>1842</v>
      </c>
      <c r="Q941" s="9" t="s">
        <v>697</v>
      </c>
    </row>
    <row r="942" spans="1:17" x14ac:dyDescent="0.25">
      <c r="A942" s="8" t="s">
        <v>6959</v>
      </c>
      <c r="B942" s="8" t="s">
        <v>6960</v>
      </c>
      <c r="C942" s="9" t="s">
        <v>6961</v>
      </c>
      <c r="D942" s="9" t="s">
        <v>197</v>
      </c>
      <c r="E942" s="9" t="s">
        <v>6962</v>
      </c>
      <c r="F942" s="10">
        <v>1.359</v>
      </c>
      <c r="G942" s="10">
        <v>1.495</v>
      </c>
      <c r="H942" s="10"/>
      <c r="I942" s="9" t="s">
        <v>168</v>
      </c>
      <c r="J942" s="9" t="s">
        <v>6963</v>
      </c>
      <c r="K942" s="9" t="s">
        <v>6964</v>
      </c>
      <c r="L942" s="8" t="s">
        <v>6965</v>
      </c>
      <c r="M942" s="9" t="s">
        <v>36</v>
      </c>
      <c r="N942" s="9" t="s">
        <v>211</v>
      </c>
      <c r="O942" s="9">
        <f>HYPERLINK("https://www.google.com/maps/search/?api=1&amp;query=39.92048012,-5.18395464", "https://www.google.com/maps/search/?api=1&amp;query=39.92048012,-5.18395464")</f>
      </c>
      <c r="P942" s="9" t="s">
        <v>6966</v>
      </c>
      <c r="Q942" s="9" t="s">
        <v>1131</v>
      </c>
    </row>
    <row r="943" spans="1:17" x14ac:dyDescent="0.25">
      <c r="A943" s="8" t="s">
        <v>6967</v>
      </c>
      <c r="B943" s="8" t="s">
        <v>6968</v>
      </c>
      <c r="C943" s="9" t="s">
        <v>6969</v>
      </c>
      <c r="D943" s="9" t="s">
        <v>400</v>
      </c>
      <c r="E943" s="9" t="s">
        <v>6970</v>
      </c>
      <c r="F943" s="10">
        <v>1.359</v>
      </c>
      <c r="G943" s="10">
        <v>1.495</v>
      </c>
      <c r="H943" s="10"/>
      <c r="I943" s="9" t="s">
        <v>400</v>
      </c>
      <c r="J943" s="9" t="s">
        <v>6971</v>
      </c>
      <c r="K943" s="9" t="s">
        <v>6972</v>
      </c>
      <c r="L943" s="8" t="s">
        <v>6973</v>
      </c>
      <c r="M943" s="9" t="s">
        <v>36</v>
      </c>
      <c r="N943" s="9" t="s">
        <v>556</v>
      </c>
      <c r="O943" s="9">
        <f>HYPERLINK("https://www.google.com/maps/search/?api=1&amp;query=39.49405305,-0.46955304", "https://www.google.com/maps/search/?api=1&amp;query=39.49405305,-0.46955304")</f>
      </c>
      <c r="P943" s="9" t="s">
        <v>1565</v>
      </c>
      <c r="Q943" s="9" t="s">
        <v>6974</v>
      </c>
    </row>
    <row r="944" spans="1:17" x14ac:dyDescent="0.25">
      <c r="A944" s="8" t="s">
        <v>6975</v>
      </c>
      <c r="B944" s="8" t="s">
        <v>6976</v>
      </c>
      <c r="C944" s="9" t="s">
        <v>6977</v>
      </c>
      <c r="D944" s="9" t="s">
        <v>61</v>
      </c>
      <c r="E944" s="9" t="s">
        <v>6978</v>
      </c>
      <c r="F944" s="10">
        <v>1.359</v>
      </c>
      <c r="G944" s="10">
        <v>1.495</v>
      </c>
      <c r="H944" s="10"/>
      <c r="I944" s="9" t="s">
        <v>45</v>
      </c>
      <c r="J944" s="9" t="s">
        <v>6979</v>
      </c>
      <c r="K944" s="9" t="s">
        <v>6980</v>
      </c>
      <c r="L944" s="8" t="s">
        <v>6981</v>
      </c>
      <c r="M944" s="9" t="s">
        <v>36</v>
      </c>
      <c r="N944" s="9" t="s">
        <v>37</v>
      </c>
      <c r="O944" s="9">
        <f>HYPERLINK("https://www.google.com/maps/search/?api=1&amp;query=37.37476177,-6.0804956", "https://www.google.com/maps/search/?api=1&amp;query=37.37476177,-6.0804956")</f>
      </c>
      <c r="P944" s="9" t="s">
        <v>6982</v>
      </c>
      <c r="Q944" s="9" t="s">
        <v>5408</v>
      </c>
    </row>
    <row r="945" spans="1:17" x14ac:dyDescent="0.25">
      <c r="A945" s="8" t="s">
        <v>6983</v>
      </c>
      <c r="B945" s="8" t="s">
        <v>6984</v>
      </c>
      <c r="C945" s="9" t="s">
        <v>6985</v>
      </c>
      <c r="D945" s="9" t="s">
        <v>83</v>
      </c>
      <c r="E945" s="9" t="s">
        <v>6986</v>
      </c>
      <c r="F945" s="10">
        <v>1.359</v>
      </c>
      <c r="G945" s="10">
        <v>1.495</v>
      </c>
      <c r="H945" s="10"/>
      <c r="I945" s="9" t="s">
        <v>83</v>
      </c>
      <c r="J945" s="9" t="s">
        <v>6987</v>
      </c>
      <c r="K945" s="9" t="s">
        <v>6988</v>
      </c>
      <c r="L945" s="8" t="s">
        <v>6989</v>
      </c>
      <c r="M945" s="9" t="s">
        <v>36</v>
      </c>
      <c r="N945" s="9" t="s">
        <v>66</v>
      </c>
      <c r="O945" s="9">
        <f>HYPERLINK("https://www.google.com/maps/search/?api=1&amp;query=40.7020976,-3.50905419", "https://www.google.com/maps/search/?api=1&amp;query=40.7020976,-3.50905419")</f>
      </c>
      <c r="P945" s="9" t="s">
        <v>3400</v>
      </c>
      <c r="Q945" s="9" t="s">
        <v>6990</v>
      </c>
    </row>
    <row r="946" spans="1:17" x14ac:dyDescent="0.25">
      <c r="A946" s="8" t="s">
        <v>6991</v>
      </c>
      <c r="B946" s="8" t="s">
        <v>6992</v>
      </c>
      <c r="C946" s="9" t="s">
        <v>6993</v>
      </c>
      <c r="D946" s="9" t="s">
        <v>434</v>
      </c>
      <c r="E946" s="9" t="s">
        <v>2386</v>
      </c>
      <c r="F946" s="10">
        <v>1.359</v>
      </c>
      <c r="G946" s="10">
        <v>1.495</v>
      </c>
      <c r="H946" s="10"/>
      <c r="I946" s="9" t="s">
        <v>96</v>
      </c>
      <c r="J946" s="9" t="s">
        <v>6994</v>
      </c>
      <c r="K946" s="9" t="s">
        <v>6995</v>
      </c>
      <c r="L946" s="8" t="s">
        <v>2389</v>
      </c>
      <c r="M946" s="9" t="s">
        <v>49</v>
      </c>
      <c r="N946" s="9" t="s">
        <v>37</v>
      </c>
      <c r="O946" s="9">
        <f>HYPERLINK("https://www.google.com/maps/search/?api=1&amp;query=42.40519919,2.87218563", "https://www.google.com/maps/search/?api=1&amp;query=42.40519919,2.87218563")</f>
      </c>
      <c r="P946" s="9" t="s">
        <v>1067</v>
      </c>
      <c r="Q946" s="9" t="s">
        <v>2390</v>
      </c>
    </row>
    <row r="947" spans="1:17" x14ac:dyDescent="0.25">
      <c r="A947" s="8" t="s">
        <v>6996</v>
      </c>
      <c r="B947" s="8" t="s">
        <v>6997</v>
      </c>
      <c r="C947" s="9" t="s">
        <v>6998</v>
      </c>
      <c r="D947" s="9" t="s">
        <v>83</v>
      </c>
      <c r="E947" s="9" t="s">
        <v>1538</v>
      </c>
      <c r="F947" s="10">
        <v>1.359</v>
      </c>
      <c r="G947" s="10">
        <v>1.495</v>
      </c>
      <c r="H947" s="10"/>
      <c r="I947" s="9" t="s">
        <v>83</v>
      </c>
      <c r="J947" s="9" t="s">
        <v>6999</v>
      </c>
      <c r="K947" s="9" t="s">
        <v>7000</v>
      </c>
      <c r="L947" s="8" t="s">
        <v>1541</v>
      </c>
      <c r="M947" s="9" t="s">
        <v>49</v>
      </c>
      <c r="N947" s="9" t="s">
        <v>7001</v>
      </c>
      <c r="O947" s="9">
        <f>HYPERLINK("https://www.google.com/maps/search/?api=1&amp;query=40.47371865,-3.8757442", "https://www.google.com/maps/search/?api=1&amp;query=40.47371865,-3.8757442")</f>
      </c>
      <c r="P947" s="9" t="s">
        <v>172</v>
      </c>
      <c r="Q947" s="9" t="s">
        <v>1341</v>
      </c>
    </row>
    <row r="948" spans="1:17" x14ac:dyDescent="0.25">
      <c r="A948" s="8" t="s">
        <v>7002</v>
      </c>
      <c r="B948" s="8" t="s">
        <v>7003</v>
      </c>
      <c r="C948" s="9" t="s">
        <v>7004</v>
      </c>
      <c r="D948" s="9" t="s">
        <v>398</v>
      </c>
      <c r="E948" s="9" t="s">
        <v>2805</v>
      </c>
      <c r="F948" s="10">
        <v>1.359</v>
      </c>
      <c r="G948" s="10">
        <v>1.495</v>
      </c>
      <c r="H948" s="10"/>
      <c r="I948" s="9" t="s">
        <v>400</v>
      </c>
      <c r="J948" s="9" t="s">
        <v>7005</v>
      </c>
      <c r="K948" s="9" t="s">
        <v>7006</v>
      </c>
      <c r="L948" s="8" t="s">
        <v>2808</v>
      </c>
      <c r="M948" s="9" t="s">
        <v>36</v>
      </c>
      <c r="N948" s="9" t="s">
        <v>88</v>
      </c>
      <c r="O948" s="9">
        <f>HYPERLINK("https://www.google.com/maps/search/?api=1&amp;query=38.39005728,-0.51511272", "https://www.google.com/maps/search/?api=1&amp;query=38.39005728,-0.51511272")</f>
      </c>
      <c r="P948" s="9" t="s">
        <v>974</v>
      </c>
      <c r="Q948" s="9" t="s">
        <v>7007</v>
      </c>
    </row>
    <row r="949" spans="1:17" x14ac:dyDescent="0.25">
      <c r="A949" s="8" t="s">
        <v>7008</v>
      </c>
      <c r="B949" s="8" t="s">
        <v>7009</v>
      </c>
      <c r="C949" s="9" t="s">
        <v>7010</v>
      </c>
      <c r="D949" s="9" t="s">
        <v>217</v>
      </c>
      <c r="E949" s="9" t="s">
        <v>271</v>
      </c>
      <c r="F949" s="10">
        <v>1.359</v>
      </c>
      <c r="G949" s="10">
        <v>1.495</v>
      </c>
      <c r="H949" s="10"/>
      <c r="I949" s="9" t="s">
        <v>45</v>
      </c>
      <c r="J949" s="9" t="s">
        <v>7011</v>
      </c>
      <c r="K949" s="9" t="s">
        <v>7012</v>
      </c>
      <c r="L949" s="8" t="s">
        <v>5364</v>
      </c>
      <c r="M949" s="9" t="s">
        <v>49</v>
      </c>
      <c r="N949" s="9" t="s">
        <v>37</v>
      </c>
      <c r="O949" s="9">
        <f>HYPERLINK("https://www.google.com/maps/search/?api=1&amp;query=36.61216629,-4.52723275", "https://www.google.com/maps/search/?api=1&amp;query=36.61216629,-4.52723275")</f>
      </c>
      <c r="P949" s="9" t="s">
        <v>5365</v>
      </c>
      <c r="Q949" s="9" t="s">
        <v>5781</v>
      </c>
    </row>
    <row r="950" spans="1:17" x14ac:dyDescent="0.25">
      <c r="A950" s="8" t="s">
        <v>7013</v>
      </c>
      <c r="B950" s="8" t="s">
        <v>7014</v>
      </c>
      <c r="C950" s="9" t="s">
        <v>7015</v>
      </c>
      <c r="D950" s="9" t="s">
        <v>177</v>
      </c>
      <c r="E950" s="9" t="s">
        <v>178</v>
      </c>
      <c r="F950" s="10">
        <v>1.359</v>
      </c>
      <c r="G950" s="10">
        <v>1.495</v>
      </c>
      <c r="H950" s="10"/>
      <c r="I950" s="9" t="s">
        <v>74</v>
      </c>
      <c r="J950" s="9" t="s">
        <v>7016</v>
      </c>
      <c r="K950" s="9" t="s">
        <v>7017</v>
      </c>
      <c r="L950" s="8" t="s">
        <v>181</v>
      </c>
      <c r="M950" s="9" t="s">
        <v>100</v>
      </c>
      <c r="N950" s="9" t="s">
        <v>211</v>
      </c>
      <c r="O950" s="9">
        <f>HYPERLINK("https://www.google.com/maps/search/?api=1&amp;query=41.30176189,-4.90919608", "https://www.google.com/maps/search/?api=1&amp;query=41.30176189,-4.90919608")</f>
      </c>
      <c r="P950" s="9" t="s">
        <v>7018</v>
      </c>
      <c r="Q950" s="9" t="s">
        <v>7019</v>
      </c>
    </row>
    <row r="951" spans="1:17" x14ac:dyDescent="0.25">
      <c r="A951" s="8" t="s">
        <v>7020</v>
      </c>
      <c r="B951" s="8" t="s">
        <v>7021</v>
      </c>
      <c r="C951" s="9" t="s">
        <v>7022</v>
      </c>
      <c r="D951" s="9" t="s">
        <v>94</v>
      </c>
      <c r="E951" s="9" t="s">
        <v>2338</v>
      </c>
      <c r="F951" s="10">
        <v>1.359</v>
      </c>
      <c r="G951" s="10">
        <v>1.495</v>
      </c>
      <c r="H951" s="10"/>
      <c r="I951" s="9" t="s">
        <v>96</v>
      </c>
      <c r="J951" s="9" t="s">
        <v>7023</v>
      </c>
      <c r="K951" s="9" t="s">
        <v>7024</v>
      </c>
      <c r="L951" s="8" t="s">
        <v>2528</v>
      </c>
      <c r="M951" s="9" t="s">
        <v>49</v>
      </c>
      <c r="N951" s="9" t="s">
        <v>7001</v>
      </c>
      <c r="O951" s="9">
        <f>HYPERLINK("https://www.google.com/maps/search/?api=1&amp;query=41.55317774,2.06893763", "https://www.google.com/maps/search/?api=1&amp;query=41.55317774,2.06893763")</f>
      </c>
      <c r="P951" s="9" t="s">
        <v>1381</v>
      </c>
      <c r="Q951" s="9" t="s">
        <v>420</v>
      </c>
    </row>
    <row r="952" spans="1:17" x14ac:dyDescent="0.25">
      <c r="A952" s="8" t="s">
        <v>7025</v>
      </c>
      <c r="B952" s="8" t="s">
        <v>7026</v>
      </c>
      <c r="C952" s="9" t="s">
        <v>7027</v>
      </c>
      <c r="D952" s="9" t="s">
        <v>400</v>
      </c>
      <c r="E952" s="9" t="s">
        <v>2963</v>
      </c>
      <c r="F952" s="10">
        <v>1.359</v>
      </c>
      <c r="G952" s="10">
        <v>1.495</v>
      </c>
      <c r="H952" s="10"/>
      <c r="I952" s="9" t="s">
        <v>400</v>
      </c>
      <c r="J952" s="9" t="s">
        <v>7028</v>
      </c>
      <c r="K952" s="9" t="s">
        <v>7029</v>
      </c>
      <c r="L952" s="8" t="s">
        <v>2966</v>
      </c>
      <c r="M952" s="9" t="s">
        <v>49</v>
      </c>
      <c r="N952" s="9" t="s">
        <v>556</v>
      </c>
      <c r="O952" s="9">
        <f>HYPERLINK("https://www.google.com/maps/search/?api=1&amp;query=39.48405085,-1.10583193", "https://www.google.com/maps/search/?api=1&amp;query=39.48405085,-1.10583193")</f>
      </c>
      <c r="P952" s="9" t="s">
        <v>1759</v>
      </c>
      <c r="Q952" s="9" t="s">
        <v>4613</v>
      </c>
    </row>
    <row r="953" spans="1:17" x14ac:dyDescent="0.25">
      <c r="A953" s="8" t="s">
        <v>7030</v>
      </c>
      <c r="B953" s="8" t="s">
        <v>7031</v>
      </c>
      <c r="C953" s="9" t="s">
        <v>7032</v>
      </c>
      <c r="D953" s="9" t="s">
        <v>197</v>
      </c>
      <c r="E953" s="9" t="s">
        <v>7033</v>
      </c>
      <c r="F953" s="10">
        <v>1.359</v>
      </c>
      <c r="G953" s="10">
        <v>1.495</v>
      </c>
      <c r="H953" s="10"/>
      <c r="I953" s="9" t="s">
        <v>168</v>
      </c>
      <c r="J953" s="9" t="s">
        <v>7034</v>
      </c>
      <c r="K953" s="9" t="s">
        <v>7035</v>
      </c>
      <c r="L953" s="8" t="s">
        <v>7036</v>
      </c>
      <c r="M953" s="9" t="s">
        <v>49</v>
      </c>
      <c r="N953" s="9" t="s">
        <v>66</v>
      </c>
      <c r="O953" s="9">
        <f>HYPERLINK("https://www.google.com/maps/search/?api=1&amp;query=39.92626355,-5.02640919", "https://www.google.com/maps/search/?api=1&amp;query=39.92626355,-5.02640919")</f>
      </c>
      <c r="P953" s="9" t="s">
        <v>7037</v>
      </c>
      <c r="Q953" s="9" t="s">
        <v>7038</v>
      </c>
    </row>
    <row r="954" spans="1:17" x14ac:dyDescent="0.25">
      <c r="A954" s="8" t="s">
        <v>7039</v>
      </c>
      <c r="B954" s="8" t="s">
        <v>7040</v>
      </c>
      <c r="C954" s="9" t="s">
        <v>7041</v>
      </c>
      <c r="D954" s="9" t="s">
        <v>409</v>
      </c>
      <c r="E954" s="9" t="s">
        <v>1040</v>
      </c>
      <c r="F954" s="10">
        <v>1.359</v>
      </c>
      <c r="G954" s="10">
        <v>1.495</v>
      </c>
      <c r="H954" s="10"/>
      <c r="I954" s="9" t="s">
        <v>292</v>
      </c>
      <c r="J954" s="9" t="s">
        <v>1041</v>
      </c>
      <c r="K954" s="9" t="s">
        <v>7042</v>
      </c>
      <c r="L954" s="8" t="s">
        <v>1043</v>
      </c>
      <c r="M954" s="9" t="s">
        <v>49</v>
      </c>
      <c r="N954" s="9" t="s">
        <v>211</v>
      </c>
      <c r="O954" s="9">
        <f>HYPERLINK("https://www.google.com/maps/search/?api=1&amp;query=41.83283693,-1.31939599", "https://www.google.com/maps/search/?api=1&amp;query=41.83283693,-1.31939599")</f>
      </c>
      <c r="P954" s="9" t="s">
        <v>608</v>
      </c>
      <c r="Q954" s="9" t="s">
        <v>1574</v>
      </c>
    </row>
    <row r="955" spans="1:17" x14ac:dyDescent="0.25">
      <c r="A955" s="8" t="s">
        <v>7043</v>
      </c>
      <c r="B955" s="8" t="s">
        <v>7044</v>
      </c>
      <c r="C955" s="9" t="s">
        <v>7045</v>
      </c>
      <c r="D955" s="9" t="s">
        <v>516</v>
      </c>
      <c r="E955" s="9" t="s">
        <v>516</v>
      </c>
      <c r="F955" s="10">
        <v>1.359</v>
      </c>
      <c r="G955" s="10">
        <v>1.495</v>
      </c>
      <c r="H955" s="10"/>
      <c r="I955" s="9" t="s">
        <v>140</v>
      </c>
      <c r="J955" s="9" t="s">
        <v>7046</v>
      </c>
      <c r="K955" s="9" t="s">
        <v>7047</v>
      </c>
      <c r="L955" s="8" t="s">
        <v>3884</v>
      </c>
      <c r="M955" s="9" t="s">
        <v>49</v>
      </c>
      <c r="N955" s="9" t="s">
        <v>211</v>
      </c>
      <c r="O955" s="9">
        <f>HYPERLINK("https://www.google.com/maps/search/?api=1&amp;query=43.02575316,-7.56715474", "https://www.google.com/maps/search/?api=1&amp;query=43.02575316,-7.56715474")</f>
      </c>
      <c r="P955" s="9" t="s">
        <v>4344</v>
      </c>
      <c r="Q955" s="9" t="s">
        <v>2602</v>
      </c>
    </row>
    <row r="956" spans="1:17" x14ac:dyDescent="0.25">
      <c r="A956" s="8" t="s">
        <v>7048</v>
      </c>
      <c r="B956" s="8" t="s">
        <v>7049</v>
      </c>
      <c r="C956" s="9" t="s">
        <v>7050</v>
      </c>
      <c r="D956" s="9" t="s">
        <v>94</v>
      </c>
      <c r="E956" s="9" t="s">
        <v>7051</v>
      </c>
      <c r="F956" s="10">
        <v>1.359</v>
      </c>
      <c r="G956" s="10">
        <v>1.495</v>
      </c>
      <c r="H956" s="10"/>
      <c r="I956" s="9" t="s">
        <v>96</v>
      </c>
      <c r="J956" s="9" t="s">
        <v>7052</v>
      </c>
      <c r="K956" s="9" t="s">
        <v>7053</v>
      </c>
      <c r="L956" s="8" t="s">
        <v>7054</v>
      </c>
      <c r="M956" s="9" t="s">
        <v>100</v>
      </c>
      <c r="N956" s="9" t="s">
        <v>37</v>
      </c>
      <c r="O956" s="9">
        <f>HYPERLINK("https://www.google.com/maps/search/?api=1&amp;query=41.73420632,1.83986424", "https://www.google.com/maps/search/?api=1&amp;query=41.73420632,1.83986424")</f>
      </c>
      <c r="P956" s="9" t="s">
        <v>172</v>
      </c>
      <c r="Q956" s="9" t="s">
        <v>7055</v>
      </c>
    </row>
    <row r="957" spans="1:17" x14ac:dyDescent="0.25">
      <c r="A957" s="8" t="s">
        <v>1129</v>
      </c>
      <c r="B957" s="8" t="s">
        <v>7056</v>
      </c>
      <c r="C957" s="9" t="s">
        <v>7057</v>
      </c>
      <c r="D957" s="9" t="s">
        <v>434</v>
      </c>
      <c r="E957" s="9" t="s">
        <v>7058</v>
      </c>
      <c r="F957" s="10">
        <v>1.359</v>
      </c>
      <c r="G957" s="10">
        <v>1.495</v>
      </c>
      <c r="H957" s="10"/>
      <c r="I957" s="9" t="s">
        <v>96</v>
      </c>
      <c r="J957" s="9" t="s">
        <v>7059</v>
      </c>
      <c r="K957" s="9" t="s">
        <v>7060</v>
      </c>
      <c r="L957" s="8" t="s">
        <v>7061</v>
      </c>
      <c r="M957" s="9" t="s">
        <v>36</v>
      </c>
      <c r="N957" s="9" t="s">
        <v>88</v>
      </c>
      <c r="O957" s="9">
        <f>HYPERLINK("https://www.google.com/maps/search/?api=1&amp;query=42.12449586,2.7625673", "https://www.google.com/maps/search/?api=1&amp;query=42.12449586,2.7625673")</f>
      </c>
      <c r="P957" s="9" t="s">
        <v>7062</v>
      </c>
      <c r="Q957" s="9" t="s">
        <v>956</v>
      </c>
    </row>
    <row r="958" spans="1:17" x14ac:dyDescent="0.25">
      <c r="A958" s="8" t="s">
        <v>7063</v>
      </c>
      <c r="B958" s="8" t="s">
        <v>7064</v>
      </c>
      <c r="C958" s="9" t="s">
        <v>7065</v>
      </c>
      <c r="D958" s="9" t="s">
        <v>488</v>
      </c>
      <c r="E958" s="9" t="s">
        <v>7066</v>
      </c>
      <c r="F958" s="10">
        <v>1.359</v>
      </c>
      <c r="G958" s="10">
        <v>1.495</v>
      </c>
      <c r="H958" s="10"/>
      <c r="I958" s="9" t="s">
        <v>45</v>
      </c>
      <c r="J958" s="9" t="s">
        <v>7067</v>
      </c>
      <c r="K958" s="9" t="s">
        <v>7068</v>
      </c>
      <c r="L958" s="8" t="s">
        <v>7069</v>
      </c>
      <c r="M958" s="9" t="s">
        <v>49</v>
      </c>
      <c r="N958" s="9" t="s">
        <v>88</v>
      </c>
      <c r="O958" s="9">
        <f>HYPERLINK("https://www.google.com/maps/search/?api=1&amp;query=38.1725526,-3.00394944", "https://www.google.com/maps/search/?api=1&amp;query=38.1725526,-3.00394944")</f>
      </c>
      <c r="P958" s="9" t="s">
        <v>7070</v>
      </c>
      <c r="Q958" s="9" t="s">
        <v>297</v>
      </c>
    </row>
    <row r="959" spans="1:17" x14ac:dyDescent="0.25">
      <c r="A959" s="8" t="s">
        <v>7071</v>
      </c>
      <c r="B959" s="8" t="s">
        <v>7072</v>
      </c>
      <c r="C959" s="9" t="s">
        <v>7073</v>
      </c>
      <c r="D959" s="9" t="s">
        <v>83</v>
      </c>
      <c r="E959" s="9" t="s">
        <v>7074</v>
      </c>
      <c r="F959" s="10">
        <v>1.359</v>
      </c>
      <c r="G959" s="10">
        <v>1.495</v>
      </c>
      <c r="H959" s="10"/>
      <c r="I959" s="9" t="s">
        <v>83</v>
      </c>
      <c r="J959" s="9" t="s">
        <v>7075</v>
      </c>
      <c r="K959" s="9" t="s">
        <v>7076</v>
      </c>
      <c r="L959" s="8" t="s">
        <v>7077</v>
      </c>
      <c r="M959" s="9" t="s">
        <v>36</v>
      </c>
      <c r="N959" s="9" t="s">
        <v>37</v>
      </c>
      <c r="O959" s="9">
        <f>HYPERLINK("https://www.google.com/maps/search/?api=1&amp;query=40.39488478,-3.49342844", "https://www.google.com/maps/search/?api=1&amp;query=40.39488478,-3.49342844")</f>
      </c>
      <c r="P959" s="9" t="s">
        <v>1250</v>
      </c>
      <c r="Q959" s="9" t="s">
        <v>102</v>
      </c>
    </row>
    <row r="960" spans="1:17" x14ac:dyDescent="0.25">
      <c r="A960" s="8" t="s">
        <v>7078</v>
      </c>
      <c r="B960" s="8" t="s">
        <v>7079</v>
      </c>
      <c r="C960" s="9" t="s">
        <v>7080</v>
      </c>
      <c r="D960" s="9" t="s">
        <v>488</v>
      </c>
      <c r="E960" s="9" t="s">
        <v>7081</v>
      </c>
      <c r="F960" s="10">
        <v>1.359</v>
      </c>
      <c r="G960" s="10">
        <v>1.495</v>
      </c>
      <c r="H960" s="10"/>
      <c r="I960" s="9" t="s">
        <v>45</v>
      </c>
      <c r="J960" s="9" t="s">
        <v>7082</v>
      </c>
      <c r="K960" s="9" t="s">
        <v>7083</v>
      </c>
      <c r="L960" s="8" t="s">
        <v>7084</v>
      </c>
      <c r="M960" s="9" t="s">
        <v>49</v>
      </c>
      <c r="N960" s="9" t="s">
        <v>88</v>
      </c>
      <c r="O960" s="9">
        <f>HYPERLINK("https://www.google.com/maps/search/?api=1&amp;query=37.79311387,-3.79163648", "https://www.google.com/maps/search/?api=1&amp;query=37.79311387,-3.79163648")</f>
      </c>
      <c r="P960" s="9" t="s">
        <v>1471</v>
      </c>
      <c r="Q960" s="9" t="s">
        <v>7085</v>
      </c>
    </row>
    <row r="961" spans="1:17" x14ac:dyDescent="0.25">
      <c r="A961" s="8" t="s">
        <v>7086</v>
      </c>
      <c r="B961" s="8" t="s">
        <v>7087</v>
      </c>
      <c r="C961" s="9" t="s">
        <v>7088</v>
      </c>
      <c r="D961" s="9" t="s">
        <v>43</v>
      </c>
      <c r="E961" s="9" t="s">
        <v>7089</v>
      </c>
      <c r="F961" s="10">
        <v>1.359</v>
      </c>
      <c r="G961" s="10">
        <v>1.495</v>
      </c>
      <c r="H961" s="10"/>
      <c r="I961" s="9" t="s">
        <v>45</v>
      </c>
      <c r="J961" s="9" t="s">
        <v>7090</v>
      </c>
      <c r="K961" s="9" t="s">
        <v>7091</v>
      </c>
      <c r="L961" s="8" t="s">
        <v>7092</v>
      </c>
      <c r="M961" s="9" t="s">
        <v>49</v>
      </c>
      <c r="N961" s="9" t="s">
        <v>88</v>
      </c>
      <c r="O961" s="9">
        <f>HYPERLINK("https://www.google.com/maps/search/?api=1&amp;query=37.19556017,-6.97661912", "https://www.google.com/maps/search/?api=1&amp;query=37.19556017,-6.97661912")</f>
      </c>
      <c r="P961" s="9" t="s">
        <v>419</v>
      </c>
      <c r="Q961" s="9" t="s">
        <v>1727</v>
      </c>
    </row>
    <row r="962" spans="1:17" x14ac:dyDescent="0.25">
      <c r="A962" s="8" t="s">
        <v>7093</v>
      </c>
      <c r="B962" s="8" t="s">
        <v>7094</v>
      </c>
      <c r="C962" s="9" t="s">
        <v>7095</v>
      </c>
      <c r="D962" s="9" t="s">
        <v>61</v>
      </c>
      <c r="E962" s="9" t="s">
        <v>61</v>
      </c>
      <c r="F962" s="10">
        <v>1.359</v>
      </c>
      <c r="G962" s="10">
        <v>1.495</v>
      </c>
      <c r="H962" s="10"/>
      <c r="I962" s="9" t="s">
        <v>45</v>
      </c>
      <c r="J962" s="9" t="s">
        <v>7096</v>
      </c>
      <c r="K962" s="9" t="s">
        <v>7097</v>
      </c>
      <c r="L962" s="8" t="s">
        <v>795</v>
      </c>
      <c r="M962" s="9" t="s">
        <v>100</v>
      </c>
      <c r="N962" s="9" t="s">
        <v>37</v>
      </c>
      <c r="O962" s="9">
        <f>HYPERLINK("https://www.google.com/maps/search/?api=1&amp;query=37.40482311,-5.95563004", "https://www.google.com/maps/search/?api=1&amp;query=37.40482311,-5.95563004")</f>
      </c>
      <c r="P962" s="9" t="s">
        <v>275</v>
      </c>
      <c r="Q962" s="9" t="s">
        <v>7098</v>
      </c>
    </row>
    <row r="963" spans="1:17" x14ac:dyDescent="0.25">
      <c r="A963" s="8" t="s">
        <v>7099</v>
      </c>
      <c r="B963" s="8" t="s">
        <v>7100</v>
      </c>
      <c r="C963" s="9" t="s">
        <v>7101</v>
      </c>
      <c r="D963" s="9" t="s">
        <v>155</v>
      </c>
      <c r="E963" s="9" t="s">
        <v>7102</v>
      </c>
      <c r="F963" s="10">
        <v>1.359</v>
      </c>
      <c r="G963" s="10">
        <v>1.495</v>
      </c>
      <c r="H963" s="10"/>
      <c r="I963" s="9" t="s">
        <v>157</v>
      </c>
      <c r="J963" s="9" t="s">
        <v>7103</v>
      </c>
      <c r="K963" s="9" t="s">
        <v>7104</v>
      </c>
      <c r="L963" s="8" t="s">
        <v>7105</v>
      </c>
      <c r="M963" s="9" t="s">
        <v>49</v>
      </c>
      <c r="N963" s="9" t="s">
        <v>37</v>
      </c>
      <c r="O963" s="9">
        <f>HYPERLINK("https://www.google.com/maps/search/?api=1&amp;query=39.54596553,2.72246816", "https://www.google.com/maps/search/?api=1&amp;query=39.54596553,2.72246816")</f>
      </c>
      <c r="P963" s="9" t="s">
        <v>7106</v>
      </c>
      <c r="Q963" s="9" t="s">
        <v>420</v>
      </c>
    </row>
    <row r="964" spans="1:17" x14ac:dyDescent="0.25">
      <c r="A964" s="8" t="s">
        <v>7107</v>
      </c>
      <c r="B964" s="8" t="s">
        <v>7108</v>
      </c>
      <c r="C964" s="9" t="s">
        <v>7109</v>
      </c>
      <c r="D964" s="9" t="s">
        <v>61</v>
      </c>
      <c r="E964" s="9" t="s">
        <v>61</v>
      </c>
      <c r="F964" s="10">
        <v>1.359</v>
      </c>
      <c r="G964" s="10">
        <v>1.495</v>
      </c>
      <c r="H964" s="10"/>
      <c r="I964" s="9" t="s">
        <v>45</v>
      </c>
      <c r="J964" s="9" t="s">
        <v>7096</v>
      </c>
      <c r="K964" s="9" t="s">
        <v>7110</v>
      </c>
      <c r="L964" s="8" t="s">
        <v>795</v>
      </c>
      <c r="M964" s="9" t="s">
        <v>49</v>
      </c>
      <c r="N964" s="9" t="s">
        <v>88</v>
      </c>
      <c r="O964" s="9">
        <f>HYPERLINK("https://www.google.com/maps/search/?api=1&amp;query=37.40535354,-5.9564377", "https://www.google.com/maps/search/?api=1&amp;query=37.40535354,-5.9564377")</f>
      </c>
      <c r="P964" s="9" t="s">
        <v>419</v>
      </c>
      <c r="Q964" s="9" t="s">
        <v>3537</v>
      </c>
    </row>
    <row r="965" spans="1:17" x14ac:dyDescent="0.25">
      <c r="A965" s="8" t="s">
        <v>7111</v>
      </c>
      <c r="B965" s="8" t="s">
        <v>7112</v>
      </c>
      <c r="C965" s="9" t="s">
        <v>7113</v>
      </c>
      <c r="D965" s="9" t="s">
        <v>128</v>
      </c>
      <c r="E965" s="9" t="s">
        <v>4759</v>
      </c>
      <c r="F965" s="10">
        <v>1.359</v>
      </c>
      <c r="G965" s="10">
        <v>1.495</v>
      </c>
      <c r="H965" s="10"/>
      <c r="I965" s="9" t="s">
        <v>45</v>
      </c>
      <c r="J965" s="9" t="s">
        <v>7114</v>
      </c>
      <c r="K965" s="9" t="s">
        <v>7115</v>
      </c>
      <c r="L965" s="8" t="s">
        <v>4762</v>
      </c>
      <c r="M965" s="9" t="s">
        <v>49</v>
      </c>
      <c r="N965" s="9" t="s">
        <v>88</v>
      </c>
      <c r="O965" s="9">
        <f>HYPERLINK("https://www.google.com/maps/search/?api=1&amp;query=36.2811927,-6.08978361", "https://www.google.com/maps/search/?api=1&amp;query=36.2811927,-6.08978361")</f>
      </c>
      <c r="P965" s="9" t="s">
        <v>831</v>
      </c>
      <c r="Q965" s="9" t="s">
        <v>857</v>
      </c>
    </row>
    <row r="966" spans="1:17" x14ac:dyDescent="0.25">
      <c r="A966" s="8" t="s">
        <v>7116</v>
      </c>
      <c r="B966" s="8" t="s">
        <v>7117</v>
      </c>
      <c r="C966" s="9" t="s">
        <v>7118</v>
      </c>
      <c r="D966" s="9" t="s">
        <v>187</v>
      </c>
      <c r="E966" s="9" t="s">
        <v>7119</v>
      </c>
      <c r="F966" s="10">
        <v>1.359</v>
      </c>
      <c r="G966" s="10">
        <v>1.495</v>
      </c>
      <c r="H966" s="10"/>
      <c r="I966" s="9" t="s">
        <v>74</v>
      </c>
      <c r="J966" s="9" t="s">
        <v>7120</v>
      </c>
      <c r="K966" s="9" t="s">
        <v>7121</v>
      </c>
      <c r="L966" s="8" t="s">
        <v>7122</v>
      </c>
      <c r="M966" s="9" t="s">
        <v>49</v>
      </c>
      <c r="N966" s="9" t="s">
        <v>211</v>
      </c>
      <c r="O966" s="9">
        <f>HYPERLINK("https://www.google.com/maps/search/?api=1&amp;query=42.53360498,-5.59297534", "https://www.google.com/maps/search/?api=1&amp;query=42.53360498,-5.59297534")</f>
      </c>
      <c r="P966" s="9" t="s">
        <v>880</v>
      </c>
      <c r="Q966" s="9" t="s">
        <v>1204</v>
      </c>
    </row>
    <row r="967" spans="1:17" x14ac:dyDescent="0.25">
      <c r="A967" s="8" t="s">
        <v>7123</v>
      </c>
      <c r="B967" s="8" t="s">
        <v>7124</v>
      </c>
      <c r="C967" s="9" t="s">
        <v>7125</v>
      </c>
      <c r="D967" s="9" t="s">
        <v>577</v>
      </c>
      <c r="E967" s="9" t="s">
        <v>3160</v>
      </c>
      <c r="F967" s="10">
        <v>1.359</v>
      </c>
      <c r="G967" s="10">
        <v>1.495</v>
      </c>
      <c r="H967" s="10"/>
      <c r="I967" s="9" t="s">
        <v>74</v>
      </c>
      <c r="J967" s="9" t="s">
        <v>7126</v>
      </c>
      <c r="K967" s="9" t="s">
        <v>7127</v>
      </c>
      <c r="L967" s="8" t="s">
        <v>7128</v>
      </c>
      <c r="M967" s="9" t="s">
        <v>100</v>
      </c>
      <c r="N967" s="9" t="s">
        <v>211</v>
      </c>
      <c r="O967" s="9">
        <f>HYPERLINK("https://www.google.com/maps/search/?api=1&amp;query=40.64911697,-4.67339902", "https://www.google.com/maps/search/?api=1&amp;query=40.64911697,-4.67339902")</f>
      </c>
      <c r="P967" s="9" t="s">
        <v>7129</v>
      </c>
      <c r="Q967" s="9" t="s">
        <v>7130</v>
      </c>
    </row>
    <row r="968" spans="1:17" x14ac:dyDescent="0.25">
      <c r="A968" s="8" t="s">
        <v>7131</v>
      </c>
      <c r="B968" s="8" t="s">
        <v>7132</v>
      </c>
      <c r="C968" s="9" t="s">
        <v>7133</v>
      </c>
      <c r="D968" s="9" t="s">
        <v>400</v>
      </c>
      <c r="E968" s="9" t="s">
        <v>7134</v>
      </c>
      <c r="F968" s="10">
        <v>1.359</v>
      </c>
      <c r="G968" s="10">
        <v>1.495</v>
      </c>
      <c r="H968" s="10"/>
      <c r="I968" s="9" t="s">
        <v>400</v>
      </c>
      <c r="J968" s="9" t="s">
        <v>7135</v>
      </c>
      <c r="K968" s="9" t="s">
        <v>7136</v>
      </c>
      <c r="L968" s="8" t="s">
        <v>2711</v>
      </c>
      <c r="M968" s="9" t="s">
        <v>49</v>
      </c>
      <c r="N968" s="9" t="s">
        <v>88</v>
      </c>
      <c r="O968" s="9">
        <f>HYPERLINK("https://www.google.com/maps/search/?api=1&amp;query=39.48518902,-0.32960956", "https://www.google.com/maps/search/?api=1&amp;query=39.48518902,-0.32960956")</f>
      </c>
      <c r="P968" s="9" t="s">
        <v>7137</v>
      </c>
      <c r="Q968" s="9" t="s">
        <v>7138</v>
      </c>
    </row>
    <row r="969" spans="1:17" x14ac:dyDescent="0.25">
      <c r="A969" s="8" t="s">
        <v>7139</v>
      </c>
      <c r="B969" s="8" t="s">
        <v>7140</v>
      </c>
      <c r="C969" s="9" t="s">
        <v>7141</v>
      </c>
      <c r="D969" s="9" t="s">
        <v>83</v>
      </c>
      <c r="E969" s="9" t="s">
        <v>1674</v>
      </c>
      <c r="F969" s="10">
        <v>1.359</v>
      </c>
      <c r="G969" s="10">
        <v>1.495</v>
      </c>
      <c r="H969" s="10"/>
      <c r="I969" s="9" t="s">
        <v>83</v>
      </c>
      <c r="J969" s="9" t="s">
        <v>7142</v>
      </c>
      <c r="K969" s="9" t="s">
        <v>7143</v>
      </c>
      <c r="L969" s="8" t="s">
        <v>1677</v>
      </c>
      <c r="M969" s="9" t="s">
        <v>49</v>
      </c>
      <c r="N969" s="9" t="s">
        <v>88</v>
      </c>
      <c r="O969" s="9">
        <f>HYPERLINK("https://www.google.com/maps/search/?api=1&amp;query=40.56030692,-3.62001499", "https://www.google.com/maps/search/?api=1&amp;query=40.56030692,-3.62001499")</f>
      </c>
      <c r="P969" s="9" t="s">
        <v>413</v>
      </c>
      <c r="Q969" s="9" t="s">
        <v>286</v>
      </c>
    </row>
    <row r="970" spans="1:17" x14ac:dyDescent="0.25">
      <c r="A970" s="8" t="s">
        <v>7144</v>
      </c>
      <c r="B970" s="8" t="s">
        <v>7145</v>
      </c>
      <c r="C970" s="9" t="s">
        <v>7146</v>
      </c>
      <c r="D970" s="9" t="s">
        <v>83</v>
      </c>
      <c r="E970" s="9" t="s">
        <v>83</v>
      </c>
      <c r="F970" s="10">
        <v>1.359</v>
      </c>
      <c r="G970" s="10">
        <v>1.495</v>
      </c>
      <c r="H970" s="10"/>
      <c r="I970" s="9" t="s">
        <v>83</v>
      </c>
      <c r="J970" s="9" t="s">
        <v>7147</v>
      </c>
      <c r="K970" s="9" t="s">
        <v>7148</v>
      </c>
      <c r="L970" s="8" t="s">
        <v>7149</v>
      </c>
      <c r="M970" s="9" t="s">
        <v>49</v>
      </c>
      <c r="N970" s="9" t="s">
        <v>37</v>
      </c>
      <c r="O970" s="9">
        <f>HYPERLINK("https://www.google.com/maps/search/?api=1&amp;query=40.45148512,-3.68205829", "https://www.google.com/maps/search/?api=1&amp;query=40.45148512,-3.68205829")</f>
      </c>
      <c r="P970" s="9" t="s">
        <v>172</v>
      </c>
      <c r="Q970" s="9" t="s">
        <v>112</v>
      </c>
    </row>
    <row r="971" spans="1:17" x14ac:dyDescent="0.25">
      <c r="A971" s="8" t="s">
        <v>7150</v>
      </c>
      <c r="B971" s="8" t="s">
        <v>7151</v>
      </c>
      <c r="C971" s="9" t="s">
        <v>7152</v>
      </c>
      <c r="D971" s="9" t="s">
        <v>155</v>
      </c>
      <c r="E971" s="9" t="s">
        <v>6194</v>
      </c>
      <c r="F971" s="10">
        <v>1.359</v>
      </c>
      <c r="G971" s="10">
        <v>1.495</v>
      </c>
      <c r="H971" s="10"/>
      <c r="I971" s="9" t="s">
        <v>157</v>
      </c>
      <c r="J971" s="9" t="s">
        <v>7153</v>
      </c>
      <c r="K971" s="9" t="s">
        <v>7154</v>
      </c>
      <c r="L971" s="8" t="s">
        <v>6197</v>
      </c>
      <c r="M971" s="9" t="s">
        <v>36</v>
      </c>
      <c r="N971" s="9" t="s">
        <v>483</v>
      </c>
      <c r="O971" s="9">
        <f>HYPERLINK("https://www.google.com/maps/search/?api=1&amp;query=39.57423884,3.20066349", "https://www.google.com/maps/search/?api=1&amp;query=39.57423884,3.20066349")</f>
      </c>
      <c r="P971" s="9" t="s">
        <v>7155</v>
      </c>
      <c r="Q971" s="9" t="s">
        <v>2175</v>
      </c>
    </row>
    <row r="972" spans="1:17" x14ac:dyDescent="0.25">
      <c r="A972" s="8" t="s">
        <v>7156</v>
      </c>
      <c r="B972" s="8" t="s">
        <v>7157</v>
      </c>
      <c r="C972" s="9" t="s">
        <v>7158</v>
      </c>
      <c r="D972" s="9" t="s">
        <v>43</v>
      </c>
      <c r="E972" s="9" t="s">
        <v>7159</v>
      </c>
      <c r="F972" s="10">
        <v>1.369</v>
      </c>
      <c r="G972" s="10">
        <v>1.505</v>
      </c>
      <c r="H972" s="10"/>
      <c r="I972" s="9" t="s">
        <v>45</v>
      </c>
      <c r="J972" s="9" t="s">
        <v>7160</v>
      </c>
      <c r="K972" s="9" t="s">
        <v>7161</v>
      </c>
      <c r="L972" s="8" t="s">
        <v>7162</v>
      </c>
      <c r="M972" s="9" t="s">
        <v>100</v>
      </c>
      <c r="N972" s="9" t="s">
        <v>7163</v>
      </c>
      <c r="O972" s="9">
        <f>HYPERLINK("https://www.google.com/maps/search/?api=1&amp;query=37.197462,-6.872718", "https://www.google.com/maps/search/?api=1&amp;query=37.197462,-6.872718")</f>
      </c>
      <c r="P972" s="9" t="s">
        <v>771</v>
      </c>
      <c r="Q972" s="9" t="s">
        <v>3744</v>
      </c>
    </row>
    <row r="973" spans="1:17" x14ac:dyDescent="0.25">
      <c r="A973" s="8" t="s">
        <v>7164</v>
      </c>
      <c r="B973" s="8" t="s">
        <v>7165</v>
      </c>
      <c r="C973" s="9" t="s">
        <v>7166</v>
      </c>
      <c r="D973" s="9" t="s">
        <v>72</v>
      </c>
      <c r="E973" s="9" t="s">
        <v>7167</v>
      </c>
      <c r="F973" s="10">
        <v>1.378</v>
      </c>
      <c r="G973" s="10">
        <v>1.515</v>
      </c>
      <c r="H973" s="10"/>
      <c r="I973" s="9" t="s">
        <v>74</v>
      </c>
      <c r="J973" s="9" t="s">
        <v>7168</v>
      </c>
      <c r="K973" s="9" t="s">
        <v>7169</v>
      </c>
      <c r="L973" s="8" t="s">
        <v>3268</v>
      </c>
      <c r="M973" s="9" t="s">
        <v>36</v>
      </c>
      <c r="N973" s="9" t="s">
        <v>7170</v>
      </c>
      <c r="O973" s="9">
        <f>HYPERLINK("https://www.google.com/maps/search/?api=1&amp;query=41.94003316,-4.25664897", "https://www.google.com/maps/search/?api=1&amp;query=41.94003316,-4.25664897")</f>
      </c>
      <c r="P973" s="9" t="s">
        <v>321</v>
      </c>
      <c r="Q973" s="9" t="s">
        <v>1170</v>
      </c>
    </row>
    <row r="974" spans="1:17" x14ac:dyDescent="0.25">
      <c r="A974" s="8" t="s">
        <v>7171</v>
      </c>
      <c r="B974" s="8" t="s">
        <v>7172</v>
      </c>
      <c r="C974" s="9" t="s">
        <v>7173</v>
      </c>
      <c r="D974" s="9" t="s">
        <v>1617</v>
      </c>
      <c r="E974" s="9" t="s">
        <v>7174</v>
      </c>
      <c r="F974" s="10">
        <v>1.378</v>
      </c>
      <c r="G974" s="10">
        <v>1.515</v>
      </c>
      <c r="H974" s="10"/>
      <c r="I974" s="9" t="s">
        <v>292</v>
      </c>
      <c r="J974" s="9" t="s">
        <v>7175</v>
      </c>
      <c r="K974" s="9" t="s">
        <v>7176</v>
      </c>
      <c r="L974" s="8" t="s">
        <v>7177</v>
      </c>
      <c r="M974" s="9" t="s">
        <v>36</v>
      </c>
      <c r="N974" s="9" t="s">
        <v>66</v>
      </c>
      <c r="O974" s="9">
        <f>HYPERLINK("https://www.google.com/maps/search/?api=1&amp;query=42.56690052,-0.5542915", "https://www.google.com/maps/search/?api=1&amp;query=42.56690052,-0.5542915")</f>
      </c>
      <c r="P974" s="9" t="s">
        <v>626</v>
      </c>
      <c r="Q974" s="9" t="s">
        <v>7178</v>
      </c>
    </row>
    <row r="975" spans="1:17" x14ac:dyDescent="0.25">
      <c r="A975" s="8" t="s">
        <v>7179</v>
      </c>
      <c r="B975" s="8" t="s">
        <v>7180</v>
      </c>
      <c r="C975" s="9" t="s">
        <v>4526</v>
      </c>
      <c r="D975" s="9" t="s">
        <v>83</v>
      </c>
      <c r="E975" s="9" t="s">
        <v>3085</v>
      </c>
      <c r="F975" s="10">
        <v>1.378</v>
      </c>
      <c r="G975" s="10">
        <v>1.515</v>
      </c>
      <c r="H975" s="10"/>
      <c r="I975" s="9" t="s">
        <v>83</v>
      </c>
      <c r="J975" s="9" t="s">
        <v>7181</v>
      </c>
      <c r="K975" s="9" t="s">
        <v>7182</v>
      </c>
      <c r="L975" s="8" t="s">
        <v>3088</v>
      </c>
      <c r="M975" s="9" t="s">
        <v>36</v>
      </c>
      <c r="N975" s="9" t="s">
        <v>7183</v>
      </c>
      <c r="O975" s="9">
        <f>HYPERLINK("https://www.google.com/maps/search/?api=1&amp;query=40.21869033,-3.68469546", "https://www.google.com/maps/search/?api=1&amp;query=40.21869033,-3.68469546")</f>
      </c>
      <c r="P975" s="9" t="s">
        <v>38</v>
      </c>
      <c r="Q975" s="9" t="s">
        <v>7184</v>
      </c>
    </row>
    <row r="976" spans="1:17" x14ac:dyDescent="0.25">
      <c r="A976" s="8" t="s">
        <v>7185</v>
      </c>
      <c r="B976" s="8" t="s">
        <v>7186</v>
      </c>
      <c r="C976" s="9" t="s">
        <v>7187</v>
      </c>
      <c r="D976" s="9" t="s">
        <v>344</v>
      </c>
      <c r="E976" s="9" t="s">
        <v>7188</v>
      </c>
      <c r="F976" s="10">
        <v>1.378</v>
      </c>
      <c r="G976" s="10">
        <v>1.515</v>
      </c>
      <c r="H976" s="10"/>
      <c r="I976" s="9" t="s">
        <v>140</v>
      </c>
      <c r="J976" s="9" t="s">
        <v>7189</v>
      </c>
      <c r="K976" s="9" t="s">
        <v>7190</v>
      </c>
      <c r="L976" s="8" t="s">
        <v>7191</v>
      </c>
      <c r="M976" s="9" t="s">
        <v>36</v>
      </c>
      <c r="N976" s="9" t="s">
        <v>211</v>
      </c>
      <c r="O976" s="9">
        <f>HYPERLINK("https://www.google.com/maps/search/?api=1&amp;query=43.22577726,-8.35624134", "https://www.google.com/maps/search/?api=1&amp;query=43.22577726,-8.35624134")</f>
      </c>
      <c r="P976" s="9" t="s">
        <v>1514</v>
      </c>
      <c r="Q976" s="9" t="s">
        <v>7192</v>
      </c>
    </row>
    <row r="977" spans="1:17" x14ac:dyDescent="0.25">
      <c r="A977" s="8" t="s">
        <v>7193</v>
      </c>
      <c r="B977" s="8" t="s">
        <v>7194</v>
      </c>
      <c r="C977" s="9" t="s">
        <v>7195</v>
      </c>
      <c r="D977" s="9" t="s">
        <v>434</v>
      </c>
      <c r="E977" s="9" t="s">
        <v>7196</v>
      </c>
      <c r="F977" s="10">
        <v>1.378</v>
      </c>
      <c r="G977" s="10">
        <v>1.515</v>
      </c>
      <c r="H977" s="10"/>
      <c r="I977" s="9" t="s">
        <v>96</v>
      </c>
      <c r="J977" s="9" t="s">
        <v>7197</v>
      </c>
      <c r="K977" s="9" t="s">
        <v>7198</v>
      </c>
      <c r="L977" s="8" t="s">
        <v>7199</v>
      </c>
      <c r="M977" s="9" t="s">
        <v>36</v>
      </c>
      <c r="N977" s="9" t="s">
        <v>88</v>
      </c>
      <c r="O977" s="9">
        <f>HYPERLINK("https://www.google.com/maps/search/?api=1&amp;query=42.36544533,3.15073597", "https://www.google.com/maps/search/?api=1&amp;query=42.36544533,3.15073597")</f>
      </c>
      <c r="P977" s="9" t="s">
        <v>2135</v>
      </c>
      <c r="Q977" s="9" t="s">
        <v>7200</v>
      </c>
    </row>
    <row r="978" spans="1:17" x14ac:dyDescent="0.25">
      <c r="A978" s="8" t="s">
        <v>7201</v>
      </c>
      <c r="B978" s="8" t="s">
        <v>7202</v>
      </c>
      <c r="C978" s="9" t="s">
        <v>7203</v>
      </c>
      <c r="D978" s="9" t="s">
        <v>444</v>
      </c>
      <c r="E978" s="9" t="s">
        <v>7204</v>
      </c>
      <c r="F978" s="10">
        <v>1.378</v>
      </c>
      <c r="G978" s="10">
        <v>1.515</v>
      </c>
      <c r="H978" s="10"/>
      <c r="I978" s="9" t="s">
        <v>444</v>
      </c>
      <c r="J978" s="9" t="s">
        <v>7205</v>
      </c>
      <c r="K978" s="9" t="s">
        <v>7206</v>
      </c>
      <c r="L978" s="8" t="s">
        <v>7207</v>
      </c>
      <c r="M978" s="9" t="s">
        <v>49</v>
      </c>
      <c r="N978" s="9" t="s">
        <v>88</v>
      </c>
      <c r="O978" s="9">
        <f>HYPERLINK("https://www.google.com/maps/search/?api=1&amp;query=43.3861635,-6.0757747", "https://www.google.com/maps/search/?api=1&amp;query=43.3861635,-6.0757747")</f>
      </c>
      <c r="P978" s="9" t="s">
        <v>1803</v>
      </c>
      <c r="Q978" s="9" t="s">
        <v>3771</v>
      </c>
    </row>
    <row r="979" spans="1:17" x14ac:dyDescent="0.25">
      <c r="A979" s="8" t="s">
        <v>7208</v>
      </c>
      <c r="B979" s="8" t="s">
        <v>7209</v>
      </c>
      <c r="C979" s="9" t="s">
        <v>7210</v>
      </c>
      <c r="D979" s="9" t="s">
        <v>658</v>
      </c>
      <c r="E979" s="9" t="s">
        <v>7211</v>
      </c>
      <c r="F979" s="10">
        <v>1.378</v>
      </c>
      <c r="G979" s="10">
        <v>1.515</v>
      </c>
      <c r="H979" s="10"/>
      <c r="I979" s="9" t="s">
        <v>45</v>
      </c>
      <c r="J979" s="9" t="s">
        <v>7212</v>
      </c>
      <c r="K979" s="9" t="s">
        <v>7213</v>
      </c>
      <c r="L979" s="8" t="s">
        <v>7214</v>
      </c>
      <c r="M979" s="9" t="s">
        <v>36</v>
      </c>
      <c r="N979" s="9" t="s">
        <v>122</v>
      </c>
      <c r="O979" s="9">
        <f>HYPERLINK("https://www.google.com/maps/search/?api=1&amp;query=36.81581942,-2.16100367", "https://www.google.com/maps/search/?api=1&amp;query=36.81581942,-2.16100367")</f>
      </c>
      <c r="P979" s="9" t="s">
        <v>1686</v>
      </c>
      <c r="Q979" s="9" t="s">
        <v>2998</v>
      </c>
    </row>
    <row r="980" spans="1:17" x14ac:dyDescent="0.25">
      <c r="A980" s="8" t="s">
        <v>7215</v>
      </c>
      <c r="B980" s="8" t="s">
        <v>7216</v>
      </c>
      <c r="C980" s="9" t="s">
        <v>7217</v>
      </c>
      <c r="D980" s="9" t="s">
        <v>2288</v>
      </c>
      <c r="E980" s="9" t="s">
        <v>7218</v>
      </c>
      <c r="F980" s="10">
        <v>1.378</v>
      </c>
      <c r="G980" s="10">
        <v>1.515</v>
      </c>
      <c r="H980" s="10"/>
      <c r="I980" s="9" t="s">
        <v>168</v>
      </c>
      <c r="J980" s="9" t="s">
        <v>7219</v>
      </c>
      <c r="K980" s="9" t="s">
        <v>7220</v>
      </c>
      <c r="L980" s="8" t="s">
        <v>7221</v>
      </c>
      <c r="M980" s="9" t="s">
        <v>36</v>
      </c>
      <c r="N980" s="9" t="s">
        <v>7222</v>
      </c>
      <c r="O980" s="9">
        <f>HYPERLINK("https://www.google.com/maps/search/?api=1&amp;query=39.29369054,-2.56705853", "https://www.google.com/maps/search/?api=1&amp;query=39.29369054,-2.56705853")</f>
      </c>
      <c r="P980" s="9" t="s">
        <v>38</v>
      </c>
      <c r="Q980" s="9" t="s">
        <v>7223</v>
      </c>
    </row>
    <row r="981" spans="1:17" x14ac:dyDescent="0.25">
      <c r="A981" s="8" t="s">
        <v>7224</v>
      </c>
      <c r="B981" s="8" t="s">
        <v>7225</v>
      </c>
      <c r="C981" s="9" t="s">
        <v>7226</v>
      </c>
      <c r="D981" s="9" t="s">
        <v>187</v>
      </c>
      <c r="E981" s="9" t="s">
        <v>188</v>
      </c>
      <c r="F981" s="10">
        <v>1.378</v>
      </c>
      <c r="G981" s="10">
        <v>1.515</v>
      </c>
      <c r="H981" s="10"/>
      <c r="I981" s="9" t="s">
        <v>74</v>
      </c>
      <c r="J981" s="9" t="s">
        <v>7227</v>
      </c>
      <c r="K981" s="9" t="s">
        <v>7228</v>
      </c>
      <c r="L981" s="8" t="s">
        <v>191</v>
      </c>
      <c r="M981" s="9" t="s">
        <v>49</v>
      </c>
      <c r="N981" s="9" t="s">
        <v>211</v>
      </c>
      <c r="O981" s="9">
        <f>HYPERLINK("https://www.google.com/maps/search/?api=1&amp;query=42.5493931,-6.60671791", "https://www.google.com/maps/search/?api=1&amp;query=42.5493931,-6.60671791")</f>
      </c>
      <c r="P981" s="9" t="s">
        <v>5555</v>
      </c>
      <c r="Q981" s="9" t="s">
        <v>503</v>
      </c>
    </row>
    <row r="982" spans="1:17" x14ac:dyDescent="0.25">
      <c r="A982" s="8" t="s">
        <v>7229</v>
      </c>
      <c r="B982" s="8" t="s">
        <v>7230</v>
      </c>
      <c r="C982" s="9" t="s">
        <v>7231</v>
      </c>
      <c r="D982" s="9" t="s">
        <v>2288</v>
      </c>
      <c r="E982" s="9" t="s">
        <v>7232</v>
      </c>
      <c r="F982" s="10">
        <v>1.378</v>
      </c>
      <c r="G982" s="10">
        <v>1.515</v>
      </c>
      <c r="H982" s="10"/>
      <c r="I982" s="9" t="s">
        <v>168</v>
      </c>
      <c r="J982" s="9" t="s">
        <v>7233</v>
      </c>
      <c r="K982" s="9" t="s">
        <v>7234</v>
      </c>
      <c r="L982" s="8" t="s">
        <v>7235</v>
      </c>
      <c r="M982" s="9" t="s">
        <v>36</v>
      </c>
      <c r="N982" s="9" t="s">
        <v>66</v>
      </c>
      <c r="O982" s="9">
        <f>HYPERLINK("https://www.google.com/maps/search/?api=1&amp;query=38.52437781,-1.70306974", "https://www.google.com/maps/search/?api=1&amp;query=38.52437781,-1.70306974")</f>
      </c>
      <c r="P982" s="9" t="s">
        <v>1645</v>
      </c>
      <c r="Q982" s="9" t="s">
        <v>7236</v>
      </c>
    </row>
    <row r="983" spans="1:17" x14ac:dyDescent="0.25">
      <c r="A983" s="8" t="s">
        <v>7237</v>
      </c>
      <c r="B983" s="8" t="s">
        <v>7238</v>
      </c>
      <c r="C983" s="9" t="s">
        <v>7239</v>
      </c>
      <c r="D983" s="9" t="s">
        <v>138</v>
      </c>
      <c r="E983" s="9" t="s">
        <v>7240</v>
      </c>
      <c r="F983" s="10">
        <v>1.378</v>
      </c>
      <c r="G983" s="10">
        <v>1.515</v>
      </c>
      <c r="H983" s="10"/>
      <c r="I983" s="9" t="s">
        <v>140</v>
      </c>
      <c r="J983" s="9" t="s">
        <v>7241</v>
      </c>
      <c r="K983" s="9" t="s">
        <v>7242</v>
      </c>
      <c r="L983" s="8" t="s">
        <v>7243</v>
      </c>
      <c r="M983" s="9" t="s">
        <v>49</v>
      </c>
      <c r="N983" s="9" t="s">
        <v>7244</v>
      </c>
      <c r="O983" s="9">
        <f>HYPERLINK("https://www.google.com/maps/search/?api=1&amp;query=42.55755517,-8.8118802", "https://www.google.com/maps/search/?api=1&amp;query=42.55755517,-8.8118802")</f>
      </c>
      <c r="P983" s="9" t="s">
        <v>5555</v>
      </c>
      <c r="Q983" s="9" t="s">
        <v>4729</v>
      </c>
    </row>
    <row r="984" spans="1:17" x14ac:dyDescent="0.25">
      <c r="A984" s="8" t="s">
        <v>7245</v>
      </c>
      <c r="B984" s="8" t="s">
        <v>7246</v>
      </c>
      <c r="C984" s="9" t="s">
        <v>7247</v>
      </c>
      <c r="D984" s="9" t="s">
        <v>177</v>
      </c>
      <c r="E984" s="9" t="s">
        <v>7248</v>
      </c>
      <c r="F984" s="10">
        <v>1.378</v>
      </c>
      <c r="G984" s="10">
        <v>1.515</v>
      </c>
      <c r="H984" s="10"/>
      <c r="I984" s="9" t="s">
        <v>74</v>
      </c>
      <c r="J984" s="9" t="s">
        <v>7249</v>
      </c>
      <c r="K984" s="9" t="s">
        <v>7250</v>
      </c>
      <c r="L984" s="8" t="s">
        <v>7251</v>
      </c>
      <c r="M984" s="9" t="s">
        <v>100</v>
      </c>
      <c r="N984" s="9" t="s">
        <v>211</v>
      </c>
      <c r="O984" s="9">
        <f>HYPERLINK("https://www.google.com/maps/search/?api=1&amp;query=41.45263625,-4.66684622", "https://www.google.com/maps/search/?api=1&amp;query=41.45263625,-4.66684622")</f>
      </c>
      <c r="P984" s="9" t="s">
        <v>1471</v>
      </c>
      <c r="Q984" s="9" t="s">
        <v>7252</v>
      </c>
    </row>
    <row r="985" spans="1:17" x14ac:dyDescent="0.25">
      <c r="A985" s="8" t="s">
        <v>7253</v>
      </c>
      <c r="B985" s="8" t="s">
        <v>7254</v>
      </c>
      <c r="C985" s="9" t="s">
        <v>7255</v>
      </c>
      <c r="D985" s="9" t="s">
        <v>1192</v>
      </c>
      <c r="E985" s="9" t="s">
        <v>1785</v>
      </c>
      <c r="F985" s="10">
        <v>1.378</v>
      </c>
      <c r="G985" s="10">
        <v>1.515</v>
      </c>
      <c r="H985" s="10"/>
      <c r="I985" s="9" t="s">
        <v>168</v>
      </c>
      <c r="J985" s="9" t="s">
        <v>7256</v>
      </c>
      <c r="K985" s="9" t="s">
        <v>7257</v>
      </c>
      <c r="L985" s="8" t="s">
        <v>1788</v>
      </c>
      <c r="M985" s="9" t="s">
        <v>49</v>
      </c>
      <c r="N985" s="9" t="s">
        <v>7258</v>
      </c>
      <c r="O985" s="9">
        <f>HYPERLINK("https://www.google.com/maps/search/?api=1&amp;query=39.38848958,-3.21768566", "https://www.google.com/maps/search/?api=1&amp;query=39.38848958,-3.21768566")</f>
      </c>
      <c r="P985" s="9" t="s">
        <v>1439</v>
      </c>
      <c r="Q985" s="9" t="s">
        <v>1131</v>
      </c>
    </row>
    <row r="986" spans="1:17" x14ac:dyDescent="0.25">
      <c r="A986" s="8" t="s">
        <v>7259</v>
      </c>
      <c r="B986" s="8" t="s">
        <v>7260</v>
      </c>
      <c r="C986" s="9" t="s">
        <v>7261</v>
      </c>
      <c r="D986" s="9" t="s">
        <v>398</v>
      </c>
      <c r="E986" s="9" t="s">
        <v>7262</v>
      </c>
      <c r="F986" s="10">
        <v>1.378</v>
      </c>
      <c r="G986" s="10">
        <v>1.515</v>
      </c>
      <c r="H986" s="10"/>
      <c r="I986" s="9" t="s">
        <v>400</v>
      </c>
      <c r="J986" s="9" t="s">
        <v>7263</v>
      </c>
      <c r="K986" s="9" t="s">
        <v>7264</v>
      </c>
      <c r="L986" s="8" t="s">
        <v>7265</v>
      </c>
      <c r="M986" s="9" t="s">
        <v>49</v>
      </c>
      <c r="N986" s="9" t="s">
        <v>88</v>
      </c>
      <c r="O986" s="9">
        <f>HYPERLINK("https://www.google.com/maps/search/?api=1&amp;query=38.71891975,-0.45653595", "https://www.google.com/maps/search/?api=1&amp;query=38.71891975,-0.45653595")</f>
      </c>
      <c r="P986" s="9" t="s">
        <v>321</v>
      </c>
      <c r="Q986" s="9" t="s">
        <v>5091</v>
      </c>
    </row>
    <row r="987" spans="1:17" x14ac:dyDescent="0.25">
      <c r="A987" s="8" t="s">
        <v>7266</v>
      </c>
      <c r="B987" s="8" t="s">
        <v>7267</v>
      </c>
      <c r="C987" s="9" t="s">
        <v>7268</v>
      </c>
      <c r="D987" s="9" t="s">
        <v>516</v>
      </c>
      <c r="E987" s="9" t="s">
        <v>7269</v>
      </c>
      <c r="F987" s="10">
        <v>1.378</v>
      </c>
      <c r="G987" s="10">
        <v>1.515</v>
      </c>
      <c r="H987" s="10"/>
      <c r="I987" s="9" t="s">
        <v>140</v>
      </c>
      <c r="J987" s="9" t="s">
        <v>7270</v>
      </c>
      <c r="K987" s="9" t="s">
        <v>7271</v>
      </c>
      <c r="L987" s="8" t="s">
        <v>7272</v>
      </c>
      <c r="M987" s="9" t="s">
        <v>36</v>
      </c>
      <c r="N987" s="9" t="s">
        <v>211</v>
      </c>
      <c r="O987" s="9">
        <f>HYPERLINK("https://www.google.com/maps/search/?api=1&amp;query=42.96705952,-7.49870459", "https://www.google.com/maps/search/?api=1&amp;query=42.96705952,-7.49870459")</f>
      </c>
      <c r="P987" s="9" t="s">
        <v>3530</v>
      </c>
      <c r="Q987" s="9" t="s">
        <v>4771</v>
      </c>
    </row>
    <row r="988" spans="1:17" x14ac:dyDescent="0.25">
      <c r="A988" s="8" t="s">
        <v>7273</v>
      </c>
      <c r="B988" s="8" t="s">
        <v>7274</v>
      </c>
      <c r="C988" s="9" t="s">
        <v>7275</v>
      </c>
      <c r="D988" s="9" t="s">
        <v>1483</v>
      </c>
      <c r="E988" s="9" t="s">
        <v>7276</v>
      </c>
      <c r="F988" s="10">
        <v>1.378</v>
      </c>
      <c r="G988" s="10">
        <v>1.515</v>
      </c>
      <c r="H988" s="10"/>
      <c r="I988" s="9" t="s">
        <v>74</v>
      </c>
      <c r="J988" s="9" t="s">
        <v>7277</v>
      </c>
      <c r="K988" s="9" t="s">
        <v>7278</v>
      </c>
      <c r="L988" s="8" t="s">
        <v>7279</v>
      </c>
      <c r="M988" s="9" t="s">
        <v>100</v>
      </c>
      <c r="N988" s="9" t="s">
        <v>645</v>
      </c>
      <c r="O988" s="9">
        <f>HYPERLINK("https://www.google.com/maps/search/?api=1&amp;query=42.68884127,-2.9527911", "https://www.google.com/maps/search/?api=1&amp;query=42.68884127,-2.9527911")</f>
      </c>
      <c r="P988" s="9" t="s">
        <v>7280</v>
      </c>
      <c r="Q988" s="9" t="s">
        <v>4404</v>
      </c>
    </row>
    <row r="989" spans="1:17" x14ac:dyDescent="0.25">
      <c r="A989" s="8" t="s">
        <v>7281</v>
      </c>
      <c r="B989" s="8" t="s">
        <v>7282</v>
      </c>
      <c r="C989" s="9" t="s">
        <v>7283</v>
      </c>
      <c r="D989" s="9" t="s">
        <v>808</v>
      </c>
      <c r="E989" s="9" t="s">
        <v>7284</v>
      </c>
      <c r="F989" s="10">
        <v>1.378</v>
      </c>
      <c r="G989" s="10">
        <v>1.515</v>
      </c>
      <c r="H989" s="10"/>
      <c r="I989" s="9" t="s">
        <v>808</v>
      </c>
      <c r="J989" s="9" t="s">
        <v>7285</v>
      </c>
      <c r="K989" s="9" t="s">
        <v>7286</v>
      </c>
      <c r="L989" s="8" t="s">
        <v>7287</v>
      </c>
      <c r="M989" s="9" t="s">
        <v>49</v>
      </c>
      <c r="N989" s="9" t="s">
        <v>7288</v>
      </c>
      <c r="O989" s="9">
        <f>HYPERLINK("https://www.google.com/maps/search/?api=1&amp;query=43.42582949,-3.76920153", "https://www.google.com/maps/search/?api=1&amp;query=43.42582949,-3.76920153")</f>
      </c>
      <c r="P989" s="9" t="s">
        <v>1203</v>
      </c>
      <c r="Q989" s="9" t="s">
        <v>2554</v>
      </c>
    </row>
    <row r="990" spans="1:17" x14ac:dyDescent="0.25">
      <c r="A990" s="8" t="s">
        <v>7289</v>
      </c>
      <c r="B990" s="8" t="s">
        <v>7290</v>
      </c>
      <c r="C990" s="9" t="s">
        <v>7291</v>
      </c>
      <c r="D990" s="9" t="s">
        <v>1282</v>
      </c>
      <c r="E990" s="9" t="s">
        <v>7292</v>
      </c>
      <c r="F990" s="10">
        <v>1.378</v>
      </c>
      <c r="G990" s="10">
        <v>1.515</v>
      </c>
      <c r="H990" s="10"/>
      <c r="I990" s="9" t="s">
        <v>45</v>
      </c>
      <c r="J990" s="9" t="s">
        <v>7293</v>
      </c>
      <c r="K990" s="9" t="s">
        <v>7294</v>
      </c>
      <c r="L990" s="8" t="s">
        <v>7295</v>
      </c>
      <c r="M990" s="9" t="s">
        <v>36</v>
      </c>
      <c r="N990" s="9" t="s">
        <v>122</v>
      </c>
      <c r="O990" s="9">
        <f>HYPERLINK("https://www.google.com/maps/search/?api=1&amp;query=37.17500084,-3.67176515", "https://www.google.com/maps/search/?api=1&amp;query=37.17500084,-3.67176515")</f>
      </c>
      <c r="P990" s="9" t="s">
        <v>521</v>
      </c>
      <c r="Q990" s="9" t="s">
        <v>1131</v>
      </c>
    </row>
    <row r="991" spans="1:17" x14ac:dyDescent="0.25">
      <c r="A991" s="8" t="s">
        <v>7296</v>
      </c>
      <c r="B991" s="8" t="s">
        <v>7297</v>
      </c>
      <c r="C991" s="9" t="s">
        <v>7298</v>
      </c>
      <c r="D991" s="9" t="s">
        <v>106</v>
      </c>
      <c r="E991" s="9" t="s">
        <v>7299</v>
      </c>
      <c r="F991" s="10">
        <v>1.378</v>
      </c>
      <c r="G991" s="10">
        <v>1.515</v>
      </c>
      <c r="H991" s="10"/>
      <c r="I991" s="9" t="s">
        <v>106</v>
      </c>
      <c r="J991" s="9" t="s">
        <v>7300</v>
      </c>
      <c r="K991" s="9" t="s">
        <v>7301</v>
      </c>
      <c r="L991" s="8" t="s">
        <v>7302</v>
      </c>
      <c r="M991" s="9" t="s">
        <v>49</v>
      </c>
      <c r="N991" s="9" t="s">
        <v>37</v>
      </c>
      <c r="O991" s="9">
        <f>HYPERLINK("https://www.google.com/maps/search/?api=1&amp;query=37.9332944,-1.16422269", "https://www.google.com/maps/search/?api=1&amp;query=37.9332944,-1.16422269")</f>
      </c>
      <c r="P991" s="9" t="s">
        <v>3165</v>
      </c>
      <c r="Q991" s="9" t="s">
        <v>7303</v>
      </c>
    </row>
    <row r="992" spans="1:17" x14ac:dyDescent="0.25">
      <c r="A992" s="8" t="s">
        <v>7304</v>
      </c>
      <c r="B992" s="8" t="s">
        <v>7305</v>
      </c>
      <c r="C992" s="9" t="s">
        <v>7306</v>
      </c>
      <c r="D992" s="9" t="s">
        <v>631</v>
      </c>
      <c r="E992" s="9" t="s">
        <v>7307</v>
      </c>
      <c r="F992" s="10">
        <v>1.378</v>
      </c>
      <c r="G992" s="10">
        <v>1.515</v>
      </c>
      <c r="H992" s="10"/>
      <c r="I992" s="9" t="s">
        <v>45</v>
      </c>
      <c r="J992" s="9" t="s">
        <v>7308</v>
      </c>
      <c r="K992" s="9" t="s">
        <v>7309</v>
      </c>
      <c r="L992" s="8" t="s">
        <v>7310</v>
      </c>
      <c r="M992" s="9" t="s">
        <v>49</v>
      </c>
      <c r="N992" s="9" t="s">
        <v>5201</v>
      </c>
      <c r="O992" s="9">
        <f>HYPERLINK("https://www.google.com/maps/search/?api=1&amp;query=37.52195502,-4.93581631", "https://www.google.com/maps/search/?api=1&amp;query=37.52195502,-4.93581631")</f>
      </c>
      <c r="P992" s="9" t="s">
        <v>7311</v>
      </c>
      <c r="Q992" s="9" t="s">
        <v>2998</v>
      </c>
    </row>
    <row r="993" spans="1:17" x14ac:dyDescent="0.25">
      <c r="A993" s="8" t="s">
        <v>7312</v>
      </c>
      <c r="B993" s="8" t="s">
        <v>7313</v>
      </c>
      <c r="C993" s="9" t="s">
        <v>7314</v>
      </c>
      <c r="D993" s="9" t="s">
        <v>1192</v>
      </c>
      <c r="E993" s="9" t="s">
        <v>7315</v>
      </c>
      <c r="F993" s="10">
        <v>1.378</v>
      </c>
      <c r="G993" s="10">
        <v>1.515</v>
      </c>
      <c r="H993" s="10"/>
      <c r="I993" s="9" t="s">
        <v>168</v>
      </c>
      <c r="J993" s="9" t="s">
        <v>7316</v>
      </c>
      <c r="K993" s="9" t="s">
        <v>7317</v>
      </c>
      <c r="L993" s="8" t="s">
        <v>7318</v>
      </c>
      <c r="M993" s="9" t="s">
        <v>49</v>
      </c>
      <c r="N993" s="9" t="s">
        <v>2601</v>
      </c>
      <c r="O993" s="9">
        <f>HYPERLINK("https://www.google.com/maps/search/?api=1&amp;query=39.16371277,-3.01616472", "https://www.google.com/maps/search/?api=1&amp;query=39.16371277,-3.01616472")</f>
      </c>
      <c r="P993" s="9" t="s">
        <v>3400</v>
      </c>
      <c r="Q993" s="9" t="s">
        <v>7319</v>
      </c>
    </row>
    <row r="994" spans="1:17" x14ac:dyDescent="0.25">
      <c r="A994" s="8" t="s">
        <v>7320</v>
      </c>
      <c r="B994" s="8" t="s">
        <v>7321</v>
      </c>
      <c r="C994" s="9" t="s">
        <v>7322</v>
      </c>
      <c r="D994" s="9" t="s">
        <v>1617</v>
      </c>
      <c r="E994" s="9" t="s">
        <v>7323</v>
      </c>
      <c r="F994" s="10">
        <v>1.378</v>
      </c>
      <c r="G994" s="10">
        <v>1.515</v>
      </c>
      <c r="H994" s="10"/>
      <c r="I994" s="9" t="s">
        <v>292</v>
      </c>
      <c r="J994" s="9" t="s">
        <v>7324</v>
      </c>
      <c r="K994" s="9" t="s">
        <v>7325</v>
      </c>
      <c r="L994" s="8" t="s">
        <v>7326</v>
      </c>
      <c r="M994" s="9" t="s">
        <v>36</v>
      </c>
      <c r="N994" s="9" t="s">
        <v>37</v>
      </c>
      <c r="O994" s="9">
        <f>HYPERLINK("https://www.google.com/maps/search/?api=1&amp;query=41.84292261,0.29831988", "https://www.google.com/maps/search/?api=1&amp;query=41.84292261,0.29831988")</f>
      </c>
      <c r="P994" s="9" t="s">
        <v>7327</v>
      </c>
      <c r="Q994" s="9" t="s">
        <v>7328</v>
      </c>
    </row>
    <row r="995" spans="1:17" x14ac:dyDescent="0.25">
      <c r="A995" s="8" t="s">
        <v>7329</v>
      </c>
      <c r="B995" s="8" t="s">
        <v>7330</v>
      </c>
      <c r="C995" s="9" t="s">
        <v>7331</v>
      </c>
      <c r="D995" s="9" t="s">
        <v>1192</v>
      </c>
      <c r="E995" s="9" t="s">
        <v>2139</v>
      </c>
      <c r="F995" s="10">
        <v>1.378</v>
      </c>
      <c r="G995" s="10">
        <v>1.515</v>
      </c>
      <c r="H995" s="10"/>
      <c r="I995" s="9" t="s">
        <v>168</v>
      </c>
      <c r="J995" s="9" t="s">
        <v>7332</v>
      </c>
      <c r="K995" s="9" t="s">
        <v>7333</v>
      </c>
      <c r="L995" s="8" t="s">
        <v>2142</v>
      </c>
      <c r="M995" s="9" t="s">
        <v>100</v>
      </c>
      <c r="N995" s="9" t="s">
        <v>7334</v>
      </c>
      <c r="O995" s="9">
        <f>HYPERLINK("https://www.google.com/maps/search/?api=1&amp;query=38.67988203,-4.07064794", "https://www.google.com/maps/search/?api=1&amp;query=38.67988203,-4.07064794")</f>
      </c>
      <c r="P995" s="9" t="s">
        <v>7335</v>
      </c>
      <c r="Q995" s="9" t="s">
        <v>7336</v>
      </c>
    </row>
    <row r="996" spans="1:17" x14ac:dyDescent="0.25">
      <c r="A996" s="8" t="s">
        <v>7337</v>
      </c>
      <c r="B996" s="8" t="s">
        <v>7338</v>
      </c>
      <c r="C996" s="9" t="s">
        <v>7339</v>
      </c>
      <c r="D996" s="9" t="s">
        <v>379</v>
      </c>
      <c r="E996" s="9" t="s">
        <v>7340</v>
      </c>
      <c r="F996" s="10">
        <v>1.378</v>
      </c>
      <c r="G996" s="10">
        <v>1.515</v>
      </c>
      <c r="H996" s="10"/>
      <c r="I996" s="9" t="s">
        <v>379</v>
      </c>
      <c r="J996" s="9" t="s">
        <v>7341</v>
      </c>
      <c r="K996" s="9" t="s">
        <v>7342</v>
      </c>
      <c r="L996" s="8" t="s">
        <v>7343</v>
      </c>
      <c r="M996" s="9" t="s">
        <v>100</v>
      </c>
      <c r="N996" s="9" t="s">
        <v>7344</v>
      </c>
      <c r="O996" s="9">
        <f>HYPERLINK("https://www.google.com/maps/search/?api=1&amp;query=42.77595829,-1.63538307", "https://www.google.com/maps/search/?api=1&amp;query=42.77595829,-1.63538307")</f>
      </c>
      <c r="P996" s="9" t="s">
        <v>7345</v>
      </c>
      <c r="Q996" s="9" t="s">
        <v>7346</v>
      </c>
    </row>
    <row r="997" spans="1:17" x14ac:dyDescent="0.25">
      <c r="A997" s="8" t="s">
        <v>7347</v>
      </c>
      <c r="B997" s="8" t="s">
        <v>7348</v>
      </c>
      <c r="C997" s="9" t="s">
        <v>7349</v>
      </c>
      <c r="D997" s="9" t="s">
        <v>197</v>
      </c>
      <c r="E997" s="9" t="s">
        <v>7350</v>
      </c>
      <c r="F997" s="10">
        <v>1.378</v>
      </c>
      <c r="G997" s="10">
        <v>1.515</v>
      </c>
      <c r="H997" s="10"/>
      <c r="I997" s="9" t="s">
        <v>168</v>
      </c>
      <c r="J997" s="9" t="s">
        <v>7351</v>
      </c>
      <c r="K997" s="9" t="s">
        <v>7352</v>
      </c>
      <c r="L997" s="8" t="s">
        <v>7353</v>
      </c>
      <c r="M997" s="9" t="s">
        <v>49</v>
      </c>
      <c r="N997" s="9" t="s">
        <v>122</v>
      </c>
      <c r="O997" s="9">
        <f>HYPERLINK("https://www.google.com/maps/search/?api=1&amp;query=40.01638,-4.561753", "https://www.google.com/maps/search/?api=1&amp;query=40.01638,-4.561753")</f>
      </c>
      <c r="P997" s="9" t="s">
        <v>5926</v>
      </c>
      <c r="Q997" s="9" t="s">
        <v>7038</v>
      </c>
    </row>
    <row r="998" spans="1:17" x14ac:dyDescent="0.25">
      <c r="A998" s="8" t="s">
        <v>7354</v>
      </c>
      <c r="B998" s="8" t="s">
        <v>7355</v>
      </c>
      <c r="C998" s="9" t="s">
        <v>7356</v>
      </c>
      <c r="D998" s="9" t="s">
        <v>424</v>
      </c>
      <c r="E998" s="9" t="s">
        <v>7357</v>
      </c>
      <c r="F998" s="10">
        <v>1.378</v>
      </c>
      <c r="G998" s="10">
        <v>1.515</v>
      </c>
      <c r="H998" s="10"/>
      <c r="I998" s="9" t="s">
        <v>96</v>
      </c>
      <c r="J998" s="9" t="s">
        <v>7358</v>
      </c>
      <c r="K998" s="9" t="s">
        <v>7359</v>
      </c>
      <c r="L998" s="8" t="s">
        <v>7360</v>
      </c>
      <c r="M998" s="9" t="s">
        <v>49</v>
      </c>
      <c r="N998" s="9" t="s">
        <v>211</v>
      </c>
      <c r="O998" s="9">
        <f>HYPERLINK("https://www.google.com/maps/search/?api=1&amp;query=41.78926633,1.28755533", "https://www.google.com/maps/search/?api=1&amp;query=41.78926633,1.28755533")</f>
      </c>
      <c r="P998" s="9" t="s">
        <v>266</v>
      </c>
      <c r="Q998" s="9" t="s">
        <v>6036</v>
      </c>
    </row>
    <row r="999" spans="1:17" x14ac:dyDescent="0.25">
      <c r="A999" s="8" t="s">
        <v>7361</v>
      </c>
      <c r="B999" s="8" t="s">
        <v>7362</v>
      </c>
      <c r="C999" s="9" t="s">
        <v>7363</v>
      </c>
      <c r="D999" s="9" t="s">
        <v>1434</v>
      </c>
      <c r="E999" s="9" t="s">
        <v>7364</v>
      </c>
      <c r="F999" s="10">
        <v>1.378</v>
      </c>
      <c r="G999" s="10">
        <v>1.515</v>
      </c>
      <c r="H999" s="10"/>
      <c r="I999" s="9" t="s">
        <v>1434</v>
      </c>
      <c r="J999" s="9" t="s">
        <v>7365</v>
      </c>
      <c r="K999" s="9" t="s">
        <v>7366</v>
      </c>
      <c r="L999" s="8" t="s">
        <v>4858</v>
      </c>
      <c r="M999" s="9" t="s">
        <v>49</v>
      </c>
      <c r="N999" s="9" t="s">
        <v>7367</v>
      </c>
      <c r="O999" s="9">
        <f>HYPERLINK("https://www.google.com/maps/search/?api=1&amp;query=42.30263052,-1.97474393", "https://www.google.com/maps/search/?api=1&amp;query=42.30263052,-1.97474393")</f>
      </c>
      <c r="P999" s="9" t="s">
        <v>7037</v>
      </c>
      <c r="Q999" s="9" t="s">
        <v>5645</v>
      </c>
    </row>
    <row r="1000" spans="1:17" x14ac:dyDescent="0.25">
      <c r="A1000" s="8" t="s">
        <v>7368</v>
      </c>
      <c r="B1000" s="8" t="s">
        <v>7369</v>
      </c>
      <c r="C1000" s="9" t="s">
        <v>7370</v>
      </c>
      <c r="D1000" s="9" t="s">
        <v>253</v>
      </c>
      <c r="E1000" s="9" t="s">
        <v>7371</v>
      </c>
      <c r="F1000" s="10">
        <v>1.378</v>
      </c>
      <c r="G1000" s="10">
        <v>1.515</v>
      </c>
      <c r="H1000" s="10"/>
      <c r="I1000" s="9" t="s">
        <v>96</v>
      </c>
      <c r="J1000" s="9" t="s">
        <v>7372</v>
      </c>
      <c r="K1000" s="9" t="s">
        <v>7373</v>
      </c>
      <c r="L1000" s="8" t="s">
        <v>7374</v>
      </c>
      <c r="M1000" s="9" t="s">
        <v>49</v>
      </c>
      <c r="N1000" s="9" t="s">
        <v>7375</v>
      </c>
      <c r="O1000" s="9">
        <f>HYPERLINK("https://www.google.com/maps/search/?api=1&amp;query=40.54781332,0.47804784", "https://www.google.com/maps/search/?api=1&amp;query=40.54781332,0.47804784")</f>
      </c>
      <c r="P1000" s="9" t="s">
        <v>493</v>
      </c>
      <c r="Q1000" s="9" t="s">
        <v>112</v>
      </c>
    </row>
    <row r="1001" spans="1:17" x14ac:dyDescent="0.25">
      <c r="A1001" s="8" t="s">
        <v>7376</v>
      </c>
      <c r="B1001" s="8" t="s">
        <v>7377</v>
      </c>
      <c r="C1001" s="9" t="s">
        <v>7378</v>
      </c>
      <c r="D1001" s="9" t="s">
        <v>116</v>
      </c>
      <c r="E1001" s="9" t="s">
        <v>7379</v>
      </c>
      <c r="F1001" s="10">
        <v>1.378</v>
      </c>
      <c r="G1001" s="10">
        <v>1.515</v>
      </c>
      <c r="H1001" s="10"/>
      <c r="I1001" s="9" t="s">
        <v>118</v>
      </c>
      <c r="J1001" s="9" t="s">
        <v>7380</v>
      </c>
      <c r="K1001" s="9" t="s">
        <v>7381</v>
      </c>
      <c r="L1001" s="8" t="s">
        <v>7382</v>
      </c>
      <c r="M1001" s="9" t="s">
        <v>100</v>
      </c>
      <c r="N1001" s="9" t="s">
        <v>88</v>
      </c>
      <c r="O1001" s="9">
        <f>HYPERLINK("https://www.google.com/maps/search/?api=1&amp;query=43.20451526,-3.04753629", "https://www.google.com/maps/search/?api=1&amp;query=43.20451526,-3.04753629")</f>
      </c>
      <c r="P1001" s="9" t="s">
        <v>2158</v>
      </c>
      <c r="Q1001" s="9" t="s">
        <v>5645</v>
      </c>
    </row>
    <row r="1002" spans="1:17" x14ac:dyDescent="0.25">
      <c r="A1002" s="8" t="s">
        <v>7383</v>
      </c>
      <c r="B1002" s="8" t="s">
        <v>7384</v>
      </c>
      <c r="C1002" s="9" t="s">
        <v>7385</v>
      </c>
      <c r="D1002" s="9" t="s">
        <v>187</v>
      </c>
      <c r="E1002" s="9" t="s">
        <v>2273</v>
      </c>
      <c r="F1002" s="10">
        <v>1.378</v>
      </c>
      <c r="G1002" s="10">
        <v>1.515</v>
      </c>
      <c r="H1002" s="10"/>
      <c r="I1002" s="9" t="s">
        <v>74</v>
      </c>
      <c r="J1002" s="9" t="s">
        <v>7386</v>
      </c>
      <c r="K1002" s="9" t="s">
        <v>7387</v>
      </c>
      <c r="L1002" s="8" t="s">
        <v>7388</v>
      </c>
      <c r="M1002" s="9" t="s">
        <v>100</v>
      </c>
      <c r="N1002" s="9" t="s">
        <v>7389</v>
      </c>
      <c r="O1002" s="9">
        <f>HYPERLINK("https://www.google.com/maps/search/?api=1&amp;query=42.59083023,-5.57739808", "https://www.google.com/maps/search/?api=1&amp;query=42.59083023,-5.57739808")</f>
      </c>
      <c r="P1002" s="9" t="s">
        <v>1250</v>
      </c>
      <c r="Q1002" s="9" t="s">
        <v>1131</v>
      </c>
    </row>
    <row r="1003" spans="1:17" x14ac:dyDescent="0.25">
      <c r="A1003" s="8" t="s">
        <v>7390</v>
      </c>
      <c r="B1003" s="8" t="s">
        <v>7391</v>
      </c>
      <c r="C1003" s="9" t="s">
        <v>7392</v>
      </c>
      <c r="D1003" s="9" t="s">
        <v>1192</v>
      </c>
      <c r="E1003" s="9" t="s">
        <v>2354</v>
      </c>
      <c r="F1003" s="10">
        <v>1.378</v>
      </c>
      <c r="G1003" s="10">
        <v>1.515</v>
      </c>
      <c r="H1003" s="10"/>
      <c r="I1003" s="9" t="s">
        <v>168</v>
      </c>
      <c r="J1003" s="9" t="s">
        <v>7393</v>
      </c>
      <c r="K1003" s="9" t="s">
        <v>7394</v>
      </c>
      <c r="L1003" s="8" t="s">
        <v>2357</v>
      </c>
      <c r="M1003" s="9" t="s">
        <v>36</v>
      </c>
      <c r="N1003" s="9" t="s">
        <v>645</v>
      </c>
      <c r="O1003" s="9">
        <f>HYPERLINK("https://www.google.com/maps/search/?api=1&amp;query=39.05858961,-3.37299789", "https://www.google.com/maps/search/?api=1&amp;query=39.05858961,-3.37299789")</f>
      </c>
      <c r="P1003" s="9" t="s">
        <v>4029</v>
      </c>
      <c r="Q1003" s="9" t="s">
        <v>1131</v>
      </c>
    </row>
    <row r="1004" spans="1:17" x14ac:dyDescent="0.25">
      <c r="A1004" s="8" t="s">
        <v>7395</v>
      </c>
      <c r="B1004" s="8" t="s">
        <v>7396</v>
      </c>
      <c r="C1004" s="9" t="s">
        <v>7397</v>
      </c>
      <c r="D1004" s="9" t="s">
        <v>1282</v>
      </c>
      <c r="E1004" s="9" t="s">
        <v>7398</v>
      </c>
      <c r="F1004" s="10">
        <v>1.378</v>
      </c>
      <c r="G1004" s="10">
        <v>1.515</v>
      </c>
      <c r="H1004" s="10"/>
      <c r="I1004" s="9" t="s">
        <v>45</v>
      </c>
      <c r="J1004" s="9" t="s">
        <v>7399</v>
      </c>
      <c r="K1004" s="9" t="s">
        <v>7400</v>
      </c>
      <c r="L1004" s="8" t="s">
        <v>7401</v>
      </c>
      <c r="M1004" s="9" t="s">
        <v>49</v>
      </c>
      <c r="N1004" s="9" t="s">
        <v>7402</v>
      </c>
      <c r="O1004" s="9">
        <f>HYPERLINK("https://www.google.com/maps/search/?api=1&amp;query=37.40080339,-3.5547237", "https://www.google.com/maps/search/?api=1&amp;query=37.40080339,-3.5547237")</f>
      </c>
      <c r="P1004" s="9" t="s">
        <v>7403</v>
      </c>
      <c r="Q1004" s="9" t="s">
        <v>1982</v>
      </c>
    </row>
    <row r="1005" spans="1:17" x14ac:dyDescent="0.25">
      <c r="A1005" s="8" t="s">
        <v>7404</v>
      </c>
      <c r="B1005" s="8" t="s">
        <v>7405</v>
      </c>
      <c r="C1005" s="9" t="s">
        <v>7406</v>
      </c>
      <c r="D1005" s="9" t="s">
        <v>138</v>
      </c>
      <c r="E1005" s="9" t="s">
        <v>7407</v>
      </c>
      <c r="F1005" s="10">
        <v>1.378</v>
      </c>
      <c r="G1005" s="10">
        <v>1.515</v>
      </c>
      <c r="H1005" s="10"/>
      <c r="I1005" s="9" t="s">
        <v>140</v>
      </c>
      <c r="J1005" s="9" t="s">
        <v>7408</v>
      </c>
      <c r="K1005" s="9" t="s">
        <v>7409</v>
      </c>
      <c r="L1005" s="8" t="s">
        <v>7410</v>
      </c>
      <c r="M1005" s="9" t="s">
        <v>49</v>
      </c>
      <c r="N1005" s="9" t="s">
        <v>211</v>
      </c>
      <c r="O1005" s="9">
        <f>HYPERLINK("https://www.google.com/maps/search/?api=1&amp;query=42.03328428,-8.88224251", "https://www.google.com/maps/search/?api=1&amp;query=42.03328428,-8.88224251")</f>
      </c>
      <c r="P1005" s="9" t="s">
        <v>1250</v>
      </c>
      <c r="Q1005" s="9" t="s">
        <v>7411</v>
      </c>
    </row>
    <row r="1006" spans="1:17" x14ac:dyDescent="0.25">
      <c r="A1006" s="8" t="s">
        <v>7412</v>
      </c>
      <c r="B1006" s="8" t="s">
        <v>7413</v>
      </c>
      <c r="C1006" s="9" t="s">
        <v>7414</v>
      </c>
      <c r="D1006" s="9" t="s">
        <v>577</v>
      </c>
      <c r="E1006" s="9" t="s">
        <v>3160</v>
      </c>
      <c r="F1006" s="10">
        <v>1.378</v>
      </c>
      <c r="G1006" s="10">
        <v>1.515</v>
      </c>
      <c r="H1006" s="10"/>
      <c r="I1006" s="9" t="s">
        <v>74</v>
      </c>
      <c r="J1006" s="9" t="s">
        <v>7415</v>
      </c>
      <c r="K1006" s="9" t="s">
        <v>7416</v>
      </c>
      <c r="L1006" s="8" t="s">
        <v>7417</v>
      </c>
      <c r="M1006" s="9" t="s">
        <v>49</v>
      </c>
      <c r="N1006" s="9" t="s">
        <v>7418</v>
      </c>
      <c r="O1006" s="9">
        <f>HYPERLINK("https://www.google.com/maps/search/?api=1&amp;query=40.65790236,-4.6917948", "https://www.google.com/maps/search/?api=1&amp;query=40.65790236,-4.6917948")</f>
      </c>
      <c r="P1006" s="9" t="s">
        <v>3400</v>
      </c>
      <c r="Q1006" s="9" t="s">
        <v>7419</v>
      </c>
    </row>
    <row r="1007" spans="1:17" x14ac:dyDescent="0.25">
      <c r="A1007" s="8" t="s">
        <v>7420</v>
      </c>
      <c r="B1007" s="8" t="s">
        <v>7421</v>
      </c>
      <c r="C1007" s="9" t="s">
        <v>7422</v>
      </c>
      <c r="D1007" s="9" t="s">
        <v>94</v>
      </c>
      <c r="E1007" s="9" t="s">
        <v>2338</v>
      </c>
      <c r="F1007" s="10">
        <v>1.378</v>
      </c>
      <c r="G1007" s="10">
        <v>1.515</v>
      </c>
      <c r="H1007" s="10"/>
      <c r="I1007" s="9" t="s">
        <v>96</v>
      </c>
      <c r="J1007" s="9" t="s">
        <v>7423</v>
      </c>
      <c r="K1007" s="9" t="s">
        <v>7424</v>
      </c>
      <c r="L1007" s="8" t="s">
        <v>4130</v>
      </c>
      <c r="M1007" s="9" t="s">
        <v>49</v>
      </c>
      <c r="N1007" s="9" t="s">
        <v>88</v>
      </c>
      <c r="O1007" s="9">
        <f>HYPERLINK("https://www.google.com/maps/search/?api=1&amp;query=41.53046723,2.10368078", "https://www.google.com/maps/search/?api=1&amp;query=41.53046723,2.10368078")</f>
      </c>
      <c r="P1007" s="9" t="s">
        <v>1203</v>
      </c>
      <c r="Q1007" s="9" t="s">
        <v>7425</v>
      </c>
    </row>
    <row r="1008" spans="1:17" x14ac:dyDescent="0.25">
      <c r="A1008" s="8" t="s">
        <v>7426</v>
      </c>
      <c r="B1008" s="8" t="s">
        <v>7427</v>
      </c>
      <c r="C1008" s="9" t="s">
        <v>7428</v>
      </c>
      <c r="D1008" s="9" t="s">
        <v>344</v>
      </c>
      <c r="E1008" s="9" t="s">
        <v>7429</v>
      </c>
      <c r="F1008" s="10">
        <v>1.378</v>
      </c>
      <c r="G1008" s="10">
        <v>1.515</v>
      </c>
      <c r="H1008" s="10"/>
      <c r="I1008" s="9" t="s">
        <v>140</v>
      </c>
      <c r="J1008" s="9" t="s">
        <v>7430</v>
      </c>
      <c r="K1008" s="9" t="s">
        <v>7431</v>
      </c>
      <c r="L1008" s="8" t="s">
        <v>7432</v>
      </c>
      <c r="M1008" s="9" t="s">
        <v>36</v>
      </c>
      <c r="N1008" s="9" t="s">
        <v>1719</v>
      </c>
      <c r="O1008" s="9">
        <f>HYPERLINK("https://www.google.com/maps/search/?api=1&amp;query=43.14052411,-9.11279923", "https://www.google.com/maps/search/?api=1&amp;query=43.14052411,-9.11279923")</f>
      </c>
      <c r="P1008" s="9" t="s">
        <v>7433</v>
      </c>
      <c r="Q1008" s="9" t="s">
        <v>1982</v>
      </c>
    </row>
    <row r="1009" spans="1:17" x14ac:dyDescent="0.25">
      <c r="A1009" s="8" t="s">
        <v>7434</v>
      </c>
      <c r="B1009" s="8" t="s">
        <v>7435</v>
      </c>
      <c r="C1009" s="9" t="s">
        <v>7436</v>
      </c>
      <c r="D1009" s="9" t="s">
        <v>3841</v>
      </c>
      <c r="E1009" s="9" t="s">
        <v>7437</v>
      </c>
      <c r="F1009" s="10">
        <v>1.378</v>
      </c>
      <c r="G1009" s="10">
        <v>1.515</v>
      </c>
      <c r="H1009" s="10"/>
      <c r="I1009" s="9" t="s">
        <v>74</v>
      </c>
      <c r="J1009" s="9" t="s">
        <v>7438</v>
      </c>
      <c r="K1009" s="9" t="s">
        <v>7439</v>
      </c>
      <c r="L1009" s="8" t="s">
        <v>7440</v>
      </c>
      <c r="M1009" s="9" t="s">
        <v>100</v>
      </c>
      <c r="N1009" s="9" t="s">
        <v>7441</v>
      </c>
      <c r="O1009" s="9">
        <f>HYPERLINK("https://www.google.com/maps/search/?api=1&amp;query=41.28381346,-2.17362421", "https://www.google.com/maps/search/?api=1&amp;query=41.28381346,-2.17362421")</f>
      </c>
      <c r="P1009" s="9" t="s">
        <v>646</v>
      </c>
      <c r="Q1009" s="9" t="s">
        <v>7442</v>
      </c>
    </row>
    <row r="1010" spans="1:17" x14ac:dyDescent="0.25">
      <c r="A1010" s="8" t="s">
        <v>7443</v>
      </c>
      <c r="B1010" s="8" t="s">
        <v>7444</v>
      </c>
      <c r="C1010" s="9" t="s">
        <v>7445</v>
      </c>
      <c r="D1010" s="9" t="s">
        <v>658</v>
      </c>
      <c r="E1010" s="9" t="s">
        <v>7446</v>
      </c>
      <c r="F1010" s="10">
        <v>1.378</v>
      </c>
      <c r="G1010" s="10">
        <v>1.515</v>
      </c>
      <c r="H1010" s="10"/>
      <c r="I1010" s="9" t="s">
        <v>45</v>
      </c>
      <c r="J1010" s="9" t="s">
        <v>7447</v>
      </c>
      <c r="K1010" s="9" t="s">
        <v>7448</v>
      </c>
      <c r="L1010" s="8" t="s">
        <v>7449</v>
      </c>
      <c r="M1010" s="9" t="s">
        <v>49</v>
      </c>
      <c r="N1010" s="9" t="s">
        <v>88</v>
      </c>
      <c r="O1010" s="9">
        <f>HYPERLINK("https://www.google.com/maps/search/?api=1&amp;query=36.7716916,-2.75414571", "https://www.google.com/maps/search/?api=1&amp;query=36.7716916,-2.75414571")</f>
      </c>
      <c r="P1010" s="9" t="s">
        <v>144</v>
      </c>
      <c r="Q1010" s="9" t="s">
        <v>7450</v>
      </c>
    </row>
    <row r="1011" spans="1:17" x14ac:dyDescent="0.25">
      <c r="A1011" s="8" t="s">
        <v>7451</v>
      </c>
      <c r="B1011" s="8" t="s">
        <v>7452</v>
      </c>
      <c r="C1011" s="9" t="s">
        <v>7453</v>
      </c>
      <c r="D1011" s="9" t="s">
        <v>444</v>
      </c>
      <c r="E1011" s="9" t="s">
        <v>7454</v>
      </c>
      <c r="F1011" s="10">
        <v>1.378</v>
      </c>
      <c r="G1011" s="10">
        <v>1.515</v>
      </c>
      <c r="H1011" s="10"/>
      <c r="I1011" s="9" t="s">
        <v>444</v>
      </c>
      <c r="J1011" s="9" t="s">
        <v>7455</v>
      </c>
      <c r="K1011" s="9" t="s">
        <v>7456</v>
      </c>
      <c r="L1011" s="8" t="s">
        <v>7457</v>
      </c>
      <c r="M1011" s="9" t="s">
        <v>49</v>
      </c>
      <c r="N1011" s="9" t="s">
        <v>211</v>
      </c>
      <c r="O1011" s="9">
        <f>HYPERLINK("https://www.google.com/maps/search/?api=1&amp;query=43.48396739,-5.43098112", "https://www.google.com/maps/search/?api=1&amp;query=43.48396739,-5.43098112")</f>
      </c>
      <c r="P1011" s="9" t="s">
        <v>493</v>
      </c>
      <c r="Q1011" s="9" t="s">
        <v>7458</v>
      </c>
    </row>
    <row r="1012" spans="1:17" x14ac:dyDescent="0.25">
      <c r="A1012" s="8" t="s">
        <v>7459</v>
      </c>
      <c r="B1012" s="8" t="s">
        <v>7460</v>
      </c>
      <c r="C1012" s="9" t="s">
        <v>7461</v>
      </c>
      <c r="D1012" s="9" t="s">
        <v>444</v>
      </c>
      <c r="E1012" s="9" t="s">
        <v>7462</v>
      </c>
      <c r="F1012" s="10">
        <v>1.378</v>
      </c>
      <c r="G1012" s="10">
        <v>1.515</v>
      </c>
      <c r="H1012" s="10"/>
      <c r="I1012" s="9" t="s">
        <v>444</v>
      </c>
      <c r="J1012" s="9" t="s">
        <v>7463</v>
      </c>
      <c r="K1012" s="9" t="s">
        <v>7464</v>
      </c>
      <c r="L1012" s="8" t="s">
        <v>7465</v>
      </c>
      <c r="M1012" s="9" t="s">
        <v>100</v>
      </c>
      <c r="N1012" s="9" t="s">
        <v>88</v>
      </c>
      <c r="O1012" s="9">
        <f>HYPERLINK("https://www.google.com/maps/search/?api=1&amp;query=43.39864486,-4.73497786", "https://www.google.com/maps/search/?api=1&amp;query=43.39864486,-4.73497786")</f>
      </c>
      <c r="P1012" s="9" t="s">
        <v>3400</v>
      </c>
      <c r="Q1012" s="9" t="s">
        <v>7466</v>
      </c>
    </row>
    <row r="1013" spans="1:17" x14ac:dyDescent="0.25">
      <c r="A1013" s="8" t="s">
        <v>7467</v>
      </c>
      <c r="B1013" s="8" t="s">
        <v>7468</v>
      </c>
      <c r="C1013" s="9" t="s">
        <v>7469</v>
      </c>
      <c r="D1013" s="9" t="s">
        <v>1282</v>
      </c>
      <c r="E1013" s="9" t="s">
        <v>7470</v>
      </c>
      <c r="F1013" s="10">
        <v>1.378</v>
      </c>
      <c r="G1013" s="10">
        <v>1.515</v>
      </c>
      <c r="H1013" s="10"/>
      <c r="I1013" s="9" t="s">
        <v>45</v>
      </c>
      <c r="J1013" s="9" t="s">
        <v>7471</v>
      </c>
      <c r="K1013" s="9" t="s">
        <v>7472</v>
      </c>
      <c r="L1013" s="8" t="s">
        <v>7473</v>
      </c>
      <c r="M1013" s="9" t="s">
        <v>36</v>
      </c>
      <c r="N1013" s="9" t="s">
        <v>6301</v>
      </c>
      <c r="O1013" s="9">
        <f>HYPERLINK("https://www.google.com/maps/search/?api=1&amp;query=37.32249516,-3.29694484", "https://www.google.com/maps/search/?api=1&amp;query=37.32249516,-3.29694484")</f>
      </c>
      <c r="P1013" s="9" t="s">
        <v>144</v>
      </c>
      <c r="Q1013" s="9" t="s">
        <v>4192</v>
      </c>
    </row>
    <row r="1014" spans="1:17" x14ac:dyDescent="0.25">
      <c r="A1014" s="8" t="s">
        <v>7474</v>
      </c>
      <c r="B1014" s="8" t="s">
        <v>7475</v>
      </c>
      <c r="C1014" s="9" t="s">
        <v>7476</v>
      </c>
      <c r="D1014" s="9" t="s">
        <v>280</v>
      </c>
      <c r="E1014" s="9" t="s">
        <v>6068</v>
      </c>
      <c r="F1014" s="10">
        <v>1.378</v>
      </c>
      <c r="G1014" s="10">
        <v>1.515</v>
      </c>
      <c r="H1014" s="10"/>
      <c r="I1014" s="9" t="s">
        <v>118</v>
      </c>
      <c r="J1014" s="9" t="s">
        <v>7477</v>
      </c>
      <c r="K1014" s="9" t="s">
        <v>7478</v>
      </c>
      <c r="L1014" s="8" t="s">
        <v>6071</v>
      </c>
      <c r="M1014" s="9" t="s">
        <v>36</v>
      </c>
      <c r="N1014" s="9" t="s">
        <v>7479</v>
      </c>
      <c r="O1014" s="9">
        <f>HYPERLINK("https://www.google.com/maps/search/?api=1&amp;query=43.29621344,-1.87183414", "https://www.google.com/maps/search/?api=1&amp;query=43.29621344,-1.87183414")</f>
      </c>
      <c r="P1014" s="9" t="s">
        <v>2213</v>
      </c>
      <c r="Q1014" s="9" t="s">
        <v>7480</v>
      </c>
    </row>
    <row r="1015" spans="1:17" x14ac:dyDescent="0.25">
      <c r="A1015" s="8" t="s">
        <v>7481</v>
      </c>
      <c r="B1015" s="8" t="s">
        <v>7482</v>
      </c>
      <c r="C1015" s="9" t="s">
        <v>7483</v>
      </c>
      <c r="D1015" s="9" t="s">
        <v>516</v>
      </c>
      <c r="E1015" s="9" t="s">
        <v>7484</v>
      </c>
      <c r="F1015" s="10">
        <v>1.378</v>
      </c>
      <c r="G1015" s="10">
        <v>1.515</v>
      </c>
      <c r="H1015" s="10"/>
      <c r="I1015" s="9" t="s">
        <v>140</v>
      </c>
      <c r="J1015" s="9" t="s">
        <v>7485</v>
      </c>
      <c r="K1015" s="9" t="s">
        <v>7486</v>
      </c>
      <c r="L1015" s="8" t="s">
        <v>7487</v>
      </c>
      <c r="M1015" s="9" t="s">
        <v>49</v>
      </c>
      <c r="N1015" s="9" t="s">
        <v>211</v>
      </c>
      <c r="O1015" s="9">
        <f>HYPERLINK("https://www.google.com/maps/search/?api=1&amp;query=42.58495999,-7.64053009", "https://www.google.com/maps/search/?api=1&amp;query=42.58495999,-7.64053009")</f>
      </c>
      <c r="P1015" s="9" t="s">
        <v>617</v>
      </c>
      <c r="Q1015" s="9" t="s">
        <v>1982</v>
      </c>
    </row>
    <row r="1016" spans="1:17" x14ac:dyDescent="0.25">
      <c r="A1016" s="8" t="s">
        <v>7488</v>
      </c>
      <c r="B1016" s="8" t="s">
        <v>7489</v>
      </c>
      <c r="C1016" s="9" t="s">
        <v>7490</v>
      </c>
      <c r="D1016" s="9" t="s">
        <v>434</v>
      </c>
      <c r="E1016" s="9" t="s">
        <v>7491</v>
      </c>
      <c r="F1016" s="10">
        <v>1.378</v>
      </c>
      <c r="G1016" s="10">
        <v>1.515</v>
      </c>
      <c r="H1016" s="10"/>
      <c r="I1016" s="9" t="s">
        <v>96</v>
      </c>
      <c r="J1016" s="9" t="s">
        <v>7492</v>
      </c>
      <c r="K1016" s="9" t="s">
        <v>7493</v>
      </c>
      <c r="L1016" s="8" t="s">
        <v>7494</v>
      </c>
      <c r="M1016" s="9" t="s">
        <v>49</v>
      </c>
      <c r="N1016" s="9" t="s">
        <v>5450</v>
      </c>
      <c r="O1016" s="9">
        <f>HYPERLINK("https://www.google.com/maps/search/?api=1&amp;query=41.96555564,2.78166559", "https://www.google.com/maps/search/?api=1&amp;query=41.96555564,2.78166559")</f>
      </c>
      <c r="P1016" s="9" t="s">
        <v>4183</v>
      </c>
      <c r="Q1016" s="9" t="s">
        <v>4787</v>
      </c>
    </row>
    <row r="1017" spans="1:17" x14ac:dyDescent="0.25">
      <c r="A1017" s="8" t="s">
        <v>7495</v>
      </c>
      <c r="B1017" s="8" t="s">
        <v>7496</v>
      </c>
      <c r="C1017" s="9" t="s">
        <v>7497</v>
      </c>
      <c r="D1017" s="9" t="s">
        <v>808</v>
      </c>
      <c r="E1017" s="9" t="s">
        <v>7498</v>
      </c>
      <c r="F1017" s="10">
        <v>1.378</v>
      </c>
      <c r="G1017" s="10">
        <v>1.515</v>
      </c>
      <c r="H1017" s="10"/>
      <c r="I1017" s="9" t="s">
        <v>808</v>
      </c>
      <c r="J1017" s="9" t="s">
        <v>7499</v>
      </c>
      <c r="K1017" s="9" t="s">
        <v>7500</v>
      </c>
      <c r="L1017" s="8" t="s">
        <v>7501</v>
      </c>
      <c r="M1017" s="9" t="s">
        <v>100</v>
      </c>
      <c r="N1017" s="9" t="s">
        <v>88</v>
      </c>
      <c r="O1017" s="9">
        <f>HYPERLINK("https://www.google.com/maps/search/?api=1&amp;query=43.21939306,-3.94408076", "https://www.google.com/maps/search/?api=1&amp;query=43.21939306,-3.94408076")</f>
      </c>
      <c r="P1017" s="9" t="s">
        <v>1203</v>
      </c>
      <c r="Q1017" s="9" t="s">
        <v>7502</v>
      </c>
    </row>
    <row r="1018" spans="1:17" x14ac:dyDescent="0.25">
      <c r="A1018" s="8" t="s">
        <v>7503</v>
      </c>
      <c r="B1018" s="8" t="s">
        <v>7504</v>
      </c>
      <c r="C1018" s="9" t="s">
        <v>7505</v>
      </c>
      <c r="D1018" s="9" t="s">
        <v>398</v>
      </c>
      <c r="E1018" s="9" t="s">
        <v>2805</v>
      </c>
      <c r="F1018" s="10">
        <v>1.378</v>
      </c>
      <c r="G1018" s="10">
        <v>1.515</v>
      </c>
      <c r="H1018" s="10"/>
      <c r="I1018" s="9" t="s">
        <v>400</v>
      </c>
      <c r="J1018" s="9" t="s">
        <v>7506</v>
      </c>
      <c r="K1018" s="9" t="s">
        <v>7507</v>
      </c>
      <c r="L1018" s="8" t="s">
        <v>2808</v>
      </c>
      <c r="M1018" s="9" t="s">
        <v>49</v>
      </c>
      <c r="N1018" s="9" t="s">
        <v>7508</v>
      </c>
      <c r="O1018" s="9">
        <f>HYPERLINK("https://www.google.com/maps/search/?api=1&amp;query=38.41681022,-0.53646429", "https://www.google.com/maps/search/?api=1&amp;query=38.41681022,-0.53646429")</f>
      </c>
      <c r="P1018" s="9" t="s">
        <v>3165</v>
      </c>
      <c r="Q1018" s="9" t="s">
        <v>874</v>
      </c>
    </row>
    <row r="1019" spans="1:17" x14ac:dyDescent="0.25">
      <c r="A1019" s="8" t="s">
        <v>7509</v>
      </c>
      <c r="B1019" s="8" t="s">
        <v>7510</v>
      </c>
      <c r="C1019" s="9" t="s">
        <v>7511</v>
      </c>
      <c r="D1019" s="9" t="s">
        <v>344</v>
      </c>
      <c r="E1019" s="9" t="s">
        <v>1931</v>
      </c>
      <c r="F1019" s="10">
        <v>1.378</v>
      </c>
      <c r="G1019" s="10">
        <v>1.515</v>
      </c>
      <c r="H1019" s="10"/>
      <c r="I1019" s="9" t="s">
        <v>140</v>
      </c>
      <c r="J1019" s="9" t="s">
        <v>7512</v>
      </c>
      <c r="K1019" s="9" t="s">
        <v>7513</v>
      </c>
      <c r="L1019" s="8" t="s">
        <v>7514</v>
      </c>
      <c r="M1019" s="9" t="s">
        <v>49</v>
      </c>
      <c r="N1019" s="9" t="s">
        <v>7515</v>
      </c>
      <c r="O1019" s="9">
        <f>HYPERLINK("https://www.google.com/maps/search/?api=1&amp;query=43.36761821,-8.41360603", "https://www.google.com/maps/search/?api=1&amp;query=43.36761821,-8.41360603")</f>
      </c>
      <c r="P1019" s="9" t="s">
        <v>2594</v>
      </c>
      <c r="Q1019" s="9" t="s">
        <v>1131</v>
      </c>
    </row>
    <row r="1020" spans="1:17" x14ac:dyDescent="0.25">
      <c r="A1020" s="8" t="s">
        <v>7516</v>
      </c>
      <c r="B1020" s="8" t="s">
        <v>7517</v>
      </c>
      <c r="C1020" s="9" t="s">
        <v>7518</v>
      </c>
      <c r="D1020" s="9" t="s">
        <v>424</v>
      </c>
      <c r="E1020" s="9" t="s">
        <v>7519</v>
      </c>
      <c r="F1020" s="10">
        <v>1.378</v>
      </c>
      <c r="G1020" s="10">
        <v>1.515</v>
      </c>
      <c r="H1020" s="10"/>
      <c r="I1020" s="9" t="s">
        <v>96</v>
      </c>
      <c r="J1020" s="9" t="s">
        <v>7520</v>
      </c>
      <c r="K1020" s="9" t="s">
        <v>7521</v>
      </c>
      <c r="L1020" s="8" t="s">
        <v>7522</v>
      </c>
      <c r="M1020" s="9" t="s">
        <v>36</v>
      </c>
      <c r="N1020" s="9" t="s">
        <v>122</v>
      </c>
      <c r="O1020" s="9">
        <f>HYPERLINK("https://www.google.com/maps/search/?api=1&amp;query=41.51763723,0.6196763", "https://www.google.com/maps/search/?api=1&amp;query=41.51763723,0.6196763")</f>
      </c>
      <c r="P1020" s="9" t="s">
        <v>1637</v>
      </c>
      <c r="Q1020" s="9" t="s">
        <v>7523</v>
      </c>
    </row>
    <row r="1021" spans="1:17" x14ac:dyDescent="0.25">
      <c r="A1021" s="8" t="s">
        <v>7524</v>
      </c>
      <c r="B1021" s="8" t="s">
        <v>7525</v>
      </c>
      <c r="C1021" s="9" t="s">
        <v>7526</v>
      </c>
      <c r="D1021" s="9" t="s">
        <v>516</v>
      </c>
      <c r="E1021" s="9" t="s">
        <v>7527</v>
      </c>
      <c r="F1021" s="10">
        <v>1.378</v>
      </c>
      <c r="G1021" s="10">
        <v>1.515</v>
      </c>
      <c r="H1021" s="10"/>
      <c r="I1021" s="9" t="s">
        <v>140</v>
      </c>
      <c r="J1021" s="9" t="s">
        <v>7528</v>
      </c>
      <c r="K1021" s="9" t="s">
        <v>7529</v>
      </c>
      <c r="L1021" s="8" t="s">
        <v>7530</v>
      </c>
      <c r="M1021" s="9" t="s">
        <v>36</v>
      </c>
      <c r="N1021" s="9" t="s">
        <v>7531</v>
      </c>
      <c r="O1021" s="9">
        <f>HYPERLINK("https://www.google.com/maps/search/?api=1&amp;query=43.35533822,-7.77497189", "https://www.google.com/maps/search/?api=1&amp;query=43.35533822,-7.77497189")</f>
      </c>
      <c r="P1021" s="9" t="s">
        <v>493</v>
      </c>
      <c r="Q1021" s="9" t="s">
        <v>3771</v>
      </c>
    </row>
    <row r="1022" spans="1:17" x14ac:dyDescent="0.25">
      <c r="A1022" s="8" t="s">
        <v>7532</v>
      </c>
      <c r="B1022" s="8" t="s">
        <v>7533</v>
      </c>
      <c r="C1022" s="9" t="s">
        <v>7534</v>
      </c>
      <c r="D1022" s="9" t="s">
        <v>1434</v>
      </c>
      <c r="E1022" s="9" t="s">
        <v>7535</v>
      </c>
      <c r="F1022" s="10">
        <v>1.378</v>
      </c>
      <c r="G1022" s="10">
        <v>1.515</v>
      </c>
      <c r="H1022" s="10"/>
      <c r="I1022" s="9" t="s">
        <v>1434</v>
      </c>
      <c r="J1022" s="9" t="s">
        <v>7536</v>
      </c>
      <c r="K1022" s="9" t="s">
        <v>7537</v>
      </c>
      <c r="L1022" s="8" t="s">
        <v>7538</v>
      </c>
      <c r="M1022" s="9" t="s">
        <v>49</v>
      </c>
      <c r="N1022" s="9" t="s">
        <v>7539</v>
      </c>
      <c r="O1022" s="9">
        <f>HYPERLINK("https://www.google.com/maps/search/?api=1&amp;query=42.39945672,-2.33398666", "https://www.google.com/maps/search/?api=1&amp;query=42.39945672,-2.33398666")</f>
      </c>
      <c r="P1022" s="9" t="s">
        <v>583</v>
      </c>
      <c r="Q1022" s="9" t="s">
        <v>1131</v>
      </c>
    </row>
    <row r="1023" spans="1:17" x14ac:dyDescent="0.25">
      <c r="A1023" s="8" t="s">
        <v>7540</v>
      </c>
      <c r="B1023" s="8" t="s">
        <v>7541</v>
      </c>
      <c r="C1023" s="9" t="s">
        <v>7542</v>
      </c>
      <c r="D1023" s="9" t="s">
        <v>400</v>
      </c>
      <c r="E1023" s="9" t="s">
        <v>7543</v>
      </c>
      <c r="F1023" s="10">
        <v>1.378</v>
      </c>
      <c r="G1023" s="10">
        <v>1.515</v>
      </c>
      <c r="H1023" s="10"/>
      <c r="I1023" s="9" t="s">
        <v>400</v>
      </c>
      <c r="J1023" s="9" t="s">
        <v>7544</v>
      </c>
      <c r="K1023" s="9" t="s">
        <v>7545</v>
      </c>
      <c r="L1023" s="8" t="s">
        <v>7546</v>
      </c>
      <c r="M1023" s="9" t="s">
        <v>49</v>
      </c>
      <c r="N1023" s="9" t="s">
        <v>7547</v>
      </c>
      <c r="O1023" s="9">
        <f>HYPERLINK("https://www.google.com/maps/search/?api=1&amp;query=39.8620491,-1.08355602", "https://www.google.com/maps/search/?api=1&amp;query=39.8620491,-1.08355602")</f>
      </c>
      <c r="P1023" s="9" t="s">
        <v>7548</v>
      </c>
      <c r="Q1023" s="9" t="s">
        <v>1742</v>
      </c>
    </row>
    <row r="1024" spans="1:17" x14ac:dyDescent="0.25">
      <c r="A1024" s="8" t="s">
        <v>7549</v>
      </c>
      <c r="B1024" s="8" t="s">
        <v>7550</v>
      </c>
      <c r="C1024" s="9" t="s">
        <v>7551</v>
      </c>
      <c r="D1024" s="9" t="s">
        <v>808</v>
      </c>
      <c r="E1024" s="9" t="s">
        <v>7552</v>
      </c>
      <c r="F1024" s="10">
        <v>1.378</v>
      </c>
      <c r="G1024" s="10">
        <v>1.515</v>
      </c>
      <c r="H1024" s="10"/>
      <c r="I1024" s="9" t="s">
        <v>808</v>
      </c>
      <c r="J1024" s="9" t="s">
        <v>7553</v>
      </c>
      <c r="K1024" s="9" t="s">
        <v>7554</v>
      </c>
      <c r="L1024" s="8" t="s">
        <v>7555</v>
      </c>
      <c r="M1024" s="9" t="s">
        <v>36</v>
      </c>
      <c r="N1024" s="9" t="s">
        <v>88</v>
      </c>
      <c r="O1024" s="9">
        <f>HYPERLINK("https://www.google.com/maps/search/?api=1&amp;query=43.18198869,-4.05246318", "https://www.google.com/maps/search/?api=1&amp;query=43.18198869,-4.05246318")</f>
      </c>
      <c r="P1024" s="9" t="s">
        <v>3530</v>
      </c>
      <c r="Q1024" s="9" t="s">
        <v>7556</v>
      </c>
    </row>
    <row r="1025" spans="1:17" x14ac:dyDescent="0.25">
      <c r="A1025" s="8" t="s">
        <v>7557</v>
      </c>
      <c r="B1025" s="8" t="s">
        <v>7558</v>
      </c>
      <c r="C1025" s="9" t="s">
        <v>7559</v>
      </c>
      <c r="D1025" s="9" t="s">
        <v>400</v>
      </c>
      <c r="E1025" s="9" t="s">
        <v>7560</v>
      </c>
      <c r="F1025" s="10">
        <v>1.378</v>
      </c>
      <c r="G1025" s="10">
        <v>1.515</v>
      </c>
      <c r="H1025" s="10"/>
      <c r="I1025" s="9" t="s">
        <v>400</v>
      </c>
      <c r="J1025" s="9" t="s">
        <v>7561</v>
      </c>
      <c r="K1025" s="9" t="s">
        <v>7562</v>
      </c>
      <c r="L1025" s="8" t="s">
        <v>7563</v>
      </c>
      <c r="M1025" s="9" t="s">
        <v>49</v>
      </c>
      <c r="N1025" s="9" t="s">
        <v>37</v>
      </c>
      <c r="O1025" s="9">
        <f>HYPERLINK("https://www.google.com/maps/search/?api=1&amp;query=38.95735304,-0.1892379", "https://www.google.com/maps/search/?api=1&amp;query=38.95735304,-0.1892379")</f>
      </c>
      <c r="P1025" s="9" t="s">
        <v>7564</v>
      </c>
      <c r="Q1025" s="9" t="s">
        <v>7565</v>
      </c>
    </row>
    <row r="1026" spans="1:17" x14ac:dyDescent="0.25">
      <c r="A1026" s="8" t="s">
        <v>7566</v>
      </c>
      <c r="B1026" s="8" t="s">
        <v>7567</v>
      </c>
      <c r="C1026" s="9" t="s">
        <v>7568</v>
      </c>
      <c r="D1026" s="9" t="s">
        <v>138</v>
      </c>
      <c r="E1026" s="9" t="s">
        <v>7569</v>
      </c>
      <c r="F1026" s="10">
        <v>1.378</v>
      </c>
      <c r="G1026" s="10">
        <v>1.515</v>
      </c>
      <c r="H1026" s="10"/>
      <c r="I1026" s="9" t="s">
        <v>140</v>
      </c>
      <c r="J1026" s="9" t="s">
        <v>7570</v>
      </c>
      <c r="K1026" s="9" t="s">
        <v>7571</v>
      </c>
      <c r="L1026" s="8" t="s">
        <v>7572</v>
      </c>
      <c r="M1026" s="9" t="s">
        <v>36</v>
      </c>
      <c r="N1026" s="9" t="s">
        <v>66</v>
      </c>
      <c r="O1026" s="9">
        <f>HYPERLINK("https://www.google.com/maps/search/?api=1&amp;query=42.37370336,-8.72749932", "https://www.google.com/maps/search/?api=1&amp;query=42.37370336,-8.72749932")</f>
      </c>
      <c r="P1026" s="9" t="s">
        <v>880</v>
      </c>
      <c r="Q1026" s="9" t="s">
        <v>7573</v>
      </c>
    </row>
    <row r="1027" spans="1:17" x14ac:dyDescent="0.25">
      <c r="A1027" s="8" t="s">
        <v>7574</v>
      </c>
      <c r="B1027" s="8" t="s">
        <v>7575</v>
      </c>
      <c r="C1027" s="9" t="s">
        <v>7576</v>
      </c>
      <c r="D1027" s="9" t="s">
        <v>2050</v>
      </c>
      <c r="E1027" s="9" t="s">
        <v>7577</v>
      </c>
      <c r="F1027" s="10">
        <v>1.378</v>
      </c>
      <c r="G1027" s="10">
        <v>1.515</v>
      </c>
      <c r="H1027" s="10"/>
      <c r="I1027" s="9" t="s">
        <v>140</v>
      </c>
      <c r="J1027" s="9" t="s">
        <v>7578</v>
      </c>
      <c r="K1027" s="9" t="s">
        <v>7579</v>
      </c>
      <c r="L1027" s="8" t="s">
        <v>7580</v>
      </c>
      <c r="M1027" s="9" t="s">
        <v>100</v>
      </c>
      <c r="N1027" s="9" t="s">
        <v>211</v>
      </c>
      <c r="O1027" s="9">
        <f>HYPERLINK("https://www.google.com/maps/search/?api=1&amp;query=42.18875928,-7.10111386", "https://www.google.com/maps/search/?api=1&amp;query=42.18875928,-7.10111386")</f>
      </c>
      <c r="P1027" s="9" t="s">
        <v>6241</v>
      </c>
      <c r="Q1027" s="9" t="s">
        <v>7581</v>
      </c>
    </row>
    <row r="1028" spans="1:17" x14ac:dyDescent="0.25">
      <c r="A1028" s="8" t="s">
        <v>7582</v>
      </c>
      <c r="B1028" s="8" t="s">
        <v>7583</v>
      </c>
      <c r="C1028" s="9" t="s">
        <v>7584</v>
      </c>
      <c r="D1028" s="9" t="s">
        <v>2288</v>
      </c>
      <c r="E1028" s="9" t="s">
        <v>2288</v>
      </c>
      <c r="F1028" s="10">
        <v>1.378</v>
      </c>
      <c r="G1028" s="10">
        <v>1.515</v>
      </c>
      <c r="H1028" s="10"/>
      <c r="I1028" s="9" t="s">
        <v>168</v>
      </c>
      <c r="J1028" s="9" t="s">
        <v>7585</v>
      </c>
      <c r="K1028" s="9" t="s">
        <v>7586</v>
      </c>
      <c r="L1028" s="8" t="s">
        <v>4931</v>
      </c>
      <c r="M1028" s="9" t="s">
        <v>49</v>
      </c>
      <c r="N1028" s="9" t="s">
        <v>7587</v>
      </c>
      <c r="O1028" s="9">
        <f>HYPERLINK("https://www.google.com/maps/search/?api=1&amp;query=39.01290993,-1.8749042", "https://www.google.com/maps/search/?api=1&amp;query=39.01290993,-1.8749042")</f>
      </c>
      <c r="P1028" s="9" t="s">
        <v>2442</v>
      </c>
      <c r="Q1028" s="9" t="s">
        <v>7588</v>
      </c>
    </row>
    <row r="1029" spans="1:17" x14ac:dyDescent="0.25">
      <c r="A1029" s="8" t="s">
        <v>7589</v>
      </c>
      <c r="B1029" s="8" t="s">
        <v>7590</v>
      </c>
      <c r="C1029" s="9" t="s">
        <v>7591</v>
      </c>
      <c r="D1029" s="9" t="s">
        <v>2288</v>
      </c>
      <c r="E1029" s="9" t="s">
        <v>7592</v>
      </c>
      <c r="F1029" s="10">
        <v>1.378</v>
      </c>
      <c r="G1029" s="10">
        <v>1.515</v>
      </c>
      <c r="H1029" s="10"/>
      <c r="I1029" s="9" t="s">
        <v>168</v>
      </c>
      <c r="J1029" s="9" t="s">
        <v>7593</v>
      </c>
      <c r="K1029" s="9" t="s">
        <v>7594</v>
      </c>
      <c r="L1029" s="8" t="s">
        <v>7595</v>
      </c>
      <c r="M1029" s="9" t="s">
        <v>36</v>
      </c>
      <c r="N1029" s="9" t="s">
        <v>592</v>
      </c>
      <c r="O1029" s="9">
        <f>HYPERLINK("https://www.google.com/maps/search/?api=1&amp;query=38.91615953,-1.72599683", "https://www.google.com/maps/search/?api=1&amp;query=38.91615953,-1.72599683")</f>
      </c>
      <c r="P1029" s="9" t="s">
        <v>965</v>
      </c>
      <c r="Q1029" s="9" t="s">
        <v>5188</v>
      </c>
    </row>
    <row r="1030" spans="1:17" x14ac:dyDescent="0.25">
      <c r="A1030" s="8" t="s">
        <v>7596</v>
      </c>
      <c r="B1030" s="8" t="s">
        <v>7597</v>
      </c>
      <c r="C1030" s="9" t="s">
        <v>7598</v>
      </c>
      <c r="D1030" s="9" t="s">
        <v>253</v>
      </c>
      <c r="E1030" s="9" t="s">
        <v>7599</v>
      </c>
      <c r="F1030" s="10">
        <v>1.378</v>
      </c>
      <c r="G1030" s="10">
        <v>1.515</v>
      </c>
      <c r="H1030" s="10"/>
      <c r="I1030" s="9" t="s">
        <v>96</v>
      </c>
      <c r="J1030" s="9" t="s">
        <v>7600</v>
      </c>
      <c r="K1030" s="9" t="s">
        <v>7601</v>
      </c>
      <c r="L1030" s="8" t="s">
        <v>7602</v>
      </c>
      <c r="M1030" s="9" t="s">
        <v>49</v>
      </c>
      <c r="N1030" s="9" t="s">
        <v>7603</v>
      </c>
      <c r="O1030" s="9">
        <f>HYPERLINK("https://www.google.com/maps/search/?api=1&amp;query=41.19225368,1.00009504", "https://www.google.com/maps/search/?api=1&amp;query=41.19225368,1.00009504")</f>
      </c>
      <c r="P1030" s="9" t="s">
        <v>521</v>
      </c>
      <c r="Q1030" s="9" t="s">
        <v>3771</v>
      </c>
    </row>
    <row r="1031" spans="1:17" x14ac:dyDescent="0.25">
      <c r="A1031" s="8" t="s">
        <v>7604</v>
      </c>
      <c r="B1031" s="8" t="s">
        <v>7605</v>
      </c>
      <c r="C1031" s="9" t="s">
        <v>7606</v>
      </c>
      <c r="D1031" s="9" t="s">
        <v>398</v>
      </c>
      <c r="E1031" s="9" t="s">
        <v>7607</v>
      </c>
      <c r="F1031" s="10">
        <v>1.378</v>
      </c>
      <c r="G1031" s="10">
        <v>1.515</v>
      </c>
      <c r="H1031" s="10"/>
      <c r="I1031" s="9" t="s">
        <v>400</v>
      </c>
      <c r="J1031" s="9" t="s">
        <v>7608</v>
      </c>
      <c r="K1031" s="9" t="s">
        <v>7609</v>
      </c>
      <c r="L1031" s="8" t="s">
        <v>7610</v>
      </c>
      <c r="M1031" s="9" t="s">
        <v>36</v>
      </c>
      <c r="N1031" s="9" t="s">
        <v>88</v>
      </c>
      <c r="O1031" s="9">
        <f>HYPERLINK("https://www.google.com/maps/search/?api=1&amp;query=38.427026,-0.435011", "https://www.google.com/maps/search/?api=1&amp;query=38.427026,-0.435011")</f>
      </c>
      <c r="P1031" s="9" t="s">
        <v>7335</v>
      </c>
      <c r="Q1031" s="9" t="s">
        <v>7611</v>
      </c>
    </row>
    <row r="1032" spans="1:17" x14ac:dyDescent="0.25">
      <c r="A1032" s="8" t="s">
        <v>7612</v>
      </c>
      <c r="B1032" s="8" t="s">
        <v>7613</v>
      </c>
      <c r="C1032" s="9" t="s">
        <v>7614</v>
      </c>
      <c r="D1032" s="9" t="s">
        <v>61</v>
      </c>
      <c r="E1032" s="9" t="s">
        <v>61</v>
      </c>
      <c r="F1032" s="10">
        <v>1.378</v>
      </c>
      <c r="G1032" s="10">
        <v>1.515</v>
      </c>
      <c r="H1032" s="10"/>
      <c r="I1032" s="9" t="s">
        <v>45</v>
      </c>
      <c r="J1032" s="9" t="s">
        <v>7615</v>
      </c>
      <c r="K1032" s="9" t="s">
        <v>7616</v>
      </c>
      <c r="L1032" s="8" t="s">
        <v>7617</v>
      </c>
      <c r="M1032" s="9" t="s">
        <v>36</v>
      </c>
      <c r="N1032" s="9" t="s">
        <v>88</v>
      </c>
      <c r="O1032" s="9">
        <f>HYPERLINK("https://www.google.com/maps/search/?api=1&amp;query=37.38702725,-5.93500132", "https://www.google.com/maps/search/?api=1&amp;query=37.38702725,-5.93500132")</f>
      </c>
      <c r="P1032" s="9" t="s">
        <v>321</v>
      </c>
      <c r="Q1032" s="9" t="s">
        <v>7618</v>
      </c>
    </row>
    <row r="1033" spans="1:17" x14ac:dyDescent="0.25">
      <c r="A1033" s="8" t="s">
        <v>7619</v>
      </c>
      <c r="B1033" s="8" t="s">
        <v>7620</v>
      </c>
      <c r="C1033" s="9" t="s">
        <v>7621</v>
      </c>
      <c r="D1033" s="9" t="s">
        <v>398</v>
      </c>
      <c r="E1033" s="9" t="s">
        <v>2805</v>
      </c>
      <c r="F1033" s="10">
        <v>1.378</v>
      </c>
      <c r="G1033" s="10">
        <v>1.515</v>
      </c>
      <c r="H1033" s="10"/>
      <c r="I1033" s="9" t="s">
        <v>400</v>
      </c>
      <c r="J1033" s="9" t="s">
        <v>7622</v>
      </c>
      <c r="K1033" s="9" t="s">
        <v>7623</v>
      </c>
      <c r="L1033" s="8" t="s">
        <v>2808</v>
      </c>
      <c r="M1033" s="9" t="s">
        <v>49</v>
      </c>
      <c r="N1033" s="9" t="s">
        <v>7624</v>
      </c>
      <c r="O1033" s="9">
        <f>HYPERLINK("https://www.google.com/maps/search/?api=1&amp;query=38.39052158,-0.50563216", "https://www.google.com/maps/search/?api=1&amp;query=38.39052158,-0.50563216")</f>
      </c>
      <c r="P1033" s="9" t="s">
        <v>680</v>
      </c>
      <c r="Q1033" s="9" t="s">
        <v>1534</v>
      </c>
    </row>
    <row r="1034" spans="1:17" x14ac:dyDescent="0.25">
      <c r="A1034" s="8" t="s">
        <v>7625</v>
      </c>
      <c r="B1034" s="8" t="s">
        <v>7626</v>
      </c>
      <c r="C1034" s="9" t="s">
        <v>7627</v>
      </c>
      <c r="D1034" s="9" t="s">
        <v>658</v>
      </c>
      <c r="E1034" s="9" t="s">
        <v>7628</v>
      </c>
      <c r="F1034" s="10">
        <v>1.378</v>
      </c>
      <c r="G1034" s="10">
        <v>1.515</v>
      </c>
      <c r="H1034" s="10"/>
      <c r="I1034" s="9" t="s">
        <v>45</v>
      </c>
      <c r="J1034" s="9" t="s">
        <v>7629</v>
      </c>
      <c r="K1034" s="9" t="s">
        <v>7630</v>
      </c>
      <c r="L1034" s="8" t="s">
        <v>7631</v>
      </c>
      <c r="M1034" s="9" t="s">
        <v>36</v>
      </c>
      <c r="N1034" s="9" t="s">
        <v>7632</v>
      </c>
      <c r="O1034" s="9">
        <f>HYPERLINK("https://www.google.com/maps/search/?api=1&amp;query=37.22201755,-1.83536457", "https://www.google.com/maps/search/?api=1&amp;query=37.22201755,-1.83536457")</f>
      </c>
      <c r="P1034" s="9" t="s">
        <v>572</v>
      </c>
      <c r="Q1034" s="9" t="s">
        <v>7633</v>
      </c>
    </row>
    <row r="1035" spans="1:17" x14ac:dyDescent="0.25">
      <c r="A1035" s="8" t="s">
        <v>7634</v>
      </c>
      <c r="B1035" s="8" t="s">
        <v>7635</v>
      </c>
      <c r="C1035" s="9" t="s">
        <v>7636</v>
      </c>
      <c r="D1035" s="9" t="s">
        <v>409</v>
      </c>
      <c r="E1035" s="9" t="s">
        <v>7637</v>
      </c>
      <c r="F1035" s="10">
        <v>1.378</v>
      </c>
      <c r="G1035" s="10">
        <v>1.515</v>
      </c>
      <c r="H1035" s="10"/>
      <c r="I1035" s="9" t="s">
        <v>292</v>
      </c>
      <c r="J1035" s="9" t="s">
        <v>7638</v>
      </c>
      <c r="K1035" s="9" t="s">
        <v>7639</v>
      </c>
      <c r="L1035" s="8" t="s">
        <v>7640</v>
      </c>
      <c r="M1035" s="9" t="s">
        <v>100</v>
      </c>
      <c r="N1035" s="9" t="s">
        <v>88</v>
      </c>
      <c r="O1035" s="9">
        <f>HYPERLINK("https://www.google.com/maps/search/?api=1&amp;query=41.76165187,-1.14947663", "https://www.google.com/maps/search/?api=1&amp;query=41.76165187,-1.14947663")</f>
      </c>
      <c r="P1035" s="9" t="s">
        <v>646</v>
      </c>
      <c r="Q1035" s="9" t="s">
        <v>7641</v>
      </c>
    </row>
    <row r="1036" spans="1:17" x14ac:dyDescent="0.25">
      <c r="A1036" s="8" t="s">
        <v>7642</v>
      </c>
      <c r="B1036" s="8" t="s">
        <v>7643</v>
      </c>
      <c r="C1036" s="9" t="s">
        <v>7644</v>
      </c>
      <c r="D1036" s="9" t="s">
        <v>400</v>
      </c>
      <c r="E1036" s="9" t="s">
        <v>7645</v>
      </c>
      <c r="F1036" s="10">
        <v>1.378</v>
      </c>
      <c r="G1036" s="10">
        <v>1.515</v>
      </c>
      <c r="H1036" s="10"/>
      <c r="I1036" s="9" t="s">
        <v>400</v>
      </c>
      <c r="J1036" s="9" t="s">
        <v>7646</v>
      </c>
      <c r="K1036" s="9" t="s">
        <v>7647</v>
      </c>
      <c r="L1036" s="8" t="s">
        <v>7648</v>
      </c>
      <c r="M1036" s="9" t="s">
        <v>36</v>
      </c>
      <c r="N1036" s="9" t="s">
        <v>211</v>
      </c>
      <c r="O1036" s="9">
        <f>HYPERLINK("https://www.google.com/maps/search/?api=1&amp;query=39.66811299,-0.23624818", "https://www.google.com/maps/search/?api=1&amp;query=39.66811299,-0.23624818")</f>
      </c>
      <c r="P1036" s="9" t="s">
        <v>803</v>
      </c>
      <c r="Q1036" s="9" t="s">
        <v>4729</v>
      </c>
    </row>
    <row r="1037" spans="1:17" x14ac:dyDescent="0.25">
      <c r="A1037" s="8" t="s">
        <v>7649</v>
      </c>
      <c r="B1037" s="8" t="s">
        <v>7650</v>
      </c>
      <c r="C1037" s="9" t="s">
        <v>7651</v>
      </c>
      <c r="D1037" s="9" t="s">
        <v>658</v>
      </c>
      <c r="E1037" s="9" t="s">
        <v>7652</v>
      </c>
      <c r="F1037" s="10">
        <v>1.378</v>
      </c>
      <c r="G1037" s="10">
        <v>1.515</v>
      </c>
      <c r="H1037" s="10"/>
      <c r="I1037" s="9" t="s">
        <v>45</v>
      </c>
      <c r="J1037" s="9" t="s">
        <v>7653</v>
      </c>
      <c r="K1037" s="9" t="s">
        <v>7654</v>
      </c>
      <c r="L1037" s="8" t="s">
        <v>7655</v>
      </c>
      <c r="M1037" s="9" t="s">
        <v>36</v>
      </c>
      <c r="N1037" s="9" t="s">
        <v>7656</v>
      </c>
      <c r="O1037" s="9">
        <f>HYPERLINK("https://www.google.com/maps/search/?api=1&amp;query=37.39583378,-1.75067842", "https://www.google.com/maps/search/?api=1&amp;query=37.39583378,-1.75067842")</f>
      </c>
      <c r="P1037" s="9" t="s">
        <v>7657</v>
      </c>
      <c r="Q1037" s="9" t="s">
        <v>7658</v>
      </c>
    </row>
    <row r="1038" spans="1:17" x14ac:dyDescent="0.25">
      <c r="A1038" s="8" t="s">
        <v>7659</v>
      </c>
      <c r="B1038" s="8" t="s">
        <v>7660</v>
      </c>
      <c r="C1038" s="9" t="s">
        <v>7661</v>
      </c>
      <c r="D1038" s="9" t="s">
        <v>488</v>
      </c>
      <c r="E1038" s="9" t="s">
        <v>7662</v>
      </c>
      <c r="F1038" s="10">
        <v>1.378</v>
      </c>
      <c r="G1038" s="10">
        <v>1.515</v>
      </c>
      <c r="H1038" s="10"/>
      <c r="I1038" s="9" t="s">
        <v>45</v>
      </c>
      <c r="J1038" s="9" t="s">
        <v>7663</v>
      </c>
      <c r="K1038" s="9" t="s">
        <v>7664</v>
      </c>
      <c r="L1038" s="8" t="s">
        <v>7665</v>
      </c>
      <c r="M1038" s="9" t="s">
        <v>36</v>
      </c>
      <c r="N1038" s="9" t="s">
        <v>88</v>
      </c>
      <c r="O1038" s="9">
        <f>HYPERLINK("https://www.google.com/maps/search/?api=1&amp;query=37.87293539,-4.17618289", "https://www.google.com/maps/search/?api=1&amp;query=37.87293539,-4.17618289")</f>
      </c>
      <c r="P1038" s="9" t="s">
        <v>1373</v>
      </c>
      <c r="Q1038" s="9" t="s">
        <v>2641</v>
      </c>
    </row>
    <row r="1039" spans="1:17" x14ac:dyDescent="0.25">
      <c r="A1039" s="8" t="s">
        <v>7666</v>
      </c>
      <c r="B1039" s="8" t="s">
        <v>7667</v>
      </c>
      <c r="C1039" s="9" t="s">
        <v>7668</v>
      </c>
      <c r="D1039" s="9" t="s">
        <v>488</v>
      </c>
      <c r="E1039" s="9" t="s">
        <v>7669</v>
      </c>
      <c r="F1039" s="10">
        <v>1.378</v>
      </c>
      <c r="G1039" s="10">
        <v>1.515</v>
      </c>
      <c r="H1039" s="10"/>
      <c r="I1039" s="9" t="s">
        <v>45</v>
      </c>
      <c r="J1039" s="9" t="s">
        <v>7670</v>
      </c>
      <c r="K1039" s="9" t="s">
        <v>7671</v>
      </c>
      <c r="L1039" s="8" t="s">
        <v>7672</v>
      </c>
      <c r="M1039" s="9" t="s">
        <v>49</v>
      </c>
      <c r="N1039" s="9" t="s">
        <v>7673</v>
      </c>
      <c r="O1039" s="9">
        <f>HYPERLINK("https://www.google.com/maps/search/?api=1&amp;query=37.70315905,-3.28657175", "https://www.google.com/maps/search/?api=1&amp;query=37.70315905,-3.28657175")</f>
      </c>
      <c r="P1039" s="9" t="s">
        <v>7674</v>
      </c>
      <c r="Q1039" s="9" t="s">
        <v>1131</v>
      </c>
    </row>
    <row r="1040" spans="1:17" x14ac:dyDescent="0.25">
      <c r="A1040" s="8" t="s">
        <v>4910</v>
      </c>
      <c r="B1040" s="8" t="s">
        <v>7675</v>
      </c>
      <c r="C1040" s="9" t="s">
        <v>7676</v>
      </c>
      <c r="D1040" s="9" t="s">
        <v>516</v>
      </c>
      <c r="E1040" s="9" t="s">
        <v>7677</v>
      </c>
      <c r="F1040" s="10">
        <v>1.378</v>
      </c>
      <c r="G1040" s="10">
        <v>1.515</v>
      </c>
      <c r="H1040" s="10"/>
      <c r="I1040" s="9" t="s">
        <v>140</v>
      </c>
      <c r="J1040" s="9" t="s">
        <v>7678</v>
      </c>
      <c r="K1040" s="9" t="s">
        <v>7679</v>
      </c>
      <c r="L1040" s="8" t="s">
        <v>7680</v>
      </c>
      <c r="M1040" s="9" t="s">
        <v>36</v>
      </c>
      <c r="N1040" s="9" t="s">
        <v>7681</v>
      </c>
      <c r="O1040" s="9">
        <f>HYPERLINK("https://www.google.com/maps/search/?api=1&amp;query=43.67445151,-7.42106626", "https://www.google.com/maps/search/?api=1&amp;query=43.67445151,-7.42106626")</f>
      </c>
      <c r="P1040" s="9" t="s">
        <v>78</v>
      </c>
      <c r="Q1040" s="9" t="s">
        <v>7682</v>
      </c>
    </row>
    <row r="1041" spans="1:17" x14ac:dyDescent="0.25">
      <c r="A1041" s="8" t="s">
        <v>7683</v>
      </c>
      <c r="B1041" s="8" t="s">
        <v>7684</v>
      </c>
      <c r="C1041" s="9" t="s">
        <v>7685</v>
      </c>
      <c r="D1041" s="9" t="s">
        <v>138</v>
      </c>
      <c r="E1041" s="9" t="s">
        <v>7686</v>
      </c>
      <c r="F1041" s="10">
        <v>1.378</v>
      </c>
      <c r="G1041" s="10">
        <v>1.515</v>
      </c>
      <c r="H1041" s="10"/>
      <c r="I1041" s="9" t="s">
        <v>140</v>
      </c>
      <c r="J1041" s="9" t="s">
        <v>7687</v>
      </c>
      <c r="K1041" s="9" t="s">
        <v>7688</v>
      </c>
      <c r="L1041" s="8" t="s">
        <v>7689</v>
      </c>
      <c r="M1041" s="9" t="s">
        <v>49</v>
      </c>
      <c r="N1041" s="9" t="s">
        <v>211</v>
      </c>
      <c r="O1041" s="9">
        <f>HYPERLINK("https://www.google.com/maps/search/?api=1&amp;query=42.1474033,-8.62254104", "https://www.google.com/maps/search/?api=1&amp;query=42.1474033,-8.62254104")</f>
      </c>
      <c r="P1041" s="9" t="s">
        <v>880</v>
      </c>
      <c r="Q1041" s="9" t="s">
        <v>7690</v>
      </c>
    </row>
    <row r="1042" spans="1:17" x14ac:dyDescent="0.25">
      <c r="A1042" s="8" t="s">
        <v>7691</v>
      </c>
      <c r="B1042" s="8" t="s">
        <v>7692</v>
      </c>
      <c r="C1042" s="9" t="s">
        <v>7693</v>
      </c>
      <c r="D1042" s="9" t="s">
        <v>808</v>
      </c>
      <c r="E1042" s="9" t="s">
        <v>7694</v>
      </c>
      <c r="F1042" s="10">
        <v>1.378</v>
      </c>
      <c r="G1042" s="10">
        <v>1.515</v>
      </c>
      <c r="H1042" s="10"/>
      <c r="I1042" s="9" t="s">
        <v>808</v>
      </c>
      <c r="J1042" s="9" t="s">
        <v>7695</v>
      </c>
      <c r="K1042" s="9" t="s">
        <v>7696</v>
      </c>
      <c r="L1042" s="8" t="s">
        <v>7697</v>
      </c>
      <c r="M1042" s="9" t="s">
        <v>49</v>
      </c>
      <c r="N1042" s="9" t="s">
        <v>122</v>
      </c>
      <c r="O1042" s="9">
        <f>HYPERLINK("https://www.google.com/maps/search/?api=1&amp;query=43.36169985,-3.85984926", "https://www.google.com/maps/search/?api=1&amp;query=43.36169985,-3.85984926")</f>
      </c>
      <c r="P1042" s="9" t="s">
        <v>3530</v>
      </c>
      <c r="Q1042" s="9" t="s">
        <v>7698</v>
      </c>
    </row>
    <row r="1043" spans="1:17" x14ac:dyDescent="0.25">
      <c r="A1043" s="8" t="s">
        <v>7699</v>
      </c>
      <c r="B1043" s="8" t="s">
        <v>7700</v>
      </c>
      <c r="C1043" s="9" t="s">
        <v>7701</v>
      </c>
      <c r="D1043" s="9" t="s">
        <v>2288</v>
      </c>
      <c r="E1043" s="9" t="s">
        <v>7702</v>
      </c>
      <c r="F1043" s="10">
        <v>1.378</v>
      </c>
      <c r="G1043" s="10">
        <v>1.515</v>
      </c>
      <c r="H1043" s="10"/>
      <c r="I1043" s="9" t="s">
        <v>168</v>
      </c>
      <c r="J1043" s="9" t="s">
        <v>7703</v>
      </c>
      <c r="K1043" s="9" t="s">
        <v>7704</v>
      </c>
      <c r="L1043" s="8" t="s">
        <v>7705</v>
      </c>
      <c r="M1043" s="9" t="s">
        <v>49</v>
      </c>
      <c r="N1043" s="9" t="s">
        <v>88</v>
      </c>
      <c r="O1043" s="9">
        <f>HYPERLINK("https://www.google.com/maps/search/?api=1&amp;query=38.87474302,-1.10021497", "https://www.google.com/maps/search/?api=1&amp;query=38.87474302,-1.10021497")</f>
      </c>
      <c r="P1043" s="9" t="s">
        <v>1268</v>
      </c>
      <c r="Q1043" s="9" t="s">
        <v>286</v>
      </c>
    </row>
    <row r="1044" spans="1:17" x14ac:dyDescent="0.25">
      <c r="A1044" s="8" t="s">
        <v>7706</v>
      </c>
      <c r="B1044" s="8" t="s">
        <v>7707</v>
      </c>
      <c r="C1044" s="9" t="s">
        <v>7708</v>
      </c>
      <c r="D1044" s="9" t="s">
        <v>253</v>
      </c>
      <c r="E1044" s="9" t="s">
        <v>7709</v>
      </c>
      <c r="F1044" s="10">
        <v>1.378</v>
      </c>
      <c r="G1044" s="10">
        <v>1.515</v>
      </c>
      <c r="H1044" s="10"/>
      <c r="I1044" s="9" t="s">
        <v>96</v>
      </c>
      <c r="J1044" s="9" t="s">
        <v>7710</v>
      </c>
      <c r="K1044" s="9" t="s">
        <v>7711</v>
      </c>
      <c r="L1044" s="8" t="s">
        <v>7712</v>
      </c>
      <c r="M1044" s="9" t="s">
        <v>100</v>
      </c>
      <c r="N1044" s="9" t="s">
        <v>7713</v>
      </c>
      <c r="O1044" s="9">
        <f>HYPERLINK("https://www.google.com/maps/search/?api=1&amp;query=41.2219595,0.54788005", "https://www.google.com/maps/search/?api=1&amp;query=41.2219595,0.54788005")</f>
      </c>
      <c r="P1044" s="9" t="s">
        <v>4183</v>
      </c>
      <c r="Q1044" s="9" t="s">
        <v>1131</v>
      </c>
    </row>
    <row r="1045" spans="1:17" x14ac:dyDescent="0.25">
      <c r="A1045" s="8" t="s">
        <v>7714</v>
      </c>
      <c r="B1045" s="8" t="s">
        <v>7715</v>
      </c>
      <c r="C1045" s="9" t="s">
        <v>7716</v>
      </c>
      <c r="D1045" s="9" t="s">
        <v>177</v>
      </c>
      <c r="E1045" s="9" t="s">
        <v>7717</v>
      </c>
      <c r="F1045" s="10">
        <v>1.378</v>
      </c>
      <c r="G1045" s="10">
        <v>1.515</v>
      </c>
      <c r="H1045" s="10"/>
      <c r="I1045" s="9" t="s">
        <v>74</v>
      </c>
      <c r="J1045" s="9" t="s">
        <v>7718</v>
      </c>
      <c r="K1045" s="9" t="s">
        <v>7719</v>
      </c>
      <c r="L1045" s="8" t="s">
        <v>7720</v>
      </c>
      <c r="M1045" s="9" t="s">
        <v>36</v>
      </c>
      <c r="N1045" s="9" t="s">
        <v>7721</v>
      </c>
      <c r="O1045" s="9">
        <f>HYPERLINK("https://www.google.com/maps/search/?api=1&amp;query=41.62388708,-4.36999843", "https://www.google.com/maps/search/?api=1&amp;query=41.62388708,-4.36999843")</f>
      </c>
      <c r="P1045" s="9" t="s">
        <v>880</v>
      </c>
      <c r="Q1045" s="9" t="s">
        <v>7722</v>
      </c>
    </row>
    <row r="1046" spans="1:17" x14ac:dyDescent="0.25">
      <c r="A1046" s="8" t="s">
        <v>7723</v>
      </c>
      <c r="B1046" s="8" t="s">
        <v>7724</v>
      </c>
      <c r="C1046" s="9" t="s">
        <v>7725</v>
      </c>
      <c r="D1046" s="9" t="s">
        <v>116</v>
      </c>
      <c r="E1046" s="9" t="s">
        <v>7726</v>
      </c>
      <c r="F1046" s="10">
        <v>1.378</v>
      </c>
      <c r="G1046" s="10">
        <v>1.515</v>
      </c>
      <c r="H1046" s="10"/>
      <c r="I1046" s="9" t="s">
        <v>118</v>
      </c>
      <c r="J1046" s="9" t="s">
        <v>7727</v>
      </c>
      <c r="K1046" s="9" t="s">
        <v>7728</v>
      </c>
      <c r="L1046" s="8" t="s">
        <v>7729</v>
      </c>
      <c r="M1046" s="9" t="s">
        <v>36</v>
      </c>
      <c r="N1046" s="9" t="s">
        <v>7730</v>
      </c>
      <c r="O1046" s="9">
        <f>HYPERLINK("https://www.google.com/maps/search/?api=1&amp;query=43.24728251,-2.97955803", "https://www.google.com/maps/search/?api=1&amp;query=43.24728251,-2.97955803")</f>
      </c>
      <c r="P1046" s="9" t="s">
        <v>1203</v>
      </c>
      <c r="Q1046" s="9" t="s">
        <v>2159</v>
      </c>
    </row>
    <row r="1047" spans="1:17" x14ac:dyDescent="0.25">
      <c r="A1047" s="8" t="s">
        <v>7731</v>
      </c>
      <c r="B1047" s="8" t="s">
        <v>7732</v>
      </c>
      <c r="C1047" s="9" t="s">
        <v>7733</v>
      </c>
      <c r="D1047" s="9" t="s">
        <v>400</v>
      </c>
      <c r="E1047" s="9" t="s">
        <v>400</v>
      </c>
      <c r="F1047" s="10">
        <v>1.378</v>
      </c>
      <c r="G1047" s="10">
        <v>1.515</v>
      </c>
      <c r="H1047" s="10"/>
      <c r="I1047" s="9" t="s">
        <v>400</v>
      </c>
      <c r="J1047" s="9" t="s">
        <v>7734</v>
      </c>
      <c r="K1047" s="9" t="s">
        <v>7735</v>
      </c>
      <c r="L1047" s="8" t="s">
        <v>7736</v>
      </c>
      <c r="M1047" s="9" t="s">
        <v>49</v>
      </c>
      <c r="N1047" s="9" t="s">
        <v>211</v>
      </c>
      <c r="O1047" s="9">
        <f>HYPERLINK("https://www.google.com/maps/search/?api=1&amp;query=39.48948819,-0.3609896", "https://www.google.com/maps/search/?api=1&amp;query=39.48948819,-0.3609896")</f>
      </c>
      <c r="P1047" s="9" t="s">
        <v>7737</v>
      </c>
      <c r="Q1047" s="9" t="s">
        <v>7458</v>
      </c>
    </row>
    <row r="1048" spans="1:17" x14ac:dyDescent="0.25">
      <c r="A1048" s="8" t="s">
        <v>7738</v>
      </c>
      <c r="B1048" s="8" t="s">
        <v>7739</v>
      </c>
      <c r="C1048" s="9" t="s">
        <v>7740</v>
      </c>
      <c r="D1048" s="9" t="s">
        <v>30</v>
      </c>
      <c r="E1048" s="9" t="s">
        <v>7741</v>
      </c>
      <c r="F1048" s="10">
        <v>1.378</v>
      </c>
      <c r="G1048" s="10">
        <v>1.515</v>
      </c>
      <c r="H1048" s="10"/>
      <c r="I1048" s="9" t="s">
        <v>32</v>
      </c>
      <c r="J1048" s="9" t="s">
        <v>7742</v>
      </c>
      <c r="K1048" s="9" t="s">
        <v>7743</v>
      </c>
      <c r="L1048" s="8" t="s">
        <v>7744</v>
      </c>
      <c r="M1048" s="9" t="s">
        <v>49</v>
      </c>
      <c r="N1048" s="9" t="s">
        <v>7745</v>
      </c>
      <c r="O1048" s="9">
        <f>HYPERLINK("https://www.google.com/maps/search/?api=1&amp;query=38.9655805,-5.85570966", "https://www.google.com/maps/search/?api=1&amp;query=38.9655805,-5.85570966")</f>
      </c>
      <c r="P1048" s="9" t="s">
        <v>7746</v>
      </c>
      <c r="Q1048" s="9" t="s">
        <v>7747</v>
      </c>
    </row>
    <row r="1049" spans="1:17" x14ac:dyDescent="0.25">
      <c r="A1049" s="8" t="s">
        <v>7748</v>
      </c>
      <c r="B1049" s="8" t="s">
        <v>7749</v>
      </c>
      <c r="C1049" s="9" t="s">
        <v>7750</v>
      </c>
      <c r="D1049" s="9" t="s">
        <v>187</v>
      </c>
      <c r="E1049" s="9" t="s">
        <v>7751</v>
      </c>
      <c r="F1049" s="10">
        <v>1.378</v>
      </c>
      <c r="G1049" s="10">
        <v>1.515</v>
      </c>
      <c r="H1049" s="10"/>
      <c r="I1049" s="9" t="s">
        <v>74</v>
      </c>
      <c r="J1049" s="9" t="s">
        <v>7752</v>
      </c>
      <c r="K1049" s="9" t="s">
        <v>7753</v>
      </c>
      <c r="L1049" s="8" t="s">
        <v>7754</v>
      </c>
      <c r="M1049" s="9" t="s">
        <v>100</v>
      </c>
      <c r="N1049" s="9" t="s">
        <v>37</v>
      </c>
      <c r="O1049" s="9">
        <f>HYPERLINK("https://www.google.com/maps/search/?api=1&amp;query=42.51725827,-6.12965842", "https://www.google.com/maps/search/?api=1&amp;query=42.51725827,-6.12965842")</f>
      </c>
      <c r="P1049" s="9" t="s">
        <v>646</v>
      </c>
      <c r="Q1049" s="9" t="s">
        <v>3744</v>
      </c>
    </row>
    <row r="1050" spans="1:17" x14ac:dyDescent="0.25">
      <c r="A1050" s="8" t="s">
        <v>7755</v>
      </c>
      <c r="B1050" s="8" t="s">
        <v>7756</v>
      </c>
      <c r="C1050" s="9" t="s">
        <v>7757</v>
      </c>
      <c r="D1050" s="9" t="s">
        <v>61</v>
      </c>
      <c r="E1050" s="9" t="s">
        <v>7758</v>
      </c>
      <c r="F1050" s="10">
        <v>1.378</v>
      </c>
      <c r="G1050" s="10">
        <v>1.515</v>
      </c>
      <c r="H1050" s="10"/>
      <c r="I1050" s="9" t="s">
        <v>45</v>
      </c>
      <c r="J1050" s="9" t="s">
        <v>7759</v>
      </c>
      <c r="K1050" s="9" t="s">
        <v>7760</v>
      </c>
      <c r="L1050" s="8" t="s">
        <v>7761</v>
      </c>
      <c r="M1050" s="9" t="s">
        <v>49</v>
      </c>
      <c r="N1050" s="9" t="s">
        <v>357</v>
      </c>
      <c r="O1050" s="9">
        <f>HYPERLINK("https://www.google.com/maps/search/?api=1&amp;query=37.63613916,-6.1477993", "https://www.google.com/maps/search/?api=1&amp;query=37.63613916,-6.1477993")</f>
      </c>
      <c r="P1050" s="9" t="s">
        <v>172</v>
      </c>
      <c r="Q1050" s="9" t="s">
        <v>874</v>
      </c>
    </row>
    <row r="1051" spans="1:17" x14ac:dyDescent="0.25">
      <c r="A1051" s="8" t="s">
        <v>7762</v>
      </c>
      <c r="B1051" s="8" t="s">
        <v>7763</v>
      </c>
      <c r="C1051" s="9" t="s">
        <v>7764</v>
      </c>
      <c r="D1051" s="9" t="s">
        <v>43</v>
      </c>
      <c r="E1051" s="9" t="s">
        <v>7765</v>
      </c>
      <c r="F1051" s="10">
        <v>1.378</v>
      </c>
      <c r="G1051" s="10">
        <v>1.515</v>
      </c>
      <c r="H1051" s="10"/>
      <c r="I1051" s="9" t="s">
        <v>45</v>
      </c>
      <c r="J1051" s="9" t="s">
        <v>7766</v>
      </c>
      <c r="K1051" s="9" t="s">
        <v>7767</v>
      </c>
      <c r="L1051" s="8" t="s">
        <v>7768</v>
      </c>
      <c r="M1051" s="9" t="s">
        <v>36</v>
      </c>
      <c r="N1051" s="9" t="s">
        <v>7769</v>
      </c>
      <c r="O1051" s="9">
        <f>HYPERLINK("https://www.google.com/maps/search/?api=1&amp;query=37.35111921,-6.598241", "https://www.google.com/maps/search/?api=1&amp;query=37.35111921,-6.598241")</f>
      </c>
      <c r="P1051" s="9" t="s">
        <v>38</v>
      </c>
      <c r="Q1051" s="9" t="s">
        <v>1131</v>
      </c>
    </row>
    <row r="1052" spans="1:17" x14ac:dyDescent="0.25">
      <c r="A1052" s="8" t="s">
        <v>7770</v>
      </c>
      <c r="B1052" s="8" t="s">
        <v>7771</v>
      </c>
      <c r="C1052" s="9" t="s">
        <v>7772</v>
      </c>
      <c r="D1052" s="9" t="s">
        <v>1560</v>
      </c>
      <c r="E1052" s="9" t="s">
        <v>7773</v>
      </c>
      <c r="F1052" s="10">
        <v>1.378</v>
      </c>
      <c r="G1052" s="10">
        <v>1.515</v>
      </c>
      <c r="H1052" s="10"/>
      <c r="I1052" s="9" t="s">
        <v>400</v>
      </c>
      <c r="J1052" s="9" t="s">
        <v>7774</v>
      </c>
      <c r="K1052" s="9" t="s">
        <v>7775</v>
      </c>
      <c r="L1052" s="8" t="s">
        <v>7776</v>
      </c>
      <c r="M1052" s="9" t="s">
        <v>49</v>
      </c>
      <c r="N1052" s="9" t="s">
        <v>7777</v>
      </c>
      <c r="O1052" s="9">
        <f>HYPERLINK("https://www.google.com/maps/search/?api=1&amp;query=40.41327279,0.40350366", "https://www.google.com/maps/search/?api=1&amp;query=40.41327279,0.40350366")</f>
      </c>
      <c r="P1052" s="9" t="s">
        <v>5569</v>
      </c>
      <c r="Q1052" s="9" t="s">
        <v>3657</v>
      </c>
    </row>
    <row r="1053" spans="1:17" x14ac:dyDescent="0.25">
      <c r="A1053" s="8" t="s">
        <v>7778</v>
      </c>
      <c r="B1053" s="8" t="s">
        <v>7779</v>
      </c>
      <c r="C1053" s="9" t="s">
        <v>7780</v>
      </c>
      <c r="D1053" s="9" t="s">
        <v>1192</v>
      </c>
      <c r="E1053" s="9" t="s">
        <v>7781</v>
      </c>
      <c r="F1053" s="10">
        <v>1.378</v>
      </c>
      <c r="G1053" s="10">
        <v>1.515</v>
      </c>
      <c r="H1053" s="10"/>
      <c r="I1053" s="9" t="s">
        <v>168</v>
      </c>
      <c r="J1053" s="9" t="s">
        <v>7782</v>
      </c>
      <c r="K1053" s="9" t="s">
        <v>7783</v>
      </c>
      <c r="L1053" s="8" t="s">
        <v>7784</v>
      </c>
      <c r="M1053" s="9" t="s">
        <v>36</v>
      </c>
      <c r="N1053" s="9" t="s">
        <v>122</v>
      </c>
      <c r="O1053" s="9">
        <f>HYPERLINK("https://www.google.com/maps/search/?api=1&amp;query=39.40120601,-3.11266009", "https://www.google.com/maps/search/?api=1&amp;query=39.40120601,-3.11266009")</f>
      </c>
      <c r="P1053" s="9" t="s">
        <v>7785</v>
      </c>
      <c r="Q1053" s="9" t="s">
        <v>7786</v>
      </c>
    </row>
    <row r="1054" spans="1:17" x14ac:dyDescent="0.25">
      <c r="A1054" s="8" t="s">
        <v>7787</v>
      </c>
      <c r="B1054" s="8" t="s">
        <v>7788</v>
      </c>
      <c r="C1054" s="9" t="s">
        <v>7789</v>
      </c>
      <c r="D1054" s="9" t="s">
        <v>424</v>
      </c>
      <c r="E1054" s="9" t="s">
        <v>7790</v>
      </c>
      <c r="F1054" s="10">
        <v>1.378</v>
      </c>
      <c r="G1054" s="10">
        <v>1.515</v>
      </c>
      <c r="H1054" s="10"/>
      <c r="I1054" s="9" t="s">
        <v>96</v>
      </c>
      <c r="J1054" s="9" t="s">
        <v>7791</v>
      </c>
      <c r="K1054" s="9" t="s">
        <v>7792</v>
      </c>
      <c r="L1054" s="8" t="s">
        <v>7793</v>
      </c>
      <c r="M1054" s="9" t="s">
        <v>49</v>
      </c>
      <c r="N1054" s="9" t="s">
        <v>88</v>
      </c>
      <c r="O1054" s="9">
        <f>HYPERLINK("https://www.google.com/maps/search/?api=1&amp;query=41.73313517,0.59122512", "https://www.google.com/maps/search/?api=1&amp;query=41.73313517,0.59122512")</f>
      </c>
      <c r="P1054" s="9" t="s">
        <v>1250</v>
      </c>
      <c r="Q1054" s="9" t="s">
        <v>7794</v>
      </c>
    </row>
    <row r="1055" spans="1:17" x14ac:dyDescent="0.25">
      <c r="A1055" s="8" t="s">
        <v>7795</v>
      </c>
      <c r="B1055" s="8" t="s">
        <v>7796</v>
      </c>
      <c r="C1055" s="9" t="s">
        <v>7797</v>
      </c>
      <c r="D1055" s="9" t="s">
        <v>128</v>
      </c>
      <c r="E1055" s="9" t="s">
        <v>2876</v>
      </c>
      <c r="F1055" s="10">
        <v>1.378</v>
      </c>
      <c r="G1055" s="10">
        <v>1.515</v>
      </c>
      <c r="H1055" s="10"/>
      <c r="I1055" s="9" t="s">
        <v>45</v>
      </c>
      <c r="J1055" s="9" t="s">
        <v>7798</v>
      </c>
      <c r="K1055" s="9" t="s">
        <v>7799</v>
      </c>
      <c r="L1055" s="8" t="s">
        <v>7800</v>
      </c>
      <c r="M1055" s="9" t="s">
        <v>49</v>
      </c>
      <c r="N1055" s="9" t="s">
        <v>122</v>
      </c>
      <c r="O1055" s="9">
        <f>HYPERLINK("https://www.google.com/maps/search/?api=1&amp;query=36.13342324,-5.45207392", "https://www.google.com/maps/search/?api=1&amp;query=36.13342324,-5.45207392")</f>
      </c>
      <c r="P1055" s="9" t="s">
        <v>965</v>
      </c>
      <c r="Q1055" s="9" t="s">
        <v>102</v>
      </c>
    </row>
    <row r="1056" spans="1:17" x14ac:dyDescent="0.25">
      <c r="A1056" s="8" t="s">
        <v>7801</v>
      </c>
      <c r="B1056" s="8" t="s">
        <v>7802</v>
      </c>
      <c r="C1056" s="9" t="s">
        <v>7803</v>
      </c>
      <c r="D1056" s="9" t="s">
        <v>155</v>
      </c>
      <c r="E1056" s="9" t="s">
        <v>7804</v>
      </c>
      <c r="F1056" s="10">
        <v>1.378</v>
      </c>
      <c r="G1056" s="10">
        <v>1.515</v>
      </c>
      <c r="H1056" s="10"/>
      <c r="I1056" s="9" t="s">
        <v>157</v>
      </c>
      <c r="J1056" s="9" t="s">
        <v>7805</v>
      </c>
      <c r="K1056" s="9" t="s">
        <v>7806</v>
      </c>
      <c r="L1056" s="8" t="s">
        <v>7807</v>
      </c>
      <c r="M1056" s="9" t="s">
        <v>36</v>
      </c>
      <c r="N1056" s="9" t="s">
        <v>37</v>
      </c>
      <c r="O1056" s="9">
        <f>HYPERLINK("https://www.google.com/maps/search/?api=1&amp;query=38.90548957,1.41796488", "https://www.google.com/maps/search/?api=1&amp;query=38.90548957,1.41796488")</f>
      </c>
      <c r="P1056" s="9" t="s">
        <v>1524</v>
      </c>
      <c r="Q1056" s="9" t="s">
        <v>6036</v>
      </c>
    </row>
    <row r="1057" spans="1:17" x14ac:dyDescent="0.25">
      <c r="A1057" s="8" t="s">
        <v>7808</v>
      </c>
      <c r="B1057" s="8" t="s">
        <v>7809</v>
      </c>
      <c r="C1057" s="9" t="s">
        <v>7810</v>
      </c>
      <c r="D1057" s="9" t="s">
        <v>2050</v>
      </c>
      <c r="E1057" s="9" t="s">
        <v>7811</v>
      </c>
      <c r="F1057" s="10">
        <v>1.378</v>
      </c>
      <c r="G1057" s="10">
        <v>1.515</v>
      </c>
      <c r="H1057" s="10"/>
      <c r="I1057" s="9" t="s">
        <v>140</v>
      </c>
      <c r="J1057" s="9" t="s">
        <v>7812</v>
      </c>
      <c r="K1057" s="9" t="s">
        <v>7813</v>
      </c>
      <c r="L1057" s="8" t="s">
        <v>7814</v>
      </c>
      <c r="M1057" s="9" t="s">
        <v>100</v>
      </c>
      <c r="N1057" s="9" t="s">
        <v>211</v>
      </c>
      <c r="O1057" s="9">
        <f>HYPERLINK("https://www.google.com/maps/search/?api=1&amp;query=42.07264985,-7.73197006", "https://www.google.com/maps/search/?api=1&amp;query=42.07264985,-7.73197006")</f>
      </c>
      <c r="P1057" s="9" t="s">
        <v>7815</v>
      </c>
      <c r="Q1057" s="9" t="s">
        <v>7816</v>
      </c>
    </row>
    <row r="1058" spans="1:17" x14ac:dyDescent="0.25">
      <c r="A1058" s="8" t="s">
        <v>7817</v>
      </c>
      <c r="B1058" s="8" t="s">
        <v>7818</v>
      </c>
      <c r="C1058" s="9" t="s">
        <v>7819</v>
      </c>
      <c r="D1058" s="9" t="s">
        <v>658</v>
      </c>
      <c r="E1058" s="9" t="s">
        <v>7820</v>
      </c>
      <c r="F1058" s="10">
        <v>1.378</v>
      </c>
      <c r="G1058" s="10">
        <v>1.515</v>
      </c>
      <c r="H1058" s="10"/>
      <c r="I1058" s="9" t="s">
        <v>45</v>
      </c>
      <c r="J1058" s="9" t="s">
        <v>7821</v>
      </c>
      <c r="K1058" s="9" t="s">
        <v>7822</v>
      </c>
      <c r="L1058" s="8" t="s">
        <v>7823</v>
      </c>
      <c r="M1058" s="9" t="s">
        <v>36</v>
      </c>
      <c r="N1058" s="9" t="s">
        <v>37</v>
      </c>
      <c r="O1058" s="9">
        <f>HYPERLINK("https://www.google.com/maps/search/?api=1&amp;query=36.79632233,-2.68657636", "https://www.google.com/maps/search/?api=1&amp;query=36.79632233,-2.68657636")</f>
      </c>
      <c r="P1058" s="9" t="s">
        <v>7824</v>
      </c>
      <c r="Q1058" s="9" t="s">
        <v>7825</v>
      </c>
    </row>
    <row r="1059" spans="1:17" x14ac:dyDescent="0.25">
      <c r="A1059" s="8" t="s">
        <v>7826</v>
      </c>
      <c r="B1059" s="8" t="s">
        <v>7827</v>
      </c>
      <c r="C1059" s="9" t="s">
        <v>7828</v>
      </c>
      <c r="D1059" s="9" t="s">
        <v>253</v>
      </c>
      <c r="E1059" s="9" t="s">
        <v>7829</v>
      </c>
      <c r="F1059" s="10">
        <v>1.378</v>
      </c>
      <c r="G1059" s="10">
        <v>1.515</v>
      </c>
      <c r="H1059" s="10"/>
      <c r="I1059" s="9" t="s">
        <v>96</v>
      </c>
      <c r="J1059" s="9" t="s">
        <v>7830</v>
      </c>
      <c r="K1059" s="9" t="s">
        <v>7831</v>
      </c>
      <c r="L1059" s="8" t="s">
        <v>7832</v>
      </c>
      <c r="M1059" s="9" t="s">
        <v>36</v>
      </c>
      <c r="N1059" s="9" t="s">
        <v>7833</v>
      </c>
      <c r="O1059" s="9">
        <f>HYPERLINK("https://www.google.com/maps/search/?api=1&amp;query=41.04779148,0.72979244", "https://www.google.com/maps/search/?api=1&amp;query=41.04779148,0.72979244")</f>
      </c>
      <c r="P1059" s="9" t="s">
        <v>7834</v>
      </c>
      <c r="Q1059" s="9" t="s">
        <v>3771</v>
      </c>
    </row>
    <row r="1060" spans="1:17" x14ac:dyDescent="0.25">
      <c r="A1060" s="8" t="s">
        <v>7835</v>
      </c>
      <c r="B1060" s="8" t="s">
        <v>7836</v>
      </c>
      <c r="C1060" s="9" t="s">
        <v>7837</v>
      </c>
      <c r="D1060" s="9" t="s">
        <v>409</v>
      </c>
      <c r="E1060" s="9" t="s">
        <v>7838</v>
      </c>
      <c r="F1060" s="10">
        <v>1.378</v>
      </c>
      <c r="G1060" s="10">
        <v>1.515</v>
      </c>
      <c r="H1060" s="10"/>
      <c r="I1060" s="9" t="s">
        <v>292</v>
      </c>
      <c r="J1060" s="9" t="s">
        <v>7839</v>
      </c>
      <c r="K1060" s="9" t="s">
        <v>7840</v>
      </c>
      <c r="L1060" s="8" t="s">
        <v>7841</v>
      </c>
      <c r="M1060" s="9" t="s">
        <v>49</v>
      </c>
      <c r="N1060" s="9" t="s">
        <v>7842</v>
      </c>
      <c r="O1060" s="9">
        <f>HYPERLINK("https://www.google.com/maps/search/?api=1&amp;query=41.69574734,-0.98959052", "https://www.google.com/maps/search/?api=1&amp;query=41.69574734,-0.98959052")</f>
      </c>
      <c r="P1060" s="9" t="s">
        <v>1645</v>
      </c>
      <c r="Q1060" s="9" t="s">
        <v>7843</v>
      </c>
    </row>
    <row r="1061" spans="1:17" x14ac:dyDescent="0.25">
      <c r="A1061" s="8" t="s">
        <v>7844</v>
      </c>
      <c r="B1061" s="8" t="s">
        <v>7845</v>
      </c>
      <c r="C1061" s="9" t="s">
        <v>7846</v>
      </c>
      <c r="D1061" s="9" t="s">
        <v>290</v>
      </c>
      <c r="E1061" s="9" t="s">
        <v>7847</v>
      </c>
      <c r="F1061" s="10">
        <v>1.378</v>
      </c>
      <c r="G1061" s="10">
        <v>1.515</v>
      </c>
      <c r="H1061" s="10"/>
      <c r="I1061" s="9" t="s">
        <v>292</v>
      </c>
      <c r="J1061" s="9" t="s">
        <v>7848</v>
      </c>
      <c r="K1061" s="9" t="s">
        <v>7849</v>
      </c>
      <c r="L1061" s="8" t="s">
        <v>7850</v>
      </c>
      <c r="M1061" s="9" t="s">
        <v>49</v>
      </c>
      <c r="N1061" s="9" t="s">
        <v>7851</v>
      </c>
      <c r="O1061" s="9">
        <f>HYPERLINK("https://www.google.com/maps/search/?api=1&amp;query=40.8313676,-0.79821901", "https://www.google.com/maps/search/?api=1&amp;query=40.8313676,-0.79821901")</f>
      </c>
      <c r="P1061" s="9" t="s">
        <v>38</v>
      </c>
      <c r="Q1061" s="9" t="s">
        <v>5306</v>
      </c>
    </row>
    <row r="1062" spans="1:17" x14ac:dyDescent="0.25">
      <c r="A1062" s="8" t="s">
        <v>7852</v>
      </c>
      <c r="B1062" s="8" t="s">
        <v>7853</v>
      </c>
      <c r="C1062" s="9" t="s">
        <v>7854</v>
      </c>
      <c r="D1062" s="9" t="s">
        <v>106</v>
      </c>
      <c r="E1062" s="9" t="s">
        <v>4840</v>
      </c>
      <c r="F1062" s="10">
        <v>1.378</v>
      </c>
      <c r="G1062" s="10">
        <v>1.515</v>
      </c>
      <c r="H1062" s="10"/>
      <c r="I1062" s="9" t="s">
        <v>106</v>
      </c>
      <c r="J1062" s="9" t="s">
        <v>7855</v>
      </c>
      <c r="K1062" s="9" t="s">
        <v>7856</v>
      </c>
      <c r="L1062" s="8" t="s">
        <v>4843</v>
      </c>
      <c r="M1062" s="9" t="s">
        <v>49</v>
      </c>
      <c r="N1062" s="9" t="s">
        <v>5141</v>
      </c>
      <c r="O1062" s="9">
        <f>HYPERLINK("https://www.google.com/maps/search/?api=1&amp;query=37.59975581,-1.65725515", "https://www.google.com/maps/search/?api=1&amp;query=37.59975581,-1.65725515")</f>
      </c>
      <c r="P1062" s="9" t="s">
        <v>7657</v>
      </c>
      <c r="Q1062" s="9" t="s">
        <v>7857</v>
      </c>
    </row>
    <row r="1063" spans="1:17" x14ac:dyDescent="0.25">
      <c r="A1063" s="8" t="s">
        <v>7858</v>
      </c>
      <c r="B1063" s="8" t="s">
        <v>7859</v>
      </c>
      <c r="C1063" s="9" t="s">
        <v>7860</v>
      </c>
      <c r="D1063" s="9" t="s">
        <v>2288</v>
      </c>
      <c r="E1063" s="9" t="s">
        <v>7232</v>
      </c>
      <c r="F1063" s="10">
        <v>1.378</v>
      </c>
      <c r="G1063" s="10">
        <v>1.515</v>
      </c>
      <c r="H1063" s="10"/>
      <c r="I1063" s="9" t="s">
        <v>168</v>
      </c>
      <c r="J1063" s="9" t="s">
        <v>7861</v>
      </c>
      <c r="K1063" s="9" t="s">
        <v>7862</v>
      </c>
      <c r="L1063" s="8" t="s">
        <v>7235</v>
      </c>
      <c r="M1063" s="9" t="s">
        <v>49</v>
      </c>
      <c r="N1063" s="9" t="s">
        <v>7863</v>
      </c>
      <c r="O1063" s="9">
        <f>HYPERLINK("https://www.google.com/maps/search/?api=1&amp;query=38.50500649,-1.70948244", "https://www.google.com/maps/search/?api=1&amp;query=38.50500649,-1.70948244")</f>
      </c>
      <c r="P1063" s="9" t="s">
        <v>258</v>
      </c>
      <c r="Q1063" s="9" t="s">
        <v>6009</v>
      </c>
    </row>
    <row r="1064" spans="1:17" x14ac:dyDescent="0.25">
      <c r="A1064" s="8" t="s">
        <v>7864</v>
      </c>
      <c r="B1064" s="8" t="s">
        <v>7865</v>
      </c>
      <c r="C1064" s="9" t="s">
        <v>7866</v>
      </c>
      <c r="D1064" s="9" t="s">
        <v>808</v>
      </c>
      <c r="E1064" s="9" t="s">
        <v>7867</v>
      </c>
      <c r="F1064" s="10">
        <v>1.378</v>
      </c>
      <c r="G1064" s="10">
        <v>1.515</v>
      </c>
      <c r="H1064" s="10"/>
      <c r="I1064" s="9" t="s">
        <v>808</v>
      </c>
      <c r="J1064" s="9" t="s">
        <v>7868</v>
      </c>
      <c r="K1064" s="9" t="s">
        <v>7869</v>
      </c>
      <c r="L1064" s="8" t="s">
        <v>7870</v>
      </c>
      <c r="M1064" s="9" t="s">
        <v>49</v>
      </c>
      <c r="N1064" s="9" t="s">
        <v>7871</v>
      </c>
      <c r="O1064" s="9">
        <f>HYPERLINK("https://www.google.com/maps/search/?api=1&amp;query=43.383593,-3.2208396", "https://www.google.com/maps/search/?api=1&amp;query=43.383593,-3.2208396")</f>
      </c>
      <c r="P1064" s="9" t="s">
        <v>2594</v>
      </c>
      <c r="Q1064" s="9" t="s">
        <v>1131</v>
      </c>
    </row>
    <row r="1065" spans="1:17" x14ac:dyDescent="0.25">
      <c r="A1065" s="8" t="s">
        <v>7872</v>
      </c>
      <c r="B1065" s="8" t="s">
        <v>7873</v>
      </c>
      <c r="C1065" s="9" t="s">
        <v>7874</v>
      </c>
      <c r="D1065" s="9" t="s">
        <v>1483</v>
      </c>
      <c r="E1065" s="9" t="s">
        <v>7875</v>
      </c>
      <c r="F1065" s="10">
        <v>1.378</v>
      </c>
      <c r="G1065" s="10">
        <v>1.515</v>
      </c>
      <c r="H1065" s="10"/>
      <c r="I1065" s="9" t="s">
        <v>74</v>
      </c>
      <c r="J1065" s="9" t="s">
        <v>7876</v>
      </c>
      <c r="K1065" s="9" t="s">
        <v>7877</v>
      </c>
      <c r="L1065" s="8" t="s">
        <v>7878</v>
      </c>
      <c r="M1065" s="9" t="s">
        <v>36</v>
      </c>
      <c r="N1065" s="9" t="s">
        <v>7879</v>
      </c>
      <c r="O1065" s="9">
        <f>HYPERLINK("https://www.google.com/maps/search/?api=1&amp;query=41.91576417,-3.75103591", "https://www.google.com/maps/search/?api=1&amp;query=41.91576417,-3.75103591")</f>
      </c>
      <c r="P1065" s="9" t="s">
        <v>7880</v>
      </c>
      <c r="Q1065" s="9" t="s">
        <v>7881</v>
      </c>
    </row>
    <row r="1066" spans="1:17" x14ac:dyDescent="0.25">
      <c r="A1066" s="8" t="s">
        <v>7882</v>
      </c>
      <c r="B1066" s="8" t="s">
        <v>7883</v>
      </c>
      <c r="C1066" s="9" t="s">
        <v>7884</v>
      </c>
      <c r="D1066" s="9" t="s">
        <v>379</v>
      </c>
      <c r="E1066" s="9" t="s">
        <v>7885</v>
      </c>
      <c r="F1066" s="10">
        <v>1.378</v>
      </c>
      <c r="G1066" s="10">
        <v>1.515</v>
      </c>
      <c r="H1066" s="10"/>
      <c r="I1066" s="9" t="s">
        <v>379</v>
      </c>
      <c r="J1066" s="9" t="s">
        <v>7886</v>
      </c>
      <c r="K1066" s="9" t="s">
        <v>7887</v>
      </c>
      <c r="L1066" s="8" t="s">
        <v>7888</v>
      </c>
      <c r="M1066" s="9" t="s">
        <v>36</v>
      </c>
      <c r="N1066" s="9" t="s">
        <v>7889</v>
      </c>
      <c r="O1066" s="9">
        <f>HYPERLINK("https://www.google.com/maps/search/?api=1&amp;query=42.53409885,-1.67064921", "https://www.google.com/maps/search/?api=1&amp;query=42.53409885,-1.67064921")</f>
      </c>
      <c r="P1066" s="9" t="s">
        <v>7890</v>
      </c>
      <c r="Q1066" s="9" t="s">
        <v>7891</v>
      </c>
    </row>
    <row r="1067" spans="1:17" x14ac:dyDescent="0.25">
      <c r="A1067" s="8" t="s">
        <v>7892</v>
      </c>
      <c r="B1067" s="8" t="s">
        <v>7893</v>
      </c>
      <c r="C1067" s="9" t="s">
        <v>7894</v>
      </c>
      <c r="D1067" s="9" t="s">
        <v>253</v>
      </c>
      <c r="E1067" s="9" t="s">
        <v>7895</v>
      </c>
      <c r="F1067" s="10">
        <v>1.378</v>
      </c>
      <c r="G1067" s="10">
        <v>1.515</v>
      </c>
      <c r="H1067" s="10"/>
      <c r="I1067" s="9" t="s">
        <v>96</v>
      </c>
      <c r="J1067" s="9" t="s">
        <v>7896</v>
      </c>
      <c r="K1067" s="9" t="s">
        <v>7897</v>
      </c>
      <c r="L1067" s="8" t="s">
        <v>7898</v>
      </c>
      <c r="M1067" s="9" t="s">
        <v>36</v>
      </c>
      <c r="N1067" s="9" t="s">
        <v>7899</v>
      </c>
      <c r="O1067" s="9">
        <f>HYPERLINK("https://www.google.com/maps/search/?api=1&amp;query=41.1090333,0.53599121", "https://www.google.com/maps/search/?api=1&amp;query=41.1090333,0.53599121")</f>
      </c>
      <c r="P1067" s="9" t="s">
        <v>7900</v>
      </c>
      <c r="Q1067" s="9" t="s">
        <v>7901</v>
      </c>
    </row>
    <row r="1068" spans="1:17" x14ac:dyDescent="0.25">
      <c r="A1068" s="8" t="s">
        <v>7902</v>
      </c>
      <c r="B1068" s="8" t="s">
        <v>7903</v>
      </c>
      <c r="C1068" s="9" t="s">
        <v>7904</v>
      </c>
      <c r="D1068" s="9" t="s">
        <v>290</v>
      </c>
      <c r="E1068" s="9" t="s">
        <v>7905</v>
      </c>
      <c r="F1068" s="10">
        <v>1.378</v>
      </c>
      <c r="G1068" s="10">
        <v>1.515</v>
      </c>
      <c r="H1068" s="10"/>
      <c r="I1068" s="9" t="s">
        <v>292</v>
      </c>
      <c r="J1068" s="9" t="s">
        <v>7906</v>
      </c>
      <c r="K1068" s="9" t="s">
        <v>7907</v>
      </c>
      <c r="L1068" s="8" t="s">
        <v>7908</v>
      </c>
      <c r="M1068" s="9" t="s">
        <v>36</v>
      </c>
      <c r="N1068" s="9" t="s">
        <v>66</v>
      </c>
      <c r="O1068" s="9">
        <f>HYPERLINK("https://www.google.com/maps/search/?api=1&amp;query=40.56429646,-1.28542786", "https://www.google.com/maps/search/?api=1&amp;query=40.56429646,-1.28542786")</f>
      </c>
      <c r="P1068" s="9" t="s">
        <v>646</v>
      </c>
      <c r="Q1068" s="9" t="s">
        <v>7909</v>
      </c>
    </row>
    <row r="1069" spans="1:17" x14ac:dyDescent="0.25">
      <c r="A1069" s="8" t="s">
        <v>7910</v>
      </c>
      <c r="B1069" s="8" t="s">
        <v>7911</v>
      </c>
      <c r="C1069" s="9" t="s">
        <v>7912</v>
      </c>
      <c r="D1069" s="9" t="s">
        <v>253</v>
      </c>
      <c r="E1069" s="9" t="s">
        <v>253</v>
      </c>
      <c r="F1069" s="10">
        <v>1.378</v>
      </c>
      <c r="G1069" s="10">
        <v>1.515</v>
      </c>
      <c r="H1069" s="10"/>
      <c r="I1069" s="9" t="s">
        <v>96</v>
      </c>
      <c r="J1069" s="9" t="s">
        <v>7913</v>
      </c>
      <c r="K1069" s="9" t="s">
        <v>7914</v>
      </c>
      <c r="L1069" s="8" t="s">
        <v>2631</v>
      </c>
      <c r="M1069" s="9" t="s">
        <v>49</v>
      </c>
      <c r="N1069" s="9" t="s">
        <v>7915</v>
      </c>
      <c r="O1069" s="9">
        <f>HYPERLINK("https://www.google.com/maps/search/?api=1&amp;query=41.14089115,1.23098226", "https://www.google.com/maps/search/?api=1&amp;query=41.14089115,1.23098226")</f>
      </c>
      <c r="P1069" s="9" t="s">
        <v>38</v>
      </c>
      <c r="Q1069" s="9" t="s">
        <v>7916</v>
      </c>
    </row>
    <row r="1070" spans="1:17" x14ac:dyDescent="0.25">
      <c r="A1070" s="8" t="s">
        <v>7917</v>
      </c>
      <c r="B1070" s="8" t="s">
        <v>7918</v>
      </c>
      <c r="C1070" s="9" t="s">
        <v>7919</v>
      </c>
      <c r="D1070" s="9" t="s">
        <v>398</v>
      </c>
      <c r="E1070" s="9" t="s">
        <v>398</v>
      </c>
      <c r="F1070" s="10">
        <v>1.378</v>
      </c>
      <c r="G1070" s="10">
        <v>1.515</v>
      </c>
      <c r="H1070" s="10"/>
      <c r="I1070" s="9" t="s">
        <v>400</v>
      </c>
      <c r="J1070" s="9" t="s">
        <v>7920</v>
      </c>
      <c r="K1070" s="9" t="s">
        <v>7921</v>
      </c>
      <c r="L1070" s="8" t="s">
        <v>7922</v>
      </c>
      <c r="M1070" s="9" t="s">
        <v>36</v>
      </c>
      <c r="N1070" s="9" t="s">
        <v>7923</v>
      </c>
      <c r="O1070" s="9">
        <f>HYPERLINK("https://www.google.com/maps/search/?api=1&amp;query=38.34494809,-0.52320626", "https://www.google.com/maps/search/?api=1&amp;query=38.34494809,-0.52320626")</f>
      </c>
      <c r="P1070" s="9" t="s">
        <v>266</v>
      </c>
      <c r="Q1070" s="9" t="s">
        <v>7924</v>
      </c>
    </row>
    <row r="1071" spans="1:17" x14ac:dyDescent="0.25">
      <c r="A1071" s="8" t="s">
        <v>7925</v>
      </c>
      <c r="B1071" s="8" t="s">
        <v>7926</v>
      </c>
      <c r="C1071" s="9" t="s">
        <v>7927</v>
      </c>
      <c r="D1071" s="9" t="s">
        <v>409</v>
      </c>
      <c r="E1071" s="9" t="s">
        <v>7637</v>
      </c>
      <c r="F1071" s="10">
        <v>1.378</v>
      </c>
      <c r="G1071" s="10">
        <v>1.515</v>
      </c>
      <c r="H1071" s="10"/>
      <c r="I1071" s="9" t="s">
        <v>292</v>
      </c>
      <c r="J1071" s="9" t="s">
        <v>7928</v>
      </c>
      <c r="K1071" s="9" t="s">
        <v>7929</v>
      </c>
      <c r="L1071" s="8" t="s">
        <v>7640</v>
      </c>
      <c r="M1071" s="9" t="s">
        <v>49</v>
      </c>
      <c r="N1071" s="9" t="s">
        <v>88</v>
      </c>
      <c r="O1071" s="9">
        <f>HYPERLINK("https://www.google.com/maps/search/?api=1&amp;query=41.76163632,-1.14948913", "https://www.google.com/maps/search/?api=1&amp;query=41.76163632,-1.14948913")</f>
      </c>
      <c r="P1071" s="9" t="s">
        <v>646</v>
      </c>
      <c r="Q1071" s="9" t="s">
        <v>7930</v>
      </c>
    </row>
    <row r="1072" spans="1:17" x14ac:dyDescent="0.25">
      <c r="A1072" s="8" t="s">
        <v>7931</v>
      </c>
      <c r="B1072" s="8" t="s">
        <v>7932</v>
      </c>
      <c r="C1072" s="9" t="s">
        <v>7933</v>
      </c>
      <c r="D1072" s="9" t="s">
        <v>631</v>
      </c>
      <c r="E1072" s="9" t="s">
        <v>1047</v>
      </c>
      <c r="F1072" s="10">
        <v>1.378</v>
      </c>
      <c r="G1072" s="10">
        <v>1.515</v>
      </c>
      <c r="H1072" s="10"/>
      <c r="I1072" s="9" t="s">
        <v>45</v>
      </c>
      <c r="J1072" s="9" t="s">
        <v>7934</v>
      </c>
      <c r="K1072" s="9" t="s">
        <v>7935</v>
      </c>
      <c r="L1072" s="8" t="s">
        <v>7936</v>
      </c>
      <c r="M1072" s="9" t="s">
        <v>100</v>
      </c>
      <c r="N1072" s="9" t="s">
        <v>88</v>
      </c>
      <c r="O1072" s="9">
        <f>HYPERLINK("https://www.google.com/maps/search/?api=1&amp;query=37.89732205,-4.74131705", "https://www.google.com/maps/search/?api=1&amp;query=37.89732205,-4.74131705")</f>
      </c>
      <c r="P1072" s="9" t="s">
        <v>1203</v>
      </c>
      <c r="Q1072" s="9" t="s">
        <v>7937</v>
      </c>
    </row>
    <row r="1073" spans="1:17" x14ac:dyDescent="0.25">
      <c r="A1073" s="8" t="s">
        <v>7938</v>
      </c>
      <c r="B1073" s="8" t="s">
        <v>7939</v>
      </c>
      <c r="C1073" s="9" t="s">
        <v>7940</v>
      </c>
      <c r="D1073" s="9" t="s">
        <v>1192</v>
      </c>
      <c r="E1073" s="9" t="s">
        <v>7315</v>
      </c>
      <c r="F1073" s="10">
        <v>1.378</v>
      </c>
      <c r="G1073" s="10">
        <v>1.515</v>
      </c>
      <c r="H1073" s="10"/>
      <c r="I1073" s="9" t="s">
        <v>168</v>
      </c>
      <c r="J1073" s="9" t="s">
        <v>7941</v>
      </c>
      <c r="K1073" s="9" t="s">
        <v>7942</v>
      </c>
      <c r="L1073" s="8" t="s">
        <v>7318</v>
      </c>
      <c r="M1073" s="9" t="s">
        <v>49</v>
      </c>
      <c r="N1073" s="9" t="s">
        <v>88</v>
      </c>
      <c r="O1073" s="9">
        <f>HYPERLINK("https://www.google.com/maps/search/?api=1&amp;query=39.16839472,-3.02279778", "https://www.google.com/maps/search/?api=1&amp;query=39.16839472,-3.02279778")</f>
      </c>
      <c r="P1073" s="9" t="s">
        <v>7943</v>
      </c>
      <c r="Q1073" s="9" t="s">
        <v>4948</v>
      </c>
    </row>
    <row r="1074" spans="1:17" x14ac:dyDescent="0.25">
      <c r="A1074" s="8" t="s">
        <v>7944</v>
      </c>
      <c r="B1074" s="8" t="s">
        <v>7945</v>
      </c>
      <c r="C1074" s="9" t="s">
        <v>7946</v>
      </c>
      <c r="D1074" s="9" t="s">
        <v>83</v>
      </c>
      <c r="E1074" s="9" t="s">
        <v>454</v>
      </c>
      <c r="F1074" s="10">
        <v>1.378</v>
      </c>
      <c r="G1074" s="10">
        <v>1.515</v>
      </c>
      <c r="H1074" s="10"/>
      <c r="I1074" s="9" t="s">
        <v>83</v>
      </c>
      <c r="J1074" s="9" t="s">
        <v>7947</v>
      </c>
      <c r="K1074" s="9" t="s">
        <v>7948</v>
      </c>
      <c r="L1074" s="8" t="s">
        <v>6364</v>
      </c>
      <c r="M1074" s="9" t="s">
        <v>36</v>
      </c>
      <c r="N1074" s="9" t="s">
        <v>88</v>
      </c>
      <c r="O1074" s="9">
        <f>HYPERLINK("https://www.google.com/maps/search/?api=1&amp;query=40.43417083,-3.53332532", "https://www.google.com/maps/search/?api=1&amp;query=40.43417083,-3.53332532")</f>
      </c>
      <c r="P1074" s="9" t="s">
        <v>38</v>
      </c>
      <c r="Q1074" s="9" t="s">
        <v>1092</v>
      </c>
    </row>
    <row r="1075" spans="1:17" x14ac:dyDescent="0.25">
      <c r="A1075" s="8" t="s">
        <v>7949</v>
      </c>
      <c r="B1075" s="8" t="s">
        <v>7950</v>
      </c>
      <c r="C1075" s="9" t="s">
        <v>7951</v>
      </c>
      <c r="D1075" s="9" t="s">
        <v>197</v>
      </c>
      <c r="E1075" s="9" t="s">
        <v>7952</v>
      </c>
      <c r="F1075" s="10">
        <v>1.378</v>
      </c>
      <c r="G1075" s="10">
        <v>1.515</v>
      </c>
      <c r="H1075" s="10"/>
      <c r="I1075" s="9" t="s">
        <v>168</v>
      </c>
      <c r="J1075" s="9" t="s">
        <v>7953</v>
      </c>
      <c r="K1075" s="9" t="s">
        <v>7954</v>
      </c>
      <c r="L1075" s="8" t="s">
        <v>7955</v>
      </c>
      <c r="M1075" s="9" t="s">
        <v>36</v>
      </c>
      <c r="N1075" s="9" t="s">
        <v>37</v>
      </c>
      <c r="O1075" s="9">
        <f>HYPERLINK("https://www.google.com/maps/search/?api=1&amp;query=39.37845483,-3.49575196", "https://www.google.com/maps/search/?api=1&amp;query=39.37845483,-3.49575196")</f>
      </c>
      <c r="P1075" s="9" t="s">
        <v>1250</v>
      </c>
      <c r="Q1075" s="9" t="s">
        <v>7556</v>
      </c>
    </row>
    <row r="1076" spans="1:17" x14ac:dyDescent="0.25">
      <c r="A1076" s="8" t="s">
        <v>7956</v>
      </c>
      <c r="B1076" s="8" t="s">
        <v>7957</v>
      </c>
      <c r="C1076" s="9" t="s">
        <v>7958</v>
      </c>
      <c r="D1076" s="9" t="s">
        <v>398</v>
      </c>
      <c r="E1076" s="9" t="s">
        <v>398</v>
      </c>
      <c r="F1076" s="10">
        <v>1.378</v>
      </c>
      <c r="G1076" s="10">
        <v>1.515</v>
      </c>
      <c r="H1076" s="10"/>
      <c r="I1076" s="9" t="s">
        <v>400</v>
      </c>
      <c r="J1076" s="9" t="s">
        <v>7959</v>
      </c>
      <c r="K1076" s="9" t="s">
        <v>7960</v>
      </c>
      <c r="L1076" s="8" t="s">
        <v>571</v>
      </c>
      <c r="M1076" s="9" t="s">
        <v>36</v>
      </c>
      <c r="N1076" s="9" t="s">
        <v>88</v>
      </c>
      <c r="O1076" s="9">
        <f>HYPERLINK("https://www.google.com/maps/search/?api=1&amp;query=38.37523968,-0.49945381", "https://www.google.com/maps/search/?api=1&amp;query=38.37523968,-0.49945381")</f>
      </c>
      <c r="P1076" s="9" t="s">
        <v>7961</v>
      </c>
      <c r="Q1076" s="9" t="s">
        <v>2959</v>
      </c>
    </row>
    <row r="1077" spans="1:17" x14ac:dyDescent="0.25">
      <c r="A1077" s="8" t="s">
        <v>7962</v>
      </c>
      <c r="B1077" s="8" t="s">
        <v>7963</v>
      </c>
      <c r="C1077" s="9" t="s">
        <v>7964</v>
      </c>
      <c r="D1077" s="9" t="s">
        <v>3841</v>
      </c>
      <c r="E1077" s="9" t="s">
        <v>7965</v>
      </c>
      <c r="F1077" s="10">
        <v>1.378</v>
      </c>
      <c r="G1077" s="10">
        <v>1.515</v>
      </c>
      <c r="H1077" s="10"/>
      <c r="I1077" s="9" t="s">
        <v>74</v>
      </c>
      <c r="J1077" s="9" t="s">
        <v>7966</v>
      </c>
      <c r="K1077" s="9" t="s">
        <v>7967</v>
      </c>
      <c r="L1077" s="8" t="s">
        <v>7968</v>
      </c>
      <c r="M1077" s="9" t="s">
        <v>36</v>
      </c>
      <c r="N1077" s="9" t="s">
        <v>1130</v>
      </c>
      <c r="O1077" s="9">
        <f>HYPERLINK("https://www.google.com/maps/search/?api=1&amp;query=41.8312235,-3.05620201", "https://www.google.com/maps/search/?api=1&amp;query=41.8312235,-3.05620201")</f>
      </c>
      <c r="P1077" s="9" t="s">
        <v>7785</v>
      </c>
      <c r="Q1077" s="9" t="s">
        <v>874</v>
      </c>
    </row>
    <row r="1078" spans="1:17" x14ac:dyDescent="0.25">
      <c r="A1078" s="8" t="s">
        <v>7969</v>
      </c>
      <c r="B1078" s="8" t="s">
        <v>7970</v>
      </c>
      <c r="C1078" s="9" t="s">
        <v>7971</v>
      </c>
      <c r="D1078" s="9" t="s">
        <v>658</v>
      </c>
      <c r="E1078" s="9" t="s">
        <v>7972</v>
      </c>
      <c r="F1078" s="10">
        <v>1.378</v>
      </c>
      <c r="G1078" s="10">
        <v>1.515</v>
      </c>
      <c r="H1078" s="10"/>
      <c r="I1078" s="9" t="s">
        <v>45</v>
      </c>
      <c r="J1078" s="9" t="s">
        <v>7973</v>
      </c>
      <c r="K1078" s="9" t="s">
        <v>7974</v>
      </c>
      <c r="L1078" s="8" t="s">
        <v>7975</v>
      </c>
      <c r="M1078" s="9" t="s">
        <v>36</v>
      </c>
      <c r="N1078" s="9" t="s">
        <v>37</v>
      </c>
      <c r="O1078" s="9">
        <f>HYPERLINK("https://www.google.com/maps/search/?api=1&amp;query=36.88334603,-2.42051784", "https://www.google.com/maps/search/?api=1&amp;query=36.88334603,-2.42051784")</f>
      </c>
      <c r="P1078" s="9" t="s">
        <v>1439</v>
      </c>
      <c r="Q1078" s="9" t="s">
        <v>1131</v>
      </c>
    </row>
    <row r="1079" spans="1:17" x14ac:dyDescent="0.25">
      <c r="A1079" s="8" t="s">
        <v>7976</v>
      </c>
      <c r="B1079" s="8" t="s">
        <v>7977</v>
      </c>
      <c r="C1079" s="9" t="s">
        <v>7978</v>
      </c>
      <c r="D1079" s="9" t="s">
        <v>197</v>
      </c>
      <c r="E1079" s="9" t="s">
        <v>7979</v>
      </c>
      <c r="F1079" s="10">
        <v>1.378</v>
      </c>
      <c r="G1079" s="10">
        <v>1.515</v>
      </c>
      <c r="H1079" s="10"/>
      <c r="I1079" s="9" t="s">
        <v>168</v>
      </c>
      <c r="J1079" s="9" t="s">
        <v>7980</v>
      </c>
      <c r="K1079" s="9" t="s">
        <v>7981</v>
      </c>
      <c r="L1079" s="8" t="s">
        <v>7982</v>
      </c>
      <c r="M1079" s="9" t="s">
        <v>100</v>
      </c>
      <c r="N1079" s="9" t="s">
        <v>7983</v>
      </c>
      <c r="O1079" s="9">
        <f>HYPERLINK("https://www.google.com/maps/search/?api=1&amp;query=40.01477284,-3.80501872", "https://www.google.com/maps/search/?api=1&amp;query=40.01477284,-3.80501872")</f>
      </c>
      <c r="P1079" s="9" t="s">
        <v>172</v>
      </c>
      <c r="Q1079" s="9" t="s">
        <v>7984</v>
      </c>
    </row>
    <row r="1080" spans="1:17" x14ac:dyDescent="0.25">
      <c r="A1080" s="8" t="s">
        <v>7985</v>
      </c>
      <c r="B1080" s="8" t="s">
        <v>7986</v>
      </c>
      <c r="C1080" s="9" t="s">
        <v>7987</v>
      </c>
      <c r="D1080" s="9" t="s">
        <v>61</v>
      </c>
      <c r="E1080" s="9" t="s">
        <v>2813</v>
      </c>
      <c r="F1080" s="10">
        <v>1.378</v>
      </c>
      <c r="G1080" s="10">
        <v>1.515</v>
      </c>
      <c r="H1080" s="10"/>
      <c r="I1080" s="9" t="s">
        <v>45</v>
      </c>
      <c r="J1080" s="9" t="s">
        <v>7988</v>
      </c>
      <c r="K1080" s="9" t="s">
        <v>7989</v>
      </c>
      <c r="L1080" s="8" t="s">
        <v>2816</v>
      </c>
      <c r="M1080" s="9" t="s">
        <v>49</v>
      </c>
      <c r="N1080" s="9" t="s">
        <v>7990</v>
      </c>
      <c r="O1080" s="9">
        <f>HYPERLINK("https://www.google.com/maps/search/?api=1&amp;query=37.46489813,-5.65109817", "https://www.google.com/maps/search/?api=1&amp;query=37.46489813,-5.65109817")</f>
      </c>
      <c r="P1080" s="9" t="s">
        <v>7991</v>
      </c>
      <c r="Q1080" s="9" t="s">
        <v>3771</v>
      </c>
    </row>
    <row r="1081" spans="1:17" x14ac:dyDescent="0.25">
      <c r="A1081" s="8" t="s">
        <v>7992</v>
      </c>
      <c r="B1081" s="8" t="s">
        <v>7993</v>
      </c>
      <c r="C1081" s="9" t="s">
        <v>7994</v>
      </c>
      <c r="D1081" s="9" t="s">
        <v>424</v>
      </c>
      <c r="E1081" s="9" t="s">
        <v>7995</v>
      </c>
      <c r="F1081" s="10">
        <v>1.378</v>
      </c>
      <c r="G1081" s="10">
        <v>1.515</v>
      </c>
      <c r="H1081" s="10"/>
      <c r="I1081" s="9" t="s">
        <v>96</v>
      </c>
      <c r="J1081" s="9" t="s">
        <v>7996</v>
      </c>
      <c r="K1081" s="9" t="s">
        <v>7997</v>
      </c>
      <c r="L1081" s="8" t="s">
        <v>7998</v>
      </c>
      <c r="M1081" s="9" t="s">
        <v>49</v>
      </c>
      <c r="N1081" s="9" t="s">
        <v>873</v>
      </c>
      <c r="O1081" s="9">
        <f>HYPERLINK("https://www.google.com/maps/search/?api=1&amp;query=41.64713754,1.10303563", "https://www.google.com/maps/search/?api=1&amp;query=41.64713754,1.10303563")</f>
      </c>
      <c r="P1081" s="9" t="s">
        <v>4183</v>
      </c>
      <c r="Q1081" s="9" t="s">
        <v>7999</v>
      </c>
    </row>
    <row r="1082" spans="1:17" x14ac:dyDescent="0.25">
      <c r="A1082" s="8" t="s">
        <v>8000</v>
      </c>
      <c r="B1082" s="8" t="s">
        <v>8001</v>
      </c>
      <c r="C1082" s="9" t="s">
        <v>8002</v>
      </c>
      <c r="D1082" s="9" t="s">
        <v>1560</v>
      </c>
      <c r="E1082" s="9" t="s">
        <v>8003</v>
      </c>
      <c r="F1082" s="10">
        <v>1.378</v>
      </c>
      <c r="G1082" s="10">
        <v>1.515</v>
      </c>
      <c r="H1082" s="10"/>
      <c r="I1082" s="9" t="s">
        <v>400</v>
      </c>
      <c r="J1082" s="9" t="s">
        <v>8004</v>
      </c>
      <c r="K1082" s="9" t="s">
        <v>8005</v>
      </c>
      <c r="L1082" s="8" t="s">
        <v>8006</v>
      </c>
      <c r="M1082" s="9" t="s">
        <v>100</v>
      </c>
      <c r="N1082" s="9" t="s">
        <v>122</v>
      </c>
      <c r="O1082" s="9">
        <f>HYPERLINK("https://www.google.com/maps/search/?api=1&amp;query=40.60960271,-0.09454278", "https://www.google.com/maps/search/?api=1&amp;query=40.60960271,-0.09454278")</f>
      </c>
      <c r="P1082" s="9" t="s">
        <v>8007</v>
      </c>
      <c r="Q1082" s="9" t="s">
        <v>3744</v>
      </c>
    </row>
    <row r="1083" spans="1:17" x14ac:dyDescent="0.25">
      <c r="A1083" s="8" t="s">
        <v>8008</v>
      </c>
      <c r="B1083" s="8" t="s">
        <v>8009</v>
      </c>
      <c r="C1083" s="9" t="s">
        <v>8010</v>
      </c>
      <c r="D1083" s="9" t="s">
        <v>400</v>
      </c>
      <c r="E1083" s="9" t="s">
        <v>400</v>
      </c>
      <c r="F1083" s="10">
        <v>1.378</v>
      </c>
      <c r="G1083" s="10">
        <v>1.515</v>
      </c>
      <c r="H1083" s="10"/>
      <c r="I1083" s="9" t="s">
        <v>400</v>
      </c>
      <c r="J1083" s="9" t="s">
        <v>8011</v>
      </c>
      <c r="K1083" s="9" t="s">
        <v>8012</v>
      </c>
      <c r="L1083" s="8" t="s">
        <v>8013</v>
      </c>
      <c r="M1083" s="9" t="s">
        <v>49</v>
      </c>
      <c r="N1083" s="9" t="s">
        <v>8014</v>
      </c>
      <c r="O1083" s="9">
        <f>HYPERLINK("https://www.google.com/maps/search/?api=1&amp;query=39.47442262,-0.38390458", "https://www.google.com/maps/search/?api=1&amp;query=39.47442262,-0.38390458")</f>
      </c>
      <c r="P1083" s="9" t="s">
        <v>1439</v>
      </c>
      <c r="Q1083" s="9" t="s">
        <v>1131</v>
      </c>
    </row>
    <row r="1084" spans="1:17" x14ac:dyDescent="0.25">
      <c r="A1084" s="8" t="s">
        <v>8015</v>
      </c>
      <c r="B1084" s="8" t="s">
        <v>8016</v>
      </c>
      <c r="C1084" s="9" t="s">
        <v>8017</v>
      </c>
      <c r="D1084" s="9" t="s">
        <v>2288</v>
      </c>
      <c r="E1084" s="9" t="s">
        <v>5369</v>
      </c>
      <c r="F1084" s="10">
        <v>1.378</v>
      </c>
      <c r="G1084" s="10">
        <v>1.515</v>
      </c>
      <c r="H1084" s="10"/>
      <c r="I1084" s="9" t="s">
        <v>168</v>
      </c>
      <c r="J1084" s="9" t="s">
        <v>8018</v>
      </c>
      <c r="K1084" s="9" t="s">
        <v>8019</v>
      </c>
      <c r="L1084" s="8" t="s">
        <v>5372</v>
      </c>
      <c r="M1084" s="9" t="s">
        <v>100</v>
      </c>
      <c r="N1084" s="9" t="s">
        <v>1695</v>
      </c>
      <c r="O1084" s="9">
        <f>HYPERLINK("https://www.google.com/maps/search/?api=1&amp;query=39.10763149,-1.99040639", "https://www.google.com/maps/search/?api=1&amp;query=39.10763149,-1.99040639")</f>
      </c>
      <c r="P1084" s="9" t="s">
        <v>2442</v>
      </c>
      <c r="Q1084" s="9" t="s">
        <v>7794</v>
      </c>
    </row>
    <row r="1085" spans="1:17" x14ac:dyDescent="0.25">
      <c r="A1085" s="8" t="s">
        <v>8020</v>
      </c>
      <c r="B1085" s="8" t="s">
        <v>8021</v>
      </c>
      <c r="C1085" s="9" t="s">
        <v>8022</v>
      </c>
      <c r="D1085" s="9" t="s">
        <v>379</v>
      </c>
      <c r="E1085" s="9" t="s">
        <v>6136</v>
      </c>
      <c r="F1085" s="10">
        <v>1.378</v>
      </c>
      <c r="G1085" s="10">
        <v>1.515</v>
      </c>
      <c r="H1085" s="10"/>
      <c r="I1085" s="9" t="s">
        <v>379</v>
      </c>
      <c r="J1085" s="9" t="s">
        <v>8023</v>
      </c>
      <c r="K1085" s="9" t="s">
        <v>8024</v>
      </c>
      <c r="L1085" s="8" t="s">
        <v>6139</v>
      </c>
      <c r="M1085" s="9" t="s">
        <v>49</v>
      </c>
      <c r="N1085" s="9" t="s">
        <v>37</v>
      </c>
      <c r="O1085" s="9">
        <f>HYPERLINK("https://www.google.com/maps/search/?api=1&amp;query=42.05246635,-1.59683539", "https://www.google.com/maps/search/?api=1&amp;query=42.05246635,-1.59683539")</f>
      </c>
      <c r="P1085" s="9" t="s">
        <v>5004</v>
      </c>
      <c r="Q1085" s="9" t="s">
        <v>8025</v>
      </c>
    </row>
    <row r="1086" spans="1:17" x14ac:dyDescent="0.25">
      <c r="A1086" s="8" t="s">
        <v>8026</v>
      </c>
      <c r="B1086" s="8" t="s">
        <v>8027</v>
      </c>
      <c r="C1086" s="9" t="s">
        <v>8028</v>
      </c>
      <c r="D1086" s="9" t="s">
        <v>94</v>
      </c>
      <c r="E1086" s="9" t="s">
        <v>8029</v>
      </c>
      <c r="F1086" s="10">
        <v>1.378</v>
      </c>
      <c r="G1086" s="10">
        <v>1.515</v>
      </c>
      <c r="H1086" s="10"/>
      <c r="I1086" s="9" t="s">
        <v>96</v>
      </c>
      <c r="J1086" s="9" t="s">
        <v>8030</v>
      </c>
      <c r="K1086" s="9" t="s">
        <v>8031</v>
      </c>
      <c r="L1086" s="8" t="s">
        <v>8032</v>
      </c>
      <c r="M1086" s="9" t="s">
        <v>49</v>
      </c>
      <c r="N1086" s="9" t="s">
        <v>1130</v>
      </c>
      <c r="O1086" s="9">
        <f>HYPERLINK("https://www.google.com/maps/search/?api=1&amp;query=41.58095285,1.60841183", "https://www.google.com/maps/search/?api=1&amp;query=41.58095285,1.60841183")</f>
      </c>
      <c r="P1086" s="9" t="s">
        <v>240</v>
      </c>
      <c r="Q1086" s="9" t="s">
        <v>102</v>
      </c>
    </row>
    <row r="1087" spans="1:17" x14ac:dyDescent="0.25">
      <c r="A1087" s="8" t="s">
        <v>8033</v>
      </c>
      <c r="B1087" s="8" t="s">
        <v>8034</v>
      </c>
      <c r="C1087" s="9" t="s">
        <v>8035</v>
      </c>
      <c r="D1087" s="9" t="s">
        <v>444</v>
      </c>
      <c r="E1087" s="9" t="s">
        <v>8036</v>
      </c>
      <c r="F1087" s="10">
        <v>1.378</v>
      </c>
      <c r="G1087" s="10">
        <v>1.515</v>
      </c>
      <c r="H1087" s="10"/>
      <c r="I1087" s="9" t="s">
        <v>444</v>
      </c>
      <c r="J1087" s="9" t="s">
        <v>8037</v>
      </c>
      <c r="K1087" s="9" t="s">
        <v>8038</v>
      </c>
      <c r="L1087" s="8" t="s">
        <v>8039</v>
      </c>
      <c r="M1087" s="9" t="s">
        <v>49</v>
      </c>
      <c r="N1087" s="9" t="s">
        <v>8040</v>
      </c>
      <c r="O1087" s="9">
        <f>HYPERLINK("https://www.google.com/maps/search/?api=1&amp;query=43.54617103,-5.90544676", "https://www.google.com/maps/search/?api=1&amp;query=43.54617103,-5.90544676")</f>
      </c>
      <c r="P1087" s="9" t="s">
        <v>1373</v>
      </c>
      <c r="Q1087" s="9" t="s">
        <v>2641</v>
      </c>
    </row>
    <row r="1088" spans="1:17" x14ac:dyDescent="0.25">
      <c r="A1088" s="8" t="s">
        <v>8041</v>
      </c>
      <c r="B1088" s="8" t="s">
        <v>8042</v>
      </c>
      <c r="C1088" s="9" t="s">
        <v>8043</v>
      </c>
      <c r="D1088" s="9" t="s">
        <v>409</v>
      </c>
      <c r="E1088" s="9" t="s">
        <v>8044</v>
      </c>
      <c r="F1088" s="10">
        <v>1.378</v>
      </c>
      <c r="G1088" s="10">
        <v>1.515</v>
      </c>
      <c r="H1088" s="10"/>
      <c r="I1088" s="9" t="s">
        <v>292</v>
      </c>
      <c r="J1088" s="9" t="s">
        <v>8045</v>
      </c>
      <c r="K1088" s="9" t="s">
        <v>8046</v>
      </c>
      <c r="L1088" s="8" t="s">
        <v>8047</v>
      </c>
      <c r="M1088" s="9" t="s">
        <v>100</v>
      </c>
      <c r="N1088" s="9" t="s">
        <v>3164</v>
      </c>
      <c r="O1088" s="9">
        <f>HYPERLINK("https://www.google.com/maps/search/?api=1&amp;query=41.76308257,-1.47525812", "https://www.google.com/maps/search/?api=1&amp;query=41.76308257,-1.47525812")</f>
      </c>
      <c r="P1088" s="9" t="s">
        <v>7657</v>
      </c>
      <c r="Q1088" s="9" t="s">
        <v>1131</v>
      </c>
    </row>
    <row r="1089" spans="1:17" x14ac:dyDescent="0.25">
      <c r="A1089" s="8" t="s">
        <v>8048</v>
      </c>
      <c r="B1089" s="8" t="s">
        <v>8049</v>
      </c>
      <c r="C1089" s="9" t="s">
        <v>8050</v>
      </c>
      <c r="D1089" s="9" t="s">
        <v>1282</v>
      </c>
      <c r="E1089" s="9" t="s">
        <v>8051</v>
      </c>
      <c r="F1089" s="10">
        <v>1.378</v>
      </c>
      <c r="G1089" s="10">
        <v>1.515</v>
      </c>
      <c r="H1089" s="10"/>
      <c r="I1089" s="9" t="s">
        <v>45</v>
      </c>
      <c r="J1089" s="9" t="s">
        <v>8052</v>
      </c>
      <c r="K1089" s="9" t="s">
        <v>8053</v>
      </c>
      <c r="L1089" s="8" t="s">
        <v>8054</v>
      </c>
      <c r="M1089" s="9" t="s">
        <v>36</v>
      </c>
      <c r="N1089" s="9" t="s">
        <v>556</v>
      </c>
      <c r="O1089" s="9">
        <f>HYPERLINK("https://www.google.com/maps/search/?api=1&amp;query=37.16384493,-4.07659777", "https://www.google.com/maps/search/?api=1&amp;query=37.16384493,-4.07659777")</f>
      </c>
      <c r="P1089" s="9" t="s">
        <v>583</v>
      </c>
      <c r="Q1089" s="9" t="s">
        <v>8055</v>
      </c>
    </row>
    <row r="1090" spans="1:17" x14ac:dyDescent="0.25">
      <c r="A1090" s="8" t="s">
        <v>8056</v>
      </c>
      <c r="B1090" s="8" t="s">
        <v>8057</v>
      </c>
      <c r="C1090" s="9" t="s">
        <v>8058</v>
      </c>
      <c r="D1090" s="9" t="s">
        <v>400</v>
      </c>
      <c r="E1090" s="9" t="s">
        <v>2022</v>
      </c>
      <c r="F1090" s="10">
        <v>1.378</v>
      </c>
      <c r="G1090" s="10">
        <v>1.515</v>
      </c>
      <c r="H1090" s="10"/>
      <c r="I1090" s="9" t="s">
        <v>400</v>
      </c>
      <c r="J1090" s="9" t="s">
        <v>8059</v>
      </c>
      <c r="K1090" s="9" t="s">
        <v>8060</v>
      </c>
      <c r="L1090" s="8" t="s">
        <v>2025</v>
      </c>
      <c r="M1090" s="9" t="s">
        <v>36</v>
      </c>
      <c r="N1090" s="9" t="s">
        <v>873</v>
      </c>
      <c r="O1090" s="9">
        <f>HYPERLINK("https://www.google.com/maps/search/?api=1&amp;query=39.5851238,-0.32410193", "https://www.google.com/maps/search/?api=1&amp;query=39.5851238,-0.32410193")</f>
      </c>
      <c r="P1090" s="9" t="s">
        <v>8061</v>
      </c>
      <c r="Q1090" s="9" t="s">
        <v>8062</v>
      </c>
    </row>
    <row r="1091" spans="1:17" x14ac:dyDescent="0.25">
      <c r="A1091" s="8" t="s">
        <v>8063</v>
      </c>
      <c r="B1091" s="8" t="s">
        <v>8064</v>
      </c>
      <c r="C1091" s="9" t="s">
        <v>8065</v>
      </c>
      <c r="D1091" s="9" t="s">
        <v>290</v>
      </c>
      <c r="E1091" s="9" t="s">
        <v>8066</v>
      </c>
      <c r="F1091" s="10">
        <v>1.378</v>
      </c>
      <c r="G1091" s="10">
        <v>1.515</v>
      </c>
      <c r="H1091" s="10"/>
      <c r="I1091" s="9" t="s">
        <v>292</v>
      </c>
      <c r="J1091" s="9" t="s">
        <v>8067</v>
      </c>
      <c r="K1091" s="9" t="s">
        <v>8068</v>
      </c>
      <c r="L1091" s="8" t="s">
        <v>8069</v>
      </c>
      <c r="M1091" s="9" t="s">
        <v>49</v>
      </c>
      <c r="N1091" s="9" t="s">
        <v>8070</v>
      </c>
      <c r="O1091" s="9">
        <f>HYPERLINK("https://www.google.com/maps/search/?api=1&amp;query=41.05284782,-0.15280505", "https://www.google.com/maps/search/?api=1&amp;query=41.05284782,-0.15280505")</f>
      </c>
      <c r="P1091" s="9" t="s">
        <v>8071</v>
      </c>
      <c r="Q1091" s="9" t="s">
        <v>8072</v>
      </c>
    </row>
    <row r="1092" spans="1:17" x14ac:dyDescent="0.25">
      <c r="A1092" s="8" t="s">
        <v>8073</v>
      </c>
      <c r="B1092" s="8" t="s">
        <v>8074</v>
      </c>
      <c r="C1092" s="9" t="s">
        <v>8075</v>
      </c>
      <c r="D1092" s="9" t="s">
        <v>253</v>
      </c>
      <c r="E1092" s="9" t="s">
        <v>8076</v>
      </c>
      <c r="F1092" s="10">
        <v>1.378</v>
      </c>
      <c r="G1092" s="10">
        <v>1.515</v>
      </c>
      <c r="H1092" s="10"/>
      <c r="I1092" s="9" t="s">
        <v>96</v>
      </c>
      <c r="J1092" s="9" t="s">
        <v>8077</v>
      </c>
      <c r="K1092" s="9" t="s">
        <v>8078</v>
      </c>
      <c r="L1092" s="8" t="s">
        <v>8079</v>
      </c>
      <c r="M1092" s="9" t="s">
        <v>100</v>
      </c>
      <c r="N1092" s="9" t="s">
        <v>592</v>
      </c>
      <c r="O1092" s="9">
        <f>HYPERLINK("https://www.google.com/maps/search/?api=1&amp;query=41.15190666,1.24003643", "https://www.google.com/maps/search/?api=1&amp;query=41.15190666,1.24003643")</f>
      </c>
      <c r="P1092" s="9" t="s">
        <v>172</v>
      </c>
      <c r="Q1092" s="9" t="s">
        <v>2895</v>
      </c>
    </row>
    <row r="1093" spans="1:17" x14ac:dyDescent="0.25">
      <c r="A1093" s="8" t="s">
        <v>8080</v>
      </c>
      <c r="B1093" s="8" t="s">
        <v>8081</v>
      </c>
      <c r="C1093" s="9" t="s">
        <v>8082</v>
      </c>
      <c r="D1093" s="9" t="s">
        <v>128</v>
      </c>
      <c r="E1093" s="9" t="s">
        <v>3206</v>
      </c>
      <c r="F1093" s="10">
        <v>1.378</v>
      </c>
      <c r="G1093" s="10">
        <v>1.515</v>
      </c>
      <c r="H1093" s="10"/>
      <c r="I1093" s="9" t="s">
        <v>45</v>
      </c>
      <c r="J1093" s="9" t="s">
        <v>8083</v>
      </c>
      <c r="K1093" s="9" t="s">
        <v>8084</v>
      </c>
      <c r="L1093" s="8" t="s">
        <v>3209</v>
      </c>
      <c r="M1093" s="9" t="s">
        <v>49</v>
      </c>
      <c r="N1093" s="9" t="s">
        <v>122</v>
      </c>
      <c r="O1093" s="9">
        <f>HYPERLINK("https://www.google.com/maps/search/?api=1&amp;query=36.50260112,-6.27121472", "https://www.google.com/maps/search/?api=1&amp;query=36.50260112,-6.27121472")</f>
      </c>
      <c r="P1093" s="9" t="s">
        <v>965</v>
      </c>
      <c r="Q1093" s="9" t="s">
        <v>8085</v>
      </c>
    </row>
    <row r="1094" spans="1:17" x14ac:dyDescent="0.25">
      <c r="A1094" s="8" t="s">
        <v>8086</v>
      </c>
      <c r="B1094" s="8" t="s">
        <v>8087</v>
      </c>
      <c r="C1094" s="9" t="s">
        <v>8088</v>
      </c>
      <c r="D1094" s="9" t="s">
        <v>469</v>
      </c>
      <c r="E1094" s="9" t="s">
        <v>1264</v>
      </c>
      <c r="F1094" s="10">
        <v>1.378</v>
      </c>
      <c r="G1094" s="10">
        <v>1.515</v>
      </c>
      <c r="H1094" s="10"/>
      <c r="I1094" s="9" t="s">
        <v>74</v>
      </c>
      <c r="J1094" s="9" t="s">
        <v>8089</v>
      </c>
      <c r="K1094" s="9" t="s">
        <v>8090</v>
      </c>
      <c r="L1094" s="8" t="s">
        <v>1267</v>
      </c>
      <c r="M1094" s="9" t="s">
        <v>36</v>
      </c>
      <c r="N1094" s="9" t="s">
        <v>37</v>
      </c>
      <c r="O1094" s="9">
        <f>HYPERLINK("https://www.google.com/maps/search/?api=1&amp;query=40.89401459,-5.65772611", "https://www.google.com/maps/search/?api=1&amp;query=40.89401459,-5.65772611")</f>
      </c>
      <c r="P1094" s="9" t="s">
        <v>3400</v>
      </c>
      <c r="Q1094" s="9" t="s">
        <v>394</v>
      </c>
    </row>
    <row r="1095" spans="1:17" x14ac:dyDescent="0.25">
      <c r="A1095" s="8" t="s">
        <v>8091</v>
      </c>
      <c r="B1095" s="8" t="s">
        <v>8092</v>
      </c>
      <c r="C1095" s="9" t="s">
        <v>8093</v>
      </c>
      <c r="D1095" s="9" t="s">
        <v>1483</v>
      </c>
      <c r="E1095" s="9" t="s">
        <v>1483</v>
      </c>
      <c r="F1095" s="10">
        <v>1.378</v>
      </c>
      <c r="G1095" s="10">
        <v>1.515</v>
      </c>
      <c r="H1095" s="10"/>
      <c r="I1095" s="9" t="s">
        <v>74</v>
      </c>
      <c r="J1095" s="9" t="s">
        <v>8094</v>
      </c>
      <c r="K1095" s="9" t="s">
        <v>8095</v>
      </c>
      <c r="L1095" s="8" t="s">
        <v>8096</v>
      </c>
      <c r="M1095" s="9" t="s">
        <v>36</v>
      </c>
      <c r="N1095" s="9" t="s">
        <v>211</v>
      </c>
      <c r="O1095" s="9">
        <f>HYPERLINK("https://www.google.com/maps/search/?api=1&amp;query=42.34455925,-3.64797308", "https://www.google.com/maps/search/?api=1&amp;query=42.34455925,-3.64797308")</f>
      </c>
      <c r="P1095" s="9" t="s">
        <v>1268</v>
      </c>
      <c r="Q1095" s="9" t="s">
        <v>8097</v>
      </c>
    </row>
    <row r="1096" spans="1:17" x14ac:dyDescent="0.25">
      <c r="A1096" s="8" t="s">
        <v>8098</v>
      </c>
      <c r="B1096" s="8" t="s">
        <v>8099</v>
      </c>
      <c r="C1096" s="9" t="s">
        <v>8100</v>
      </c>
      <c r="D1096" s="9" t="s">
        <v>1282</v>
      </c>
      <c r="E1096" s="9" t="s">
        <v>8101</v>
      </c>
      <c r="F1096" s="10">
        <v>1.378</v>
      </c>
      <c r="G1096" s="10">
        <v>1.515</v>
      </c>
      <c r="H1096" s="10"/>
      <c r="I1096" s="9" t="s">
        <v>45</v>
      </c>
      <c r="J1096" s="9" t="s">
        <v>8102</v>
      </c>
      <c r="K1096" s="9" t="s">
        <v>8103</v>
      </c>
      <c r="L1096" s="8" t="s">
        <v>8104</v>
      </c>
      <c r="M1096" s="9" t="s">
        <v>49</v>
      </c>
      <c r="N1096" s="9" t="s">
        <v>357</v>
      </c>
      <c r="O1096" s="9">
        <f>HYPERLINK("https://www.google.com/maps/search/?api=1&amp;query=37.18012869,-3.92877708", "https://www.google.com/maps/search/?api=1&amp;query=37.18012869,-3.92877708")</f>
      </c>
      <c r="P1096" s="9" t="s">
        <v>2442</v>
      </c>
      <c r="Q1096" s="9" t="s">
        <v>8105</v>
      </c>
    </row>
    <row r="1097" spans="1:17" x14ac:dyDescent="0.25">
      <c r="A1097" s="8" t="s">
        <v>8106</v>
      </c>
      <c r="B1097" s="8" t="s">
        <v>8107</v>
      </c>
      <c r="C1097" s="9" t="s">
        <v>8108</v>
      </c>
      <c r="D1097" s="9" t="s">
        <v>166</v>
      </c>
      <c r="E1097" s="9" t="s">
        <v>8109</v>
      </c>
      <c r="F1097" s="10">
        <v>1.378</v>
      </c>
      <c r="G1097" s="10">
        <v>1.515</v>
      </c>
      <c r="H1097" s="10"/>
      <c r="I1097" s="9" t="s">
        <v>168</v>
      </c>
      <c r="J1097" s="9" t="s">
        <v>8110</v>
      </c>
      <c r="K1097" s="9" t="s">
        <v>8111</v>
      </c>
      <c r="L1097" s="8" t="s">
        <v>8112</v>
      </c>
      <c r="M1097" s="9" t="s">
        <v>36</v>
      </c>
      <c r="N1097" s="9" t="s">
        <v>37</v>
      </c>
      <c r="O1097" s="9">
        <f>HYPERLINK("https://www.google.com/maps/search/?api=1&amp;query=40.74818855,-3.03274223", "https://www.google.com/maps/search/?api=1&amp;query=40.74818855,-3.03274223")</f>
      </c>
      <c r="P1097" s="9" t="s">
        <v>8113</v>
      </c>
      <c r="Q1097" s="9" t="s">
        <v>8114</v>
      </c>
    </row>
    <row r="1098" spans="1:17" x14ac:dyDescent="0.25">
      <c r="A1098" s="8" t="s">
        <v>8115</v>
      </c>
      <c r="B1098" s="8" t="s">
        <v>8116</v>
      </c>
      <c r="C1098" s="9" t="s">
        <v>8117</v>
      </c>
      <c r="D1098" s="9" t="s">
        <v>444</v>
      </c>
      <c r="E1098" s="9" t="s">
        <v>7454</v>
      </c>
      <c r="F1098" s="10">
        <v>1.378</v>
      </c>
      <c r="G1098" s="10">
        <v>1.515</v>
      </c>
      <c r="H1098" s="10"/>
      <c r="I1098" s="9" t="s">
        <v>444</v>
      </c>
      <c r="J1098" s="9" t="s">
        <v>8118</v>
      </c>
      <c r="K1098" s="9" t="s">
        <v>8119</v>
      </c>
      <c r="L1098" s="8" t="s">
        <v>7457</v>
      </c>
      <c r="M1098" s="9" t="s">
        <v>49</v>
      </c>
      <c r="N1098" s="9" t="s">
        <v>8120</v>
      </c>
      <c r="O1098" s="9">
        <f>HYPERLINK("https://www.google.com/maps/search/?api=1&amp;query=43.4834721,-5.43140357", "https://www.google.com/maps/search/?api=1&amp;query=43.4834721,-5.43140357")</f>
      </c>
      <c r="P1098" s="9" t="s">
        <v>1439</v>
      </c>
      <c r="Q1098" s="9" t="s">
        <v>1131</v>
      </c>
    </row>
    <row r="1099" spans="1:17" x14ac:dyDescent="0.25">
      <c r="A1099" s="8" t="s">
        <v>8121</v>
      </c>
      <c r="B1099" s="8" t="s">
        <v>8122</v>
      </c>
      <c r="C1099" s="9" t="s">
        <v>8123</v>
      </c>
      <c r="D1099" s="9" t="s">
        <v>290</v>
      </c>
      <c r="E1099" s="9" t="s">
        <v>290</v>
      </c>
      <c r="F1099" s="10">
        <v>1.378</v>
      </c>
      <c r="G1099" s="10">
        <v>1.515</v>
      </c>
      <c r="H1099" s="10"/>
      <c r="I1099" s="9" t="s">
        <v>292</v>
      </c>
      <c r="J1099" s="9" t="s">
        <v>8124</v>
      </c>
      <c r="K1099" s="9" t="s">
        <v>8125</v>
      </c>
      <c r="L1099" s="8" t="s">
        <v>8126</v>
      </c>
      <c r="M1099" s="9" t="s">
        <v>100</v>
      </c>
      <c r="N1099" s="9" t="s">
        <v>88</v>
      </c>
      <c r="O1099" s="9">
        <f>HYPERLINK("https://www.google.com/maps/search/?api=1&amp;query=40.35769096,-1.13619889", "https://www.google.com/maps/search/?api=1&amp;query=40.35769096,-1.13619889")</f>
      </c>
      <c r="P1099" s="9" t="s">
        <v>617</v>
      </c>
      <c r="Q1099" s="9" t="s">
        <v>8127</v>
      </c>
    </row>
    <row r="1100" spans="1:17" x14ac:dyDescent="0.25">
      <c r="A1100" s="8" t="s">
        <v>8128</v>
      </c>
      <c r="B1100" s="8" t="s">
        <v>8129</v>
      </c>
      <c r="C1100" s="9" t="s">
        <v>8130</v>
      </c>
      <c r="D1100" s="9" t="s">
        <v>409</v>
      </c>
      <c r="E1100" s="9" t="s">
        <v>8131</v>
      </c>
      <c r="F1100" s="10">
        <v>1.378</v>
      </c>
      <c r="G1100" s="10">
        <v>1.515</v>
      </c>
      <c r="H1100" s="10"/>
      <c r="I1100" s="9" t="s">
        <v>292</v>
      </c>
      <c r="J1100" s="9" t="s">
        <v>8132</v>
      </c>
      <c r="K1100" s="9" t="s">
        <v>8133</v>
      </c>
      <c r="L1100" s="8" t="s">
        <v>8134</v>
      </c>
      <c r="M1100" s="9" t="s">
        <v>49</v>
      </c>
      <c r="N1100" s="9" t="s">
        <v>88</v>
      </c>
      <c r="O1100" s="9">
        <f>HYPERLINK("https://www.google.com/maps/search/?api=1&amp;query=41.85701752,-0.79400826", "https://www.google.com/maps/search/?api=1&amp;query=41.85701752,-0.79400826")</f>
      </c>
      <c r="P1100" s="9" t="s">
        <v>493</v>
      </c>
      <c r="Q1100" s="9" t="s">
        <v>8135</v>
      </c>
    </row>
    <row r="1101" spans="1:17" x14ac:dyDescent="0.25">
      <c r="A1101" s="8" t="s">
        <v>8136</v>
      </c>
      <c r="B1101" s="8" t="s">
        <v>8137</v>
      </c>
      <c r="C1101" s="9" t="s">
        <v>8138</v>
      </c>
      <c r="D1101" s="9" t="s">
        <v>72</v>
      </c>
      <c r="E1101" s="9" t="s">
        <v>8139</v>
      </c>
      <c r="F1101" s="10">
        <v>1.378</v>
      </c>
      <c r="G1101" s="10">
        <v>1.515</v>
      </c>
      <c r="H1101" s="10"/>
      <c r="I1101" s="9" t="s">
        <v>74</v>
      </c>
      <c r="J1101" s="9" t="s">
        <v>8140</v>
      </c>
      <c r="K1101" s="9" t="s">
        <v>8141</v>
      </c>
      <c r="L1101" s="8" t="s">
        <v>8142</v>
      </c>
      <c r="M1101" s="9" t="s">
        <v>36</v>
      </c>
      <c r="N1101" s="9" t="s">
        <v>7681</v>
      </c>
      <c r="O1101" s="9">
        <f>HYPERLINK("https://www.google.com/maps/search/?api=1&amp;query=41.98657709,-4.41661989", "https://www.google.com/maps/search/?api=1&amp;query=41.98657709,-4.41661989")</f>
      </c>
      <c r="P1101" s="9" t="s">
        <v>8143</v>
      </c>
      <c r="Q1101" s="9" t="s">
        <v>881</v>
      </c>
    </row>
    <row r="1102" spans="1:17" x14ac:dyDescent="0.25">
      <c r="A1102" s="8" t="s">
        <v>8144</v>
      </c>
      <c r="B1102" s="8" t="s">
        <v>8145</v>
      </c>
      <c r="C1102" s="9" t="s">
        <v>8146</v>
      </c>
      <c r="D1102" s="9" t="s">
        <v>516</v>
      </c>
      <c r="E1102" s="9" t="s">
        <v>8147</v>
      </c>
      <c r="F1102" s="10">
        <v>1.378</v>
      </c>
      <c r="G1102" s="10">
        <v>1.515</v>
      </c>
      <c r="H1102" s="10"/>
      <c r="I1102" s="9" t="s">
        <v>140</v>
      </c>
      <c r="J1102" s="9" t="s">
        <v>8148</v>
      </c>
      <c r="K1102" s="9" t="s">
        <v>8149</v>
      </c>
      <c r="L1102" s="8" t="s">
        <v>8150</v>
      </c>
      <c r="M1102" s="9" t="s">
        <v>36</v>
      </c>
      <c r="N1102" s="9" t="s">
        <v>3164</v>
      </c>
      <c r="O1102" s="9">
        <f>HYPERLINK("https://www.google.com/maps/search/?api=1&amp;query=43.04361081,-7.51697647", "https://www.google.com/maps/search/?api=1&amp;query=43.04361081,-7.51697647")</f>
      </c>
      <c r="P1102" s="9" t="s">
        <v>955</v>
      </c>
      <c r="Q1102" s="9" t="s">
        <v>8151</v>
      </c>
    </row>
    <row r="1103" spans="1:17" x14ac:dyDescent="0.25">
      <c r="A1103" s="8" t="s">
        <v>8152</v>
      </c>
      <c r="B1103" s="8" t="s">
        <v>8153</v>
      </c>
      <c r="C1103" s="9" t="s">
        <v>8154</v>
      </c>
      <c r="D1103" s="9" t="s">
        <v>166</v>
      </c>
      <c r="E1103" s="9" t="s">
        <v>8155</v>
      </c>
      <c r="F1103" s="10">
        <v>1.378</v>
      </c>
      <c r="G1103" s="10">
        <v>1.515</v>
      </c>
      <c r="H1103" s="10"/>
      <c r="I1103" s="9" t="s">
        <v>168</v>
      </c>
      <c r="J1103" s="9" t="s">
        <v>8156</v>
      </c>
      <c r="K1103" s="9" t="s">
        <v>8157</v>
      </c>
      <c r="L1103" s="8" t="s">
        <v>8158</v>
      </c>
      <c r="M1103" s="9" t="s">
        <v>49</v>
      </c>
      <c r="N1103" s="9" t="s">
        <v>8159</v>
      </c>
      <c r="O1103" s="9">
        <f>HYPERLINK("https://www.google.com/maps/search/?api=1&amp;query=40.35839857,-2.97045486", "https://www.google.com/maps/search/?api=1&amp;query=40.35839857,-2.97045486")</f>
      </c>
      <c r="P1103" s="9" t="s">
        <v>6663</v>
      </c>
      <c r="Q1103" s="9" t="s">
        <v>340</v>
      </c>
    </row>
    <row r="1104" spans="1:17" x14ac:dyDescent="0.25">
      <c r="A1104" s="8" t="s">
        <v>8160</v>
      </c>
      <c r="B1104" s="8" t="s">
        <v>8161</v>
      </c>
      <c r="C1104" s="9" t="s">
        <v>8162</v>
      </c>
      <c r="D1104" s="9" t="s">
        <v>43</v>
      </c>
      <c r="E1104" s="9" t="s">
        <v>8163</v>
      </c>
      <c r="F1104" s="10">
        <v>1.378</v>
      </c>
      <c r="G1104" s="10">
        <v>1.515</v>
      </c>
      <c r="H1104" s="10"/>
      <c r="I1104" s="9" t="s">
        <v>45</v>
      </c>
      <c r="J1104" s="9" t="s">
        <v>8164</v>
      </c>
      <c r="K1104" s="9" t="s">
        <v>8165</v>
      </c>
      <c r="L1104" s="8" t="s">
        <v>8166</v>
      </c>
      <c r="M1104" s="9" t="s">
        <v>49</v>
      </c>
      <c r="N1104" s="9" t="s">
        <v>88</v>
      </c>
      <c r="O1104" s="9">
        <f>HYPERLINK("https://www.google.com/maps/search/?api=1&amp;query=37.9042565,-6.2217668", "https://www.google.com/maps/search/?api=1&amp;query=37.9042565,-6.2217668")</f>
      </c>
      <c r="P1104" s="9" t="s">
        <v>182</v>
      </c>
      <c r="Q1104" s="9" t="s">
        <v>8167</v>
      </c>
    </row>
    <row r="1105" spans="1:17" x14ac:dyDescent="0.25">
      <c r="A1105" s="8" t="s">
        <v>8168</v>
      </c>
      <c r="B1105" s="8" t="s">
        <v>8169</v>
      </c>
      <c r="C1105" s="9" t="s">
        <v>8170</v>
      </c>
      <c r="D1105" s="9" t="s">
        <v>226</v>
      </c>
      <c r="E1105" s="9" t="s">
        <v>226</v>
      </c>
      <c r="F1105" s="10">
        <v>1.378</v>
      </c>
      <c r="G1105" s="10">
        <v>1.515</v>
      </c>
      <c r="H1105" s="10"/>
      <c r="I1105" s="9" t="s">
        <v>168</v>
      </c>
      <c r="J1105" s="9" t="s">
        <v>8171</v>
      </c>
      <c r="K1105" s="9" t="s">
        <v>8172</v>
      </c>
      <c r="L1105" s="8" t="s">
        <v>8173</v>
      </c>
      <c r="M1105" s="9" t="s">
        <v>36</v>
      </c>
      <c r="N1105" s="9" t="s">
        <v>122</v>
      </c>
      <c r="O1105" s="9">
        <f>HYPERLINK("https://www.google.com/maps/search/?api=1&amp;query=40.07387423,-2.17050297", "https://www.google.com/maps/search/?api=1&amp;query=40.07387423,-2.17050297")</f>
      </c>
      <c r="P1105" s="9" t="s">
        <v>8174</v>
      </c>
      <c r="Q1105" s="9" t="s">
        <v>8175</v>
      </c>
    </row>
    <row r="1106" spans="1:17" x14ac:dyDescent="0.25">
      <c r="A1106" s="8" t="s">
        <v>8176</v>
      </c>
      <c r="B1106" s="8" t="s">
        <v>8177</v>
      </c>
      <c r="C1106" s="9" t="s">
        <v>8178</v>
      </c>
      <c r="D1106" s="9" t="s">
        <v>177</v>
      </c>
      <c r="E1106" s="9" t="s">
        <v>177</v>
      </c>
      <c r="F1106" s="10">
        <v>1.378</v>
      </c>
      <c r="G1106" s="10">
        <v>1.515</v>
      </c>
      <c r="H1106" s="10"/>
      <c r="I1106" s="9" t="s">
        <v>74</v>
      </c>
      <c r="J1106" s="9" t="s">
        <v>8179</v>
      </c>
      <c r="K1106" s="9" t="s">
        <v>8180</v>
      </c>
      <c r="L1106" s="8" t="s">
        <v>1120</v>
      </c>
      <c r="M1106" s="9" t="s">
        <v>49</v>
      </c>
      <c r="N1106" s="9" t="s">
        <v>211</v>
      </c>
      <c r="O1106" s="9">
        <f>HYPERLINK("https://www.google.com/maps/search/?api=1&amp;query=41.63805288,-4.74666357", "https://www.google.com/maps/search/?api=1&amp;query=41.63805288,-4.74666357")</f>
      </c>
      <c r="P1106" s="9" t="s">
        <v>8181</v>
      </c>
      <c r="Q1106" s="9" t="s">
        <v>8182</v>
      </c>
    </row>
    <row r="1107" spans="1:17" x14ac:dyDescent="0.25">
      <c r="A1107" s="8" t="s">
        <v>8183</v>
      </c>
      <c r="B1107" s="8" t="s">
        <v>8184</v>
      </c>
      <c r="C1107" s="9" t="s">
        <v>8185</v>
      </c>
      <c r="D1107" s="9" t="s">
        <v>94</v>
      </c>
      <c r="E1107" s="9" t="s">
        <v>2338</v>
      </c>
      <c r="F1107" s="10">
        <v>1.378</v>
      </c>
      <c r="G1107" s="10">
        <v>1.515</v>
      </c>
      <c r="H1107" s="10"/>
      <c r="I1107" s="9" t="s">
        <v>96</v>
      </c>
      <c r="J1107" s="9" t="s">
        <v>8186</v>
      </c>
      <c r="K1107" s="9" t="s">
        <v>8187</v>
      </c>
      <c r="L1107" s="8" t="s">
        <v>4130</v>
      </c>
      <c r="M1107" s="9" t="s">
        <v>49</v>
      </c>
      <c r="N1107" s="9" t="s">
        <v>88</v>
      </c>
      <c r="O1107" s="9">
        <f>HYPERLINK("https://www.google.com/maps/search/?api=1&amp;query=41.53800306,2.09831449", "https://www.google.com/maps/search/?api=1&amp;query=41.53800306,2.09831449")</f>
      </c>
      <c r="P1107" s="9" t="s">
        <v>1645</v>
      </c>
      <c r="Q1107" s="9" t="s">
        <v>151</v>
      </c>
    </row>
    <row r="1108" spans="1:17" x14ac:dyDescent="0.25">
      <c r="A1108" s="8" t="s">
        <v>8188</v>
      </c>
      <c r="B1108" s="8" t="s">
        <v>8189</v>
      </c>
      <c r="C1108" s="9" t="s">
        <v>8190</v>
      </c>
      <c r="D1108" s="9" t="s">
        <v>177</v>
      </c>
      <c r="E1108" s="9" t="s">
        <v>178</v>
      </c>
      <c r="F1108" s="10">
        <v>1.378</v>
      </c>
      <c r="G1108" s="10">
        <v>1.515</v>
      </c>
      <c r="H1108" s="10"/>
      <c r="I1108" s="9" t="s">
        <v>74</v>
      </c>
      <c r="J1108" s="9" t="s">
        <v>8191</v>
      </c>
      <c r="K1108" s="9" t="s">
        <v>8192</v>
      </c>
      <c r="L1108" s="8" t="s">
        <v>181</v>
      </c>
      <c r="M1108" s="9" t="s">
        <v>49</v>
      </c>
      <c r="N1108" s="9" t="s">
        <v>211</v>
      </c>
      <c r="O1108" s="9">
        <f>HYPERLINK("https://www.google.com/maps/search/?api=1&amp;query=41.31814627,-4.9166356", "https://www.google.com/maps/search/?api=1&amp;query=41.31814627,-4.9166356")</f>
      </c>
      <c r="P1108" s="9" t="s">
        <v>1203</v>
      </c>
      <c r="Q1108" s="9" t="s">
        <v>697</v>
      </c>
    </row>
    <row r="1109" spans="1:17" x14ac:dyDescent="0.25">
      <c r="A1109" s="8" t="s">
        <v>8193</v>
      </c>
      <c r="B1109" s="8" t="s">
        <v>8194</v>
      </c>
      <c r="C1109" s="9" t="s">
        <v>8195</v>
      </c>
      <c r="D1109" s="9" t="s">
        <v>128</v>
      </c>
      <c r="E1109" s="9" t="s">
        <v>8196</v>
      </c>
      <c r="F1109" s="10">
        <v>1.378</v>
      </c>
      <c r="G1109" s="10">
        <v>1.515</v>
      </c>
      <c r="H1109" s="10"/>
      <c r="I1109" s="9" t="s">
        <v>45</v>
      </c>
      <c r="J1109" s="9" t="s">
        <v>8197</v>
      </c>
      <c r="K1109" s="9" t="s">
        <v>8198</v>
      </c>
      <c r="L1109" s="8" t="s">
        <v>8199</v>
      </c>
      <c r="M1109" s="9" t="s">
        <v>49</v>
      </c>
      <c r="N1109" s="9" t="s">
        <v>5450</v>
      </c>
      <c r="O1109" s="9">
        <f>HYPERLINK("https://www.google.com/maps/search/?api=1&amp;query=36.82450676,-5.74173713", "https://www.google.com/maps/search/?api=1&amp;query=36.82450676,-5.74173713")</f>
      </c>
      <c r="P1109" s="9" t="s">
        <v>8200</v>
      </c>
      <c r="Q1109" s="9" t="s">
        <v>8201</v>
      </c>
    </row>
    <row r="1110" spans="1:17" x14ac:dyDescent="0.25">
      <c r="A1110" s="8" t="s">
        <v>8202</v>
      </c>
      <c r="B1110" s="8" t="s">
        <v>8203</v>
      </c>
      <c r="C1110" s="9" t="s">
        <v>8204</v>
      </c>
      <c r="D1110" s="9" t="s">
        <v>2288</v>
      </c>
      <c r="E1110" s="9" t="s">
        <v>7232</v>
      </c>
      <c r="F1110" s="10">
        <v>1.378</v>
      </c>
      <c r="G1110" s="10">
        <v>1.515</v>
      </c>
      <c r="H1110" s="10"/>
      <c r="I1110" s="9" t="s">
        <v>168</v>
      </c>
      <c r="J1110" s="9" t="s">
        <v>8205</v>
      </c>
      <c r="K1110" s="9" t="s">
        <v>8206</v>
      </c>
      <c r="L1110" s="8" t="s">
        <v>7235</v>
      </c>
      <c r="M1110" s="9" t="s">
        <v>36</v>
      </c>
      <c r="N1110" s="9" t="s">
        <v>66</v>
      </c>
      <c r="O1110" s="9">
        <f>HYPERLINK("https://www.google.com/maps/search/?api=1&amp;query=38.5067363,-1.68719345", "https://www.google.com/maps/search/?api=1&amp;query=38.5067363,-1.68719345")</f>
      </c>
      <c r="P1110" s="9" t="s">
        <v>3400</v>
      </c>
      <c r="Q1110" s="9" t="s">
        <v>8207</v>
      </c>
    </row>
    <row r="1111" spans="1:17" x14ac:dyDescent="0.25">
      <c r="A1111" s="8" t="s">
        <v>8208</v>
      </c>
      <c r="B1111" s="8" t="s">
        <v>8209</v>
      </c>
      <c r="C1111" s="9" t="s">
        <v>8210</v>
      </c>
      <c r="D1111" s="9" t="s">
        <v>808</v>
      </c>
      <c r="E1111" s="9" t="s">
        <v>8211</v>
      </c>
      <c r="F1111" s="10">
        <v>1.378</v>
      </c>
      <c r="G1111" s="10">
        <v>1.515</v>
      </c>
      <c r="H1111" s="10"/>
      <c r="I1111" s="9" t="s">
        <v>808</v>
      </c>
      <c r="J1111" s="9" t="s">
        <v>8212</v>
      </c>
      <c r="K1111" s="9" t="s">
        <v>8213</v>
      </c>
      <c r="L1111" s="8" t="s">
        <v>8214</v>
      </c>
      <c r="M1111" s="9" t="s">
        <v>36</v>
      </c>
      <c r="N1111" s="9" t="s">
        <v>88</v>
      </c>
      <c r="O1111" s="9">
        <f>HYPERLINK("https://www.google.com/maps/search/?api=1&amp;query=43.42600939,-3.52256826", "https://www.google.com/maps/search/?api=1&amp;query=43.42600939,-3.52256826")</f>
      </c>
      <c r="P1111" s="9" t="s">
        <v>3165</v>
      </c>
      <c r="Q1111" s="9" t="s">
        <v>8215</v>
      </c>
    </row>
    <row r="1112" spans="1:17" x14ac:dyDescent="0.25">
      <c r="A1112" s="8" t="s">
        <v>8216</v>
      </c>
      <c r="B1112" s="8" t="s">
        <v>8217</v>
      </c>
      <c r="C1112" s="9" t="s">
        <v>8218</v>
      </c>
      <c r="D1112" s="9" t="s">
        <v>83</v>
      </c>
      <c r="E1112" s="9" t="s">
        <v>83</v>
      </c>
      <c r="F1112" s="10">
        <v>1.378</v>
      </c>
      <c r="G1112" s="10">
        <v>1.515</v>
      </c>
      <c r="H1112" s="10"/>
      <c r="I1112" s="9" t="s">
        <v>83</v>
      </c>
      <c r="J1112" s="9" t="s">
        <v>8219</v>
      </c>
      <c r="K1112" s="9" t="s">
        <v>8220</v>
      </c>
      <c r="L1112" s="8" t="s">
        <v>303</v>
      </c>
      <c r="M1112" s="9" t="s">
        <v>49</v>
      </c>
      <c r="N1112" s="9" t="s">
        <v>8221</v>
      </c>
      <c r="O1112" s="9">
        <f>HYPERLINK("https://www.google.com/maps/search/?api=1&amp;query=40.40755854,-3.66018707", "https://www.google.com/maps/search/?api=1&amp;query=40.40755854,-3.66018707")</f>
      </c>
      <c r="P1112" s="9" t="s">
        <v>1439</v>
      </c>
      <c r="Q1112" s="9" t="s">
        <v>7794</v>
      </c>
    </row>
    <row r="1113" spans="1:17" x14ac:dyDescent="0.25">
      <c r="A1113" s="8" t="s">
        <v>4381</v>
      </c>
      <c r="B1113" s="8" t="s">
        <v>8222</v>
      </c>
      <c r="C1113" s="9" t="s">
        <v>8223</v>
      </c>
      <c r="D1113" s="9" t="s">
        <v>631</v>
      </c>
      <c r="E1113" s="9" t="s">
        <v>8224</v>
      </c>
      <c r="F1113" s="10">
        <v>1.378</v>
      </c>
      <c r="G1113" s="10">
        <v>1.515</v>
      </c>
      <c r="H1113" s="10"/>
      <c r="I1113" s="9" t="s">
        <v>45</v>
      </c>
      <c r="J1113" s="9" t="s">
        <v>8225</v>
      </c>
      <c r="K1113" s="9" t="s">
        <v>8226</v>
      </c>
      <c r="L1113" s="8" t="s">
        <v>8227</v>
      </c>
      <c r="M1113" s="9" t="s">
        <v>36</v>
      </c>
      <c r="N1113" s="9" t="s">
        <v>88</v>
      </c>
      <c r="O1113" s="9">
        <f>HYPERLINK("https://www.google.com/maps/search/?api=1&amp;query=37.82125,-5.004694", "https://www.google.com/maps/search/?api=1&amp;query=37.82125,-5.004694")</f>
      </c>
      <c r="P1113" s="9" t="s">
        <v>266</v>
      </c>
      <c r="Q1113" s="9" t="s">
        <v>8228</v>
      </c>
    </row>
    <row r="1114" spans="1:17" x14ac:dyDescent="0.25">
      <c r="A1114" s="8" t="s">
        <v>8229</v>
      </c>
      <c r="B1114" s="8" t="s">
        <v>8230</v>
      </c>
      <c r="C1114" s="9" t="s">
        <v>8231</v>
      </c>
      <c r="D1114" s="9" t="s">
        <v>253</v>
      </c>
      <c r="E1114" s="9" t="s">
        <v>8232</v>
      </c>
      <c r="F1114" s="10">
        <v>1.378</v>
      </c>
      <c r="G1114" s="10">
        <v>1.515</v>
      </c>
      <c r="H1114" s="10"/>
      <c r="I1114" s="9" t="s">
        <v>96</v>
      </c>
      <c r="J1114" s="9" t="s">
        <v>8233</v>
      </c>
      <c r="K1114" s="9" t="s">
        <v>8234</v>
      </c>
      <c r="L1114" s="8" t="s">
        <v>8235</v>
      </c>
      <c r="M1114" s="9" t="s">
        <v>49</v>
      </c>
      <c r="N1114" s="9" t="s">
        <v>88</v>
      </c>
      <c r="O1114" s="9">
        <f>HYPERLINK("https://www.google.com/maps/search/?api=1&amp;query=41.09365685,0.64790594", "https://www.google.com/maps/search/?api=1&amp;query=41.09365685,0.64790594")</f>
      </c>
      <c r="P1114" s="9" t="s">
        <v>8236</v>
      </c>
      <c r="Q1114" s="9" t="s">
        <v>8237</v>
      </c>
    </row>
    <row r="1115" spans="1:17" x14ac:dyDescent="0.25">
      <c r="A1115" s="8" t="s">
        <v>8238</v>
      </c>
      <c r="B1115" s="8" t="s">
        <v>8239</v>
      </c>
      <c r="C1115" s="9" t="s">
        <v>8240</v>
      </c>
      <c r="D1115" s="9" t="s">
        <v>83</v>
      </c>
      <c r="E1115" s="9" t="s">
        <v>2500</v>
      </c>
      <c r="F1115" s="10">
        <v>1.378</v>
      </c>
      <c r="G1115" s="10">
        <v>1.515</v>
      </c>
      <c r="H1115" s="10"/>
      <c r="I1115" s="9" t="s">
        <v>83</v>
      </c>
      <c r="J1115" s="9" t="s">
        <v>8241</v>
      </c>
      <c r="K1115" s="9" t="s">
        <v>8242</v>
      </c>
      <c r="L1115" s="8" t="s">
        <v>2503</v>
      </c>
      <c r="M1115" s="9" t="s">
        <v>100</v>
      </c>
      <c r="N1115" s="9" t="s">
        <v>88</v>
      </c>
      <c r="O1115" s="9">
        <f>HYPERLINK("https://www.google.com/maps/search/?api=1&amp;query=40.537549,-3.63336029", "https://www.google.com/maps/search/?api=1&amp;query=40.537549,-3.63336029")</f>
      </c>
      <c r="P1115" s="9" t="s">
        <v>465</v>
      </c>
      <c r="Q1115" s="9" t="s">
        <v>5570</v>
      </c>
    </row>
    <row r="1116" spans="1:17" x14ac:dyDescent="0.25">
      <c r="A1116" s="8" t="s">
        <v>8243</v>
      </c>
      <c r="B1116" s="8" t="s">
        <v>8244</v>
      </c>
      <c r="C1116" s="9" t="s">
        <v>8245</v>
      </c>
      <c r="D1116" s="9" t="s">
        <v>892</v>
      </c>
      <c r="E1116" s="9" t="s">
        <v>8246</v>
      </c>
      <c r="F1116" s="10">
        <v>1.378</v>
      </c>
      <c r="G1116" s="10">
        <v>1.515</v>
      </c>
      <c r="H1116" s="10"/>
      <c r="I1116" s="9" t="s">
        <v>32</v>
      </c>
      <c r="J1116" s="9" t="s">
        <v>8247</v>
      </c>
      <c r="K1116" s="9" t="s">
        <v>8248</v>
      </c>
      <c r="L1116" s="8" t="s">
        <v>8249</v>
      </c>
      <c r="M1116" s="9" t="s">
        <v>49</v>
      </c>
      <c r="N1116" s="9" t="s">
        <v>8250</v>
      </c>
      <c r="O1116" s="9">
        <f>HYPERLINK("https://www.google.com/maps/search/?api=1&amp;query=39.16425289,-6.26419375", "https://www.google.com/maps/search/?api=1&amp;query=39.16425289,-6.26419375")</f>
      </c>
      <c r="P1116" s="9" t="s">
        <v>321</v>
      </c>
      <c r="Q1116" s="9" t="s">
        <v>3073</v>
      </c>
    </row>
    <row r="1117" spans="1:17" x14ac:dyDescent="0.25">
      <c r="A1117" s="8" t="s">
        <v>8251</v>
      </c>
      <c r="B1117" s="8" t="s">
        <v>8252</v>
      </c>
      <c r="C1117" s="9" t="s">
        <v>8253</v>
      </c>
      <c r="D1117" s="9" t="s">
        <v>400</v>
      </c>
      <c r="E1117" s="9" t="s">
        <v>8254</v>
      </c>
      <c r="F1117" s="10">
        <v>1.378</v>
      </c>
      <c r="G1117" s="10">
        <v>1.515</v>
      </c>
      <c r="H1117" s="10"/>
      <c r="I1117" s="9" t="s">
        <v>400</v>
      </c>
      <c r="J1117" s="9" t="s">
        <v>8255</v>
      </c>
      <c r="K1117" s="9" t="s">
        <v>8256</v>
      </c>
      <c r="L1117" s="8" t="s">
        <v>8257</v>
      </c>
      <c r="M1117" s="9" t="s">
        <v>36</v>
      </c>
      <c r="N1117" s="9" t="s">
        <v>88</v>
      </c>
      <c r="O1117" s="9">
        <f>HYPERLINK("https://www.google.com/maps/search/?api=1&amp;query=39.47214169,-0.42971791", "https://www.google.com/maps/search/?api=1&amp;query=39.47214169,-0.42971791")</f>
      </c>
      <c r="P1117" s="9" t="s">
        <v>780</v>
      </c>
      <c r="Q1117" s="9" t="s">
        <v>4690</v>
      </c>
    </row>
    <row r="1118" spans="1:17" x14ac:dyDescent="0.25">
      <c r="A1118" s="8" t="s">
        <v>8258</v>
      </c>
      <c r="B1118" s="8" t="s">
        <v>8259</v>
      </c>
      <c r="C1118" s="9" t="s">
        <v>8260</v>
      </c>
      <c r="D1118" s="9" t="s">
        <v>138</v>
      </c>
      <c r="E1118" s="9" t="s">
        <v>8261</v>
      </c>
      <c r="F1118" s="10">
        <v>1.378</v>
      </c>
      <c r="G1118" s="10">
        <v>1.515</v>
      </c>
      <c r="H1118" s="10"/>
      <c r="I1118" s="9" t="s">
        <v>140</v>
      </c>
      <c r="J1118" s="9" t="s">
        <v>8262</v>
      </c>
      <c r="K1118" s="9" t="s">
        <v>8263</v>
      </c>
      <c r="L1118" s="8" t="s">
        <v>8264</v>
      </c>
      <c r="M1118" s="9" t="s">
        <v>49</v>
      </c>
      <c r="N1118" s="9" t="s">
        <v>211</v>
      </c>
      <c r="O1118" s="9">
        <f>HYPERLINK("https://www.google.com/maps/search/?api=1&amp;query=42.39828311,-8.63657718", "https://www.google.com/maps/search/?api=1&amp;query=42.39828311,-8.63657718")</f>
      </c>
      <c r="P1118" s="9" t="s">
        <v>8265</v>
      </c>
      <c r="Q1118" s="9" t="s">
        <v>8266</v>
      </c>
    </row>
    <row r="1119" spans="1:17" x14ac:dyDescent="0.25">
      <c r="A1119" s="8" t="s">
        <v>8267</v>
      </c>
      <c r="B1119" s="8" t="s">
        <v>8268</v>
      </c>
      <c r="C1119" s="9" t="s">
        <v>8269</v>
      </c>
      <c r="D1119" s="9" t="s">
        <v>94</v>
      </c>
      <c r="E1119" s="9" t="s">
        <v>8270</v>
      </c>
      <c r="F1119" s="10">
        <v>1.378</v>
      </c>
      <c r="G1119" s="10">
        <v>1.515</v>
      </c>
      <c r="H1119" s="10"/>
      <c r="I1119" s="9" t="s">
        <v>96</v>
      </c>
      <c r="J1119" s="9" t="s">
        <v>8271</v>
      </c>
      <c r="K1119" s="9" t="s">
        <v>8272</v>
      </c>
      <c r="L1119" s="8" t="s">
        <v>8273</v>
      </c>
      <c r="M1119" s="9" t="s">
        <v>36</v>
      </c>
      <c r="N1119" s="9" t="s">
        <v>8274</v>
      </c>
      <c r="O1119" s="9">
        <f>HYPERLINK("https://www.google.com/maps/search/?api=1&amp;query=41.98490497,2.09725719", "https://www.google.com/maps/search/?api=1&amp;query=41.98490497,2.09725719")</f>
      </c>
      <c r="P1119" s="9" t="s">
        <v>4029</v>
      </c>
      <c r="Q1119" s="9" t="s">
        <v>3771</v>
      </c>
    </row>
    <row r="1120" spans="1:17" x14ac:dyDescent="0.25">
      <c r="A1120" s="8" t="s">
        <v>8275</v>
      </c>
      <c r="B1120" s="8" t="s">
        <v>8276</v>
      </c>
      <c r="C1120" s="9" t="s">
        <v>8277</v>
      </c>
      <c r="D1120" s="9" t="s">
        <v>106</v>
      </c>
      <c r="E1120" s="9" t="s">
        <v>8278</v>
      </c>
      <c r="F1120" s="10">
        <v>1.378</v>
      </c>
      <c r="G1120" s="10">
        <v>1.515</v>
      </c>
      <c r="H1120" s="10"/>
      <c r="I1120" s="9" t="s">
        <v>106</v>
      </c>
      <c r="J1120" s="9" t="s">
        <v>8279</v>
      </c>
      <c r="K1120" s="9" t="s">
        <v>8280</v>
      </c>
      <c r="L1120" s="8" t="s">
        <v>8281</v>
      </c>
      <c r="M1120" s="9" t="s">
        <v>36</v>
      </c>
      <c r="N1120" s="9" t="s">
        <v>8282</v>
      </c>
      <c r="O1120" s="9">
        <f>HYPERLINK("https://www.google.com/maps/search/?api=1&amp;query=37.63817961,-1.00273013", "https://www.google.com/maps/search/?api=1&amp;query=37.63817961,-1.00273013")</f>
      </c>
      <c r="P1120" s="9" t="s">
        <v>1439</v>
      </c>
      <c r="Q1120" s="9" t="s">
        <v>1131</v>
      </c>
    </row>
    <row r="1121" spans="1:17" x14ac:dyDescent="0.25">
      <c r="A1121" s="8" t="s">
        <v>8283</v>
      </c>
      <c r="B1121" s="8" t="s">
        <v>8284</v>
      </c>
      <c r="C1121" s="9" t="s">
        <v>8285</v>
      </c>
      <c r="D1121" s="9" t="s">
        <v>128</v>
      </c>
      <c r="E1121" s="9" t="s">
        <v>8286</v>
      </c>
      <c r="F1121" s="10">
        <v>1.378</v>
      </c>
      <c r="G1121" s="10">
        <v>1.515</v>
      </c>
      <c r="H1121" s="10"/>
      <c r="I1121" s="9" t="s">
        <v>45</v>
      </c>
      <c r="J1121" s="9" t="s">
        <v>8287</v>
      </c>
      <c r="K1121" s="9" t="s">
        <v>8288</v>
      </c>
      <c r="L1121" s="8" t="s">
        <v>8289</v>
      </c>
      <c r="M1121" s="9" t="s">
        <v>36</v>
      </c>
      <c r="N1121" s="9" t="s">
        <v>88</v>
      </c>
      <c r="O1121" s="9">
        <f>HYPERLINK("https://www.google.com/maps/search/?api=1&amp;query=36.48867631,-6.14333052", "https://www.google.com/maps/search/?api=1&amp;query=36.48867631,-6.14333052")</f>
      </c>
      <c r="P1121" s="9" t="s">
        <v>1439</v>
      </c>
      <c r="Q1121" s="9" t="s">
        <v>3771</v>
      </c>
    </row>
    <row r="1122" spans="1:17" x14ac:dyDescent="0.25">
      <c r="A1122" s="8" t="s">
        <v>8290</v>
      </c>
      <c r="B1122" s="8" t="s">
        <v>8291</v>
      </c>
      <c r="C1122" s="9" t="s">
        <v>8292</v>
      </c>
      <c r="D1122" s="9" t="s">
        <v>61</v>
      </c>
      <c r="E1122" s="9" t="s">
        <v>8293</v>
      </c>
      <c r="F1122" s="10">
        <v>1.378</v>
      </c>
      <c r="G1122" s="10">
        <v>1.515</v>
      </c>
      <c r="H1122" s="10"/>
      <c r="I1122" s="9" t="s">
        <v>45</v>
      </c>
      <c r="J1122" s="9" t="s">
        <v>8294</v>
      </c>
      <c r="K1122" s="9" t="s">
        <v>8295</v>
      </c>
      <c r="L1122" s="8" t="s">
        <v>8296</v>
      </c>
      <c r="M1122" s="9" t="s">
        <v>49</v>
      </c>
      <c r="N1122" s="9" t="s">
        <v>8297</v>
      </c>
      <c r="O1122" s="9">
        <f>HYPERLINK("https://www.google.com/maps/search/?api=1&amp;query=37.54192332,-5.07326668", "https://www.google.com/maps/search/?api=1&amp;query=37.54192332,-5.07326668")</f>
      </c>
      <c r="P1122" s="9" t="s">
        <v>1287</v>
      </c>
      <c r="Q1122" s="9" t="s">
        <v>8298</v>
      </c>
    </row>
    <row r="1123" spans="1:17" x14ac:dyDescent="0.25">
      <c r="A1123" s="8" t="s">
        <v>8299</v>
      </c>
      <c r="B1123" s="8" t="s">
        <v>8300</v>
      </c>
      <c r="C1123" s="9" t="s">
        <v>8301</v>
      </c>
      <c r="D1123" s="9" t="s">
        <v>166</v>
      </c>
      <c r="E1123" s="9" t="s">
        <v>8302</v>
      </c>
      <c r="F1123" s="10">
        <v>1.378</v>
      </c>
      <c r="G1123" s="10">
        <v>1.515</v>
      </c>
      <c r="H1123" s="10"/>
      <c r="I1123" s="9" t="s">
        <v>168</v>
      </c>
      <c r="J1123" s="9" t="s">
        <v>8303</v>
      </c>
      <c r="K1123" s="9" t="s">
        <v>8304</v>
      </c>
      <c r="L1123" s="8" t="s">
        <v>8305</v>
      </c>
      <c r="M1123" s="9" t="s">
        <v>49</v>
      </c>
      <c r="N1123" s="9" t="s">
        <v>645</v>
      </c>
      <c r="O1123" s="9">
        <f>HYPERLINK("https://www.google.com/maps/search/?api=1&amp;query=40.29790999,-2.98491578", "https://www.google.com/maps/search/?api=1&amp;query=40.29790999,-2.98491578")</f>
      </c>
      <c r="P1123" s="9" t="s">
        <v>2727</v>
      </c>
      <c r="Q1123" s="9" t="s">
        <v>8306</v>
      </c>
    </row>
    <row r="1124" spans="1:17" x14ac:dyDescent="0.25">
      <c r="A1124" s="8" t="s">
        <v>8307</v>
      </c>
      <c r="B1124" s="8" t="s">
        <v>8308</v>
      </c>
      <c r="C1124" s="9" t="s">
        <v>8309</v>
      </c>
      <c r="D1124" s="9" t="s">
        <v>469</v>
      </c>
      <c r="E1124" s="9" t="s">
        <v>469</v>
      </c>
      <c r="F1124" s="10">
        <v>1.378</v>
      </c>
      <c r="G1124" s="10">
        <v>1.515</v>
      </c>
      <c r="H1124" s="10"/>
      <c r="I1124" s="9" t="s">
        <v>74</v>
      </c>
      <c r="J1124" s="9" t="s">
        <v>8310</v>
      </c>
      <c r="K1124" s="9" t="s">
        <v>8311</v>
      </c>
      <c r="L1124" s="8" t="s">
        <v>1732</v>
      </c>
      <c r="M1124" s="9" t="s">
        <v>49</v>
      </c>
      <c r="N1124" s="9" t="s">
        <v>211</v>
      </c>
      <c r="O1124" s="9">
        <f>HYPERLINK("https://www.google.com/maps/search/?api=1&amp;query=40.95496254,-5.67445141", "https://www.google.com/maps/search/?api=1&amp;query=40.95496254,-5.67445141")</f>
      </c>
      <c r="P1124" s="9" t="s">
        <v>2213</v>
      </c>
      <c r="Q1124" s="9" t="s">
        <v>8312</v>
      </c>
    </row>
    <row r="1125" spans="1:17" x14ac:dyDescent="0.25">
      <c r="A1125" s="8" t="s">
        <v>8313</v>
      </c>
      <c r="B1125" s="8" t="s">
        <v>8314</v>
      </c>
      <c r="C1125" s="9" t="s">
        <v>8315</v>
      </c>
      <c r="D1125" s="9" t="s">
        <v>400</v>
      </c>
      <c r="E1125" s="9" t="s">
        <v>8316</v>
      </c>
      <c r="F1125" s="10">
        <v>1.378</v>
      </c>
      <c r="G1125" s="10">
        <v>1.515</v>
      </c>
      <c r="H1125" s="10"/>
      <c r="I1125" s="9" t="s">
        <v>400</v>
      </c>
      <c r="J1125" s="9" t="s">
        <v>8317</v>
      </c>
      <c r="K1125" s="9" t="s">
        <v>8318</v>
      </c>
      <c r="L1125" s="8" t="s">
        <v>8319</v>
      </c>
      <c r="M1125" s="9" t="s">
        <v>49</v>
      </c>
      <c r="N1125" s="9" t="s">
        <v>8320</v>
      </c>
      <c r="O1125" s="9">
        <f>HYPERLINK("https://www.google.com/maps/search/?api=1&amp;query=39.59945333,-0.58258384", "https://www.google.com/maps/search/?api=1&amp;query=39.59945333,-0.58258384")</f>
      </c>
      <c r="P1125" s="9" t="s">
        <v>8321</v>
      </c>
      <c r="Q1125" s="9" t="s">
        <v>3036</v>
      </c>
    </row>
    <row r="1126" spans="1:17" x14ac:dyDescent="0.25">
      <c r="A1126" s="8" t="s">
        <v>8322</v>
      </c>
      <c r="B1126" s="8" t="s">
        <v>8323</v>
      </c>
      <c r="C1126" s="9" t="s">
        <v>8324</v>
      </c>
      <c r="D1126" s="9" t="s">
        <v>61</v>
      </c>
      <c r="E1126" s="9" t="s">
        <v>8325</v>
      </c>
      <c r="F1126" s="10">
        <v>1.378</v>
      </c>
      <c r="G1126" s="10">
        <v>1.515</v>
      </c>
      <c r="H1126" s="10"/>
      <c r="I1126" s="9" t="s">
        <v>45</v>
      </c>
      <c r="J1126" s="9" t="s">
        <v>8326</v>
      </c>
      <c r="K1126" s="9" t="s">
        <v>8327</v>
      </c>
      <c r="L1126" s="8" t="s">
        <v>8328</v>
      </c>
      <c r="M1126" s="9" t="s">
        <v>36</v>
      </c>
      <c r="N1126" s="9" t="s">
        <v>88</v>
      </c>
      <c r="O1126" s="9">
        <f>HYPERLINK("https://www.google.com/maps/search/?api=1&amp;query=37.45142324,-5.97696952", "https://www.google.com/maps/search/?api=1&amp;query=37.45142324,-5.97696952")</f>
      </c>
      <c r="P1126" s="9" t="s">
        <v>897</v>
      </c>
      <c r="Q1126" s="9" t="s">
        <v>1260</v>
      </c>
    </row>
    <row r="1127" spans="1:17" x14ac:dyDescent="0.25">
      <c r="A1127" s="8" t="s">
        <v>8329</v>
      </c>
      <c r="B1127" s="8" t="s">
        <v>8330</v>
      </c>
      <c r="C1127" s="9" t="s">
        <v>8331</v>
      </c>
      <c r="D1127" s="9" t="s">
        <v>187</v>
      </c>
      <c r="E1127" s="9" t="s">
        <v>188</v>
      </c>
      <c r="F1127" s="10">
        <v>1.378</v>
      </c>
      <c r="G1127" s="10">
        <v>1.515</v>
      </c>
      <c r="H1127" s="10"/>
      <c r="I1127" s="9" t="s">
        <v>74</v>
      </c>
      <c r="J1127" s="9" t="s">
        <v>8332</v>
      </c>
      <c r="K1127" s="9" t="s">
        <v>8333</v>
      </c>
      <c r="L1127" s="8" t="s">
        <v>191</v>
      </c>
      <c r="M1127" s="9" t="s">
        <v>36</v>
      </c>
      <c r="N1127" s="9" t="s">
        <v>211</v>
      </c>
      <c r="O1127" s="9">
        <f>HYPERLINK("https://www.google.com/maps/search/?api=1&amp;query=42.55233268,-6.60087539", "https://www.google.com/maps/search/?api=1&amp;query=42.55233268,-6.60087539")</f>
      </c>
      <c r="P1127" s="9" t="s">
        <v>1250</v>
      </c>
      <c r="Q1127" s="9" t="s">
        <v>5395</v>
      </c>
    </row>
    <row r="1128" spans="1:17" x14ac:dyDescent="0.25">
      <c r="A1128" s="8" t="s">
        <v>8334</v>
      </c>
      <c r="B1128" s="8" t="s">
        <v>8335</v>
      </c>
      <c r="C1128" s="9" t="s">
        <v>8336</v>
      </c>
      <c r="D1128" s="9" t="s">
        <v>1483</v>
      </c>
      <c r="E1128" s="9" t="s">
        <v>8337</v>
      </c>
      <c r="F1128" s="10">
        <v>1.378</v>
      </c>
      <c r="G1128" s="10">
        <v>1.515</v>
      </c>
      <c r="H1128" s="10"/>
      <c r="I1128" s="9" t="s">
        <v>74</v>
      </c>
      <c r="J1128" s="9" t="s">
        <v>8338</v>
      </c>
      <c r="K1128" s="9" t="s">
        <v>8339</v>
      </c>
      <c r="L1128" s="8" t="s">
        <v>8340</v>
      </c>
      <c r="M1128" s="9" t="s">
        <v>49</v>
      </c>
      <c r="N1128" s="9" t="s">
        <v>211</v>
      </c>
      <c r="O1128" s="9">
        <f>HYPERLINK("https://www.google.com/maps/search/?api=1&amp;query=42.36411784,-3.62174562", "https://www.google.com/maps/search/?api=1&amp;query=42.36411784,-3.62174562")</f>
      </c>
      <c r="P1128" s="9" t="s">
        <v>172</v>
      </c>
      <c r="Q1128" s="9" t="s">
        <v>8341</v>
      </c>
    </row>
    <row r="1129" spans="1:17" x14ac:dyDescent="0.25">
      <c r="A1129" s="8" t="s">
        <v>8342</v>
      </c>
      <c r="B1129" s="8" t="s">
        <v>8343</v>
      </c>
      <c r="C1129" s="9" t="s">
        <v>8344</v>
      </c>
      <c r="D1129" s="9" t="s">
        <v>631</v>
      </c>
      <c r="E1129" s="9" t="s">
        <v>1047</v>
      </c>
      <c r="F1129" s="10">
        <v>1.378</v>
      </c>
      <c r="G1129" s="10">
        <v>1.515</v>
      </c>
      <c r="H1129" s="10"/>
      <c r="I1129" s="9" t="s">
        <v>45</v>
      </c>
      <c r="J1129" s="9" t="s">
        <v>8345</v>
      </c>
      <c r="K1129" s="9" t="s">
        <v>8346</v>
      </c>
      <c r="L1129" s="8" t="s">
        <v>8347</v>
      </c>
      <c r="M1129" s="9" t="s">
        <v>49</v>
      </c>
      <c r="N1129" s="9" t="s">
        <v>37</v>
      </c>
      <c r="O1129" s="9">
        <f>HYPERLINK("https://www.google.com/maps/search/?api=1&amp;query=37.8657787,-4.78242794", "https://www.google.com/maps/search/?api=1&amp;query=37.8657787,-4.78242794")</f>
      </c>
      <c r="P1129" s="9" t="s">
        <v>8348</v>
      </c>
      <c r="Q1129" s="9" t="s">
        <v>2641</v>
      </c>
    </row>
    <row r="1130" spans="1:17" x14ac:dyDescent="0.25">
      <c r="A1130" s="8" t="s">
        <v>8349</v>
      </c>
      <c r="B1130" s="8" t="s">
        <v>8350</v>
      </c>
      <c r="C1130" s="9" t="s">
        <v>8351</v>
      </c>
      <c r="D1130" s="9" t="s">
        <v>83</v>
      </c>
      <c r="E1130" s="9" t="s">
        <v>8352</v>
      </c>
      <c r="F1130" s="10">
        <v>1.378</v>
      </c>
      <c r="G1130" s="10">
        <v>1.515</v>
      </c>
      <c r="H1130" s="10"/>
      <c r="I1130" s="9" t="s">
        <v>83</v>
      </c>
      <c r="J1130" s="9" t="s">
        <v>8353</v>
      </c>
      <c r="K1130" s="9" t="s">
        <v>8354</v>
      </c>
      <c r="L1130" s="8" t="s">
        <v>8355</v>
      </c>
      <c r="M1130" s="9" t="s">
        <v>36</v>
      </c>
      <c r="N1130" s="9" t="s">
        <v>483</v>
      </c>
      <c r="O1130" s="9">
        <f>HYPERLINK("https://www.google.com/maps/search/?api=1&amp;query=40.38170548,-4.17175977", "https://www.google.com/maps/search/?api=1&amp;query=40.38170548,-4.17175977")</f>
      </c>
      <c r="P1130" s="9" t="s">
        <v>7785</v>
      </c>
      <c r="Q1130" s="9" t="s">
        <v>3744</v>
      </c>
    </row>
    <row r="1131" spans="1:17" x14ac:dyDescent="0.25">
      <c r="A1131" s="8" t="s">
        <v>8356</v>
      </c>
      <c r="B1131" s="8" t="s">
        <v>8357</v>
      </c>
      <c r="C1131" s="9" t="s">
        <v>8358</v>
      </c>
      <c r="D1131" s="9" t="s">
        <v>1560</v>
      </c>
      <c r="E1131" s="9" t="s">
        <v>8359</v>
      </c>
      <c r="F1131" s="10">
        <v>1.378</v>
      </c>
      <c r="G1131" s="10">
        <v>1.515</v>
      </c>
      <c r="H1131" s="10"/>
      <c r="I1131" s="9" t="s">
        <v>400</v>
      </c>
      <c r="J1131" s="9" t="s">
        <v>8360</v>
      </c>
      <c r="K1131" s="9" t="s">
        <v>8361</v>
      </c>
      <c r="L1131" s="8" t="s">
        <v>8362</v>
      </c>
      <c r="M1131" s="9" t="s">
        <v>49</v>
      </c>
      <c r="N1131" s="9" t="s">
        <v>8363</v>
      </c>
      <c r="O1131" s="9">
        <f>HYPERLINK("https://www.google.com/maps/search/?api=1&amp;query=40.13550992,-0.2806021", "https://www.google.com/maps/search/?api=1&amp;query=40.13550992,-0.2806021")</f>
      </c>
      <c r="P1131" s="9" t="s">
        <v>8364</v>
      </c>
      <c r="Q1131" s="9" t="s">
        <v>6974</v>
      </c>
    </row>
    <row r="1132" spans="1:17" x14ac:dyDescent="0.25">
      <c r="A1132" s="8" t="s">
        <v>8365</v>
      </c>
      <c r="B1132" s="8" t="s">
        <v>8366</v>
      </c>
      <c r="C1132" s="9" t="s">
        <v>8367</v>
      </c>
      <c r="D1132" s="9" t="s">
        <v>398</v>
      </c>
      <c r="E1132" s="9" t="s">
        <v>8368</v>
      </c>
      <c r="F1132" s="10">
        <v>1.378</v>
      </c>
      <c r="G1132" s="10">
        <v>1.515</v>
      </c>
      <c r="H1132" s="10"/>
      <c r="I1132" s="9" t="s">
        <v>400</v>
      </c>
      <c r="J1132" s="9" t="s">
        <v>8369</v>
      </c>
      <c r="K1132" s="9" t="s">
        <v>8370</v>
      </c>
      <c r="L1132" s="8" t="s">
        <v>8371</v>
      </c>
      <c r="M1132" s="9" t="s">
        <v>36</v>
      </c>
      <c r="N1132" s="9" t="s">
        <v>88</v>
      </c>
      <c r="O1132" s="9">
        <f>HYPERLINK("https://www.google.com/maps/search/?api=1&amp;query=38.68983577,0.13480809", "https://www.google.com/maps/search/?api=1&amp;query=38.68983577,0.13480809")</f>
      </c>
      <c r="P1132" s="9" t="s">
        <v>1381</v>
      </c>
      <c r="Q1132" s="9" t="s">
        <v>8372</v>
      </c>
    </row>
    <row r="1133" spans="1:17" x14ac:dyDescent="0.25">
      <c r="A1133" s="8" t="s">
        <v>8373</v>
      </c>
      <c r="B1133" s="8" t="s">
        <v>8374</v>
      </c>
      <c r="C1133" s="9" t="s">
        <v>8375</v>
      </c>
      <c r="D1133" s="9" t="s">
        <v>72</v>
      </c>
      <c r="E1133" s="9" t="s">
        <v>8376</v>
      </c>
      <c r="F1133" s="10">
        <v>1.378</v>
      </c>
      <c r="G1133" s="10">
        <v>1.515</v>
      </c>
      <c r="H1133" s="10"/>
      <c r="I1133" s="9" t="s">
        <v>74</v>
      </c>
      <c r="J1133" s="9" t="s">
        <v>8377</v>
      </c>
      <c r="K1133" s="9" t="s">
        <v>8378</v>
      </c>
      <c r="L1133" s="8" t="s">
        <v>8379</v>
      </c>
      <c r="M1133" s="9" t="s">
        <v>49</v>
      </c>
      <c r="N1133" s="9" t="s">
        <v>8380</v>
      </c>
      <c r="O1133" s="9">
        <f>HYPERLINK("https://www.google.com/maps/search/?api=1&amp;query=42.01682244,-4.34630079", "https://www.google.com/maps/search/?api=1&amp;query=42.01682244,-4.34630079")</f>
      </c>
      <c r="P1133" s="9" t="s">
        <v>965</v>
      </c>
      <c r="Q1133" s="9" t="s">
        <v>3694</v>
      </c>
    </row>
    <row r="1134" spans="1:17" x14ac:dyDescent="0.25">
      <c r="A1134" s="8" t="s">
        <v>8381</v>
      </c>
      <c r="B1134" s="8" t="s">
        <v>8382</v>
      </c>
      <c r="C1134" s="9" t="s">
        <v>8383</v>
      </c>
      <c r="D1134" s="9" t="s">
        <v>1434</v>
      </c>
      <c r="E1134" s="9" t="s">
        <v>2899</v>
      </c>
      <c r="F1134" s="10">
        <v>1.378</v>
      </c>
      <c r="G1134" s="10">
        <v>1.515</v>
      </c>
      <c r="H1134" s="10"/>
      <c r="I1134" s="9" t="s">
        <v>1434</v>
      </c>
      <c r="J1134" s="9" t="s">
        <v>8384</v>
      </c>
      <c r="K1134" s="9" t="s">
        <v>8385</v>
      </c>
      <c r="L1134" s="8" t="s">
        <v>2902</v>
      </c>
      <c r="M1134" s="9" t="s">
        <v>36</v>
      </c>
      <c r="N1134" s="9" t="s">
        <v>2856</v>
      </c>
      <c r="O1134" s="9">
        <f>HYPERLINK("https://www.google.com/maps/search/?api=1&amp;query=42.48237736,-2.43857236", "https://www.google.com/maps/search/?api=1&amp;query=42.48237736,-2.43857236")</f>
      </c>
      <c r="P1134" s="9" t="s">
        <v>1250</v>
      </c>
      <c r="Q1134" s="9" t="s">
        <v>8386</v>
      </c>
    </row>
    <row r="1135" spans="1:17" x14ac:dyDescent="0.25">
      <c r="A1135" s="8" t="s">
        <v>8387</v>
      </c>
      <c r="B1135" s="8" t="s">
        <v>8388</v>
      </c>
      <c r="C1135" s="9" t="s">
        <v>8389</v>
      </c>
      <c r="D1135" s="9" t="s">
        <v>30</v>
      </c>
      <c r="E1135" s="9" t="s">
        <v>1969</v>
      </c>
      <c r="F1135" s="10">
        <v>1.378</v>
      </c>
      <c r="G1135" s="10">
        <v>1.515</v>
      </c>
      <c r="H1135" s="10"/>
      <c r="I1135" s="9" t="s">
        <v>32</v>
      </c>
      <c r="J1135" s="9" t="s">
        <v>8390</v>
      </c>
      <c r="K1135" s="9" t="s">
        <v>8391</v>
      </c>
      <c r="L1135" s="8" t="s">
        <v>1972</v>
      </c>
      <c r="M1135" s="9" t="s">
        <v>49</v>
      </c>
      <c r="N1135" s="9" t="s">
        <v>8392</v>
      </c>
      <c r="O1135" s="9">
        <f>HYPERLINK("https://www.google.com/maps/search/?api=1&amp;query=38.92497004,-6.3264787", "https://www.google.com/maps/search/?api=1&amp;query=38.92497004,-6.3264787")</f>
      </c>
      <c r="P1135" s="9" t="s">
        <v>8393</v>
      </c>
      <c r="Q1135" s="9" t="s">
        <v>8394</v>
      </c>
    </row>
    <row r="1136" spans="1:17" x14ac:dyDescent="0.25">
      <c r="A1136" s="8" t="s">
        <v>8395</v>
      </c>
      <c r="B1136" s="8" t="s">
        <v>8396</v>
      </c>
      <c r="C1136" s="9" t="s">
        <v>8397</v>
      </c>
      <c r="D1136" s="9" t="s">
        <v>253</v>
      </c>
      <c r="E1136" s="9" t="s">
        <v>253</v>
      </c>
      <c r="F1136" s="10">
        <v>1.378</v>
      </c>
      <c r="G1136" s="10">
        <v>1.515</v>
      </c>
      <c r="H1136" s="10"/>
      <c r="I1136" s="9" t="s">
        <v>96</v>
      </c>
      <c r="J1136" s="9" t="s">
        <v>8398</v>
      </c>
      <c r="K1136" s="9" t="s">
        <v>8399</v>
      </c>
      <c r="L1136" s="8" t="s">
        <v>2631</v>
      </c>
      <c r="M1136" s="9" t="s">
        <v>49</v>
      </c>
      <c r="N1136" s="9" t="s">
        <v>88</v>
      </c>
      <c r="O1136" s="9">
        <f>HYPERLINK("https://www.google.com/maps/search/?api=1&amp;query=41.1151999,1.22232166", "https://www.google.com/maps/search/?api=1&amp;query=41.1151999,1.22232166")</f>
      </c>
      <c r="P1136" s="9" t="s">
        <v>955</v>
      </c>
      <c r="Q1136" s="9" t="s">
        <v>8400</v>
      </c>
    </row>
    <row r="1137" spans="1:17" x14ac:dyDescent="0.25">
      <c r="A1137" s="8" t="s">
        <v>8401</v>
      </c>
      <c r="B1137" s="8" t="s">
        <v>8402</v>
      </c>
      <c r="C1137" s="9" t="s">
        <v>8403</v>
      </c>
      <c r="D1137" s="9" t="s">
        <v>409</v>
      </c>
      <c r="E1137" s="9" t="s">
        <v>7838</v>
      </c>
      <c r="F1137" s="10">
        <v>1.378</v>
      </c>
      <c r="G1137" s="10">
        <v>1.515</v>
      </c>
      <c r="H1137" s="10"/>
      <c r="I1137" s="9" t="s">
        <v>292</v>
      </c>
      <c r="J1137" s="9" t="s">
        <v>8404</v>
      </c>
      <c r="K1137" s="9" t="s">
        <v>8405</v>
      </c>
      <c r="L1137" s="8" t="s">
        <v>7841</v>
      </c>
      <c r="M1137" s="9" t="s">
        <v>36</v>
      </c>
      <c r="N1137" s="9" t="s">
        <v>8406</v>
      </c>
      <c r="O1137" s="9">
        <f>HYPERLINK("https://www.google.com/maps/search/?api=1&amp;query=41.69567355,-0.98964302", "https://www.google.com/maps/search/?api=1&amp;query=41.69567355,-0.98964302")</f>
      </c>
      <c r="P1137" s="9" t="s">
        <v>2727</v>
      </c>
      <c r="Q1137" s="9" t="s">
        <v>8407</v>
      </c>
    </row>
    <row r="1138" spans="1:17" x14ac:dyDescent="0.25">
      <c r="A1138" s="8" t="s">
        <v>8408</v>
      </c>
      <c r="B1138" s="8" t="s">
        <v>8409</v>
      </c>
      <c r="C1138" s="9" t="s">
        <v>8410</v>
      </c>
      <c r="D1138" s="9" t="s">
        <v>94</v>
      </c>
      <c r="E1138" s="9" t="s">
        <v>94</v>
      </c>
      <c r="F1138" s="10">
        <v>1.378</v>
      </c>
      <c r="G1138" s="10">
        <v>1.515</v>
      </c>
      <c r="H1138" s="10"/>
      <c r="I1138" s="9" t="s">
        <v>96</v>
      </c>
      <c r="J1138" s="9" t="s">
        <v>8411</v>
      </c>
      <c r="K1138" s="9" t="s">
        <v>8412</v>
      </c>
      <c r="L1138" s="8" t="s">
        <v>8413</v>
      </c>
      <c r="M1138" s="9" t="s">
        <v>49</v>
      </c>
      <c r="N1138" s="9" t="s">
        <v>88</v>
      </c>
      <c r="O1138" s="9">
        <f>HYPERLINK("https://www.google.com/maps/search/?api=1&amp;query=41.35572597,2.14258846", "https://www.google.com/maps/search/?api=1&amp;query=41.35572597,2.14258846")</f>
      </c>
      <c r="P1138" s="9" t="s">
        <v>7657</v>
      </c>
      <c r="Q1138" s="9" t="s">
        <v>112</v>
      </c>
    </row>
    <row r="1139" spans="1:17" x14ac:dyDescent="0.25">
      <c r="A1139" s="8" t="s">
        <v>8414</v>
      </c>
      <c r="B1139" s="8" t="s">
        <v>8415</v>
      </c>
      <c r="C1139" s="9" t="s">
        <v>8416</v>
      </c>
      <c r="D1139" s="9" t="s">
        <v>892</v>
      </c>
      <c r="E1139" s="9" t="s">
        <v>8417</v>
      </c>
      <c r="F1139" s="10">
        <v>1.378</v>
      </c>
      <c r="G1139" s="10">
        <v>1.515</v>
      </c>
      <c r="H1139" s="10"/>
      <c r="I1139" s="9" t="s">
        <v>32</v>
      </c>
      <c r="J1139" s="9" t="s">
        <v>8418</v>
      </c>
      <c r="K1139" s="9" t="s">
        <v>8419</v>
      </c>
      <c r="L1139" s="8" t="s">
        <v>8420</v>
      </c>
      <c r="M1139" s="9" t="s">
        <v>36</v>
      </c>
      <c r="N1139" s="9" t="s">
        <v>8421</v>
      </c>
      <c r="O1139" s="9">
        <f>HYPERLINK("https://www.google.com/maps/search/?api=1&amp;query=39.17322406,-6.04492377", "https://www.google.com/maps/search/?api=1&amp;query=39.17322406,-6.04492377")</f>
      </c>
      <c r="P1139" s="9" t="s">
        <v>880</v>
      </c>
      <c r="Q1139" s="9" t="s">
        <v>8422</v>
      </c>
    </row>
    <row r="1140" spans="1:17" x14ac:dyDescent="0.25">
      <c r="A1140" s="8" t="s">
        <v>8423</v>
      </c>
      <c r="B1140" s="8" t="s">
        <v>8424</v>
      </c>
      <c r="C1140" s="9" t="s">
        <v>8425</v>
      </c>
      <c r="D1140" s="9" t="s">
        <v>424</v>
      </c>
      <c r="E1140" s="9" t="s">
        <v>8426</v>
      </c>
      <c r="F1140" s="10">
        <v>1.378</v>
      </c>
      <c r="G1140" s="10">
        <v>1.515</v>
      </c>
      <c r="H1140" s="10"/>
      <c r="I1140" s="9" t="s">
        <v>96</v>
      </c>
      <c r="J1140" s="9" t="s">
        <v>8427</v>
      </c>
      <c r="K1140" s="9" t="s">
        <v>8428</v>
      </c>
      <c r="L1140" s="8" t="s">
        <v>8429</v>
      </c>
      <c r="M1140" s="9" t="s">
        <v>36</v>
      </c>
      <c r="N1140" s="9" t="s">
        <v>3428</v>
      </c>
      <c r="O1140" s="9">
        <f>HYPERLINK("https://www.google.com/maps/search/?api=1&amp;query=41.5761124,0.61031565", "https://www.google.com/maps/search/?api=1&amp;query=41.5761124,0.61031565")</f>
      </c>
      <c r="P1140" s="9" t="s">
        <v>8430</v>
      </c>
      <c r="Q1140" s="9" t="s">
        <v>8431</v>
      </c>
    </row>
    <row r="1141" spans="1:17" x14ac:dyDescent="0.25">
      <c r="A1141" s="8" t="s">
        <v>8432</v>
      </c>
      <c r="B1141" s="8" t="s">
        <v>8433</v>
      </c>
      <c r="C1141" s="9" t="s">
        <v>8434</v>
      </c>
      <c r="D1141" s="9" t="s">
        <v>631</v>
      </c>
      <c r="E1141" s="9" t="s">
        <v>8435</v>
      </c>
      <c r="F1141" s="10">
        <v>1.378</v>
      </c>
      <c r="G1141" s="10">
        <v>1.515</v>
      </c>
      <c r="H1141" s="10"/>
      <c r="I1141" s="9" t="s">
        <v>45</v>
      </c>
      <c r="J1141" s="9" t="s">
        <v>8436</v>
      </c>
      <c r="K1141" s="9" t="s">
        <v>8437</v>
      </c>
      <c r="L1141" s="8" t="s">
        <v>8438</v>
      </c>
      <c r="M1141" s="9" t="s">
        <v>49</v>
      </c>
      <c r="N1141" s="9" t="s">
        <v>8439</v>
      </c>
      <c r="O1141" s="9">
        <f>HYPERLINK("https://www.google.com/maps/search/?api=1&amp;query=37.90762101,-4.6079556", "https://www.google.com/maps/search/?api=1&amp;query=37.90762101,-4.6079556")</f>
      </c>
      <c r="P1141" s="9" t="s">
        <v>172</v>
      </c>
      <c r="Q1141" s="9" t="s">
        <v>7641</v>
      </c>
    </row>
    <row r="1142" spans="1:17" x14ac:dyDescent="0.25">
      <c r="A1142" s="8" t="s">
        <v>8440</v>
      </c>
      <c r="B1142" s="8" t="s">
        <v>8441</v>
      </c>
      <c r="C1142" s="9" t="s">
        <v>8442</v>
      </c>
      <c r="D1142" s="9" t="s">
        <v>61</v>
      </c>
      <c r="E1142" s="9" t="s">
        <v>8443</v>
      </c>
      <c r="F1142" s="10">
        <v>1.378</v>
      </c>
      <c r="G1142" s="10">
        <v>1.515</v>
      </c>
      <c r="H1142" s="10"/>
      <c r="I1142" s="9" t="s">
        <v>45</v>
      </c>
      <c r="J1142" s="9" t="s">
        <v>8444</v>
      </c>
      <c r="K1142" s="9" t="s">
        <v>8445</v>
      </c>
      <c r="L1142" s="8" t="s">
        <v>8446</v>
      </c>
      <c r="M1142" s="9" t="s">
        <v>49</v>
      </c>
      <c r="N1142" s="9" t="s">
        <v>88</v>
      </c>
      <c r="O1142" s="9">
        <f>HYPERLINK("https://www.google.com/maps/search/?api=1&amp;query=37.70310264,-5.39236666", "https://www.google.com/maps/search/?api=1&amp;query=37.70310264,-5.39236666")</f>
      </c>
      <c r="P1142" s="9" t="s">
        <v>7900</v>
      </c>
      <c r="Q1142" s="9" t="s">
        <v>8447</v>
      </c>
    </row>
    <row r="1143" spans="1:17" x14ac:dyDescent="0.25">
      <c r="A1143" s="8" t="s">
        <v>8448</v>
      </c>
      <c r="B1143" s="8" t="s">
        <v>8449</v>
      </c>
      <c r="C1143" s="9" t="s">
        <v>8450</v>
      </c>
      <c r="D1143" s="9" t="s">
        <v>61</v>
      </c>
      <c r="E1143" s="9" t="s">
        <v>8451</v>
      </c>
      <c r="F1143" s="10">
        <v>1.378</v>
      </c>
      <c r="G1143" s="10">
        <v>1.515</v>
      </c>
      <c r="H1143" s="10"/>
      <c r="I1143" s="9" t="s">
        <v>45</v>
      </c>
      <c r="J1143" s="9" t="s">
        <v>8452</v>
      </c>
      <c r="K1143" s="9" t="s">
        <v>8453</v>
      </c>
      <c r="L1143" s="8" t="s">
        <v>8454</v>
      </c>
      <c r="M1143" s="9" t="s">
        <v>36</v>
      </c>
      <c r="N1143" s="9" t="s">
        <v>7222</v>
      </c>
      <c r="O1143" s="9">
        <f>HYPERLINK("https://www.google.com/maps/search/?api=1&amp;query=37.21442075,-4.77726635", "https://www.google.com/maps/search/?api=1&amp;query=37.21442075,-4.77726635")</f>
      </c>
      <c r="P1143" s="9" t="s">
        <v>8200</v>
      </c>
      <c r="Q1143" s="9" t="s">
        <v>8455</v>
      </c>
    </row>
    <row r="1144" spans="1:17" x14ac:dyDescent="0.25">
      <c r="A1144" s="8" t="s">
        <v>7776</v>
      </c>
      <c r="B1144" s="8" t="s">
        <v>8456</v>
      </c>
      <c r="C1144" s="9" t="s">
        <v>8457</v>
      </c>
      <c r="D1144" s="9" t="s">
        <v>434</v>
      </c>
      <c r="E1144" s="9" t="s">
        <v>3946</v>
      </c>
      <c r="F1144" s="10">
        <v>1.378</v>
      </c>
      <c r="G1144" s="10">
        <v>1.515</v>
      </c>
      <c r="H1144" s="10"/>
      <c r="I1144" s="9" t="s">
        <v>96</v>
      </c>
      <c r="J1144" s="9" t="s">
        <v>8458</v>
      </c>
      <c r="K1144" s="9" t="s">
        <v>8459</v>
      </c>
      <c r="L1144" s="8" t="s">
        <v>3949</v>
      </c>
      <c r="M1144" s="9" t="s">
        <v>100</v>
      </c>
      <c r="N1144" s="9" t="s">
        <v>88</v>
      </c>
      <c r="O1144" s="9">
        <f>HYPERLINK("https://www.google.com/maps/search/?api=1&amp;query=41.82680924,2.94842279", "https://www.google.com/maps/search/?api=1&amp;query=41.82680924,2.94842279")</f>
      </c>
      <c r="P1144" s="9" t="s">
        <v>880</v>
      </c>
      <c r="Q1144" s="9" t="s">
        <v>8460</v>
      </c>
    </row>
    <row r="1145" spans="1:17" x14ac:dyDescent="0.25">
      <c r="A1145" s="8" t="s">
        <v>8461</v>
      </c>
      <c r="B1145" s="8" t="s">
        <v>8462</v>
      </c>
      <c r="C1145" s="9" t="s">
        <v>8463</v>
      </c>
      <c r="D1145" s="9" t="s">
        <v>253</v>
      </c>
      <c r="E1145" s="9" t="s">
        <v>8464</v>
      </c>
      <c r="F1145" s="10">
        <v>1.378</v>
      </c>
      <c r="G1145" s="10">
        <v>1.515</v>
      </c>
      <c r="H1145" s="10"/>
      <c r="I1145" s="9" t="s">
        <v>96</v>
      </c>
      <c r="J1145" s="9" t="s">
        <v>8465</v>
      </c>
      <c r="K1145" s="9" t="s">
        <v>8466</v>
      </c>
      <c r="L1145" s="8" t="s">
        <v>8467</v>
      </c>
      <c r="M1145" s="9" t="s">
        <v>49</v>
      </c>
      <c r="N1145" s="9" t="s">
        <v>592</v>
      </c>
      <c r="O1145" s="9">
        <f>HYPERLINK("https://www.google.com/maps/search/?api=1&amp;query=40.718556,0.725333", "https://www.google.com/maps/search/?api=1&amp;query=40.718556,0.725333")</f>
      </c>
      <c r="P1145" s="9" t="s">
        <v>880</v>
      </c>
      <c r="Q1145" s="9" t="s">
        <v>8468</v>
      </c>
    </row>
    <row r="1146" spans="1:17" x14ac:dyDescent="0.25">
      <c r="A1146" s="8" t="s">
        <v>8469</v>
      </c>
      <c r="B1146" s="8" t="s">
        <v>8470</v>
      </c>
      <c r="C1146" s="9" t="s">
        <v>8471</v>
      </c>
      <c r="D1146" s="9" t="s">
        <v>1282</v>
      </c>
      <c r="E1146" s="9" t="s">
        <v>1283</v>
      </c>
      <c r="F1146" s="10">
        <v>1.378</v>
      </c>
      <c r="G1146" s="10">
        <v>1.515</v>
      </c>
      <c r="H1146" s="10"/>
      <c r="I1146" s="9" t="s">
        <v>45</v>
      </c>
      <c r="J1146" s="9" t="s">
        <v>8472</v>
      </c>
      <c r="K1146" s="9" t="s">
        <v>8473</v>
      </c>
      <c r="L1146" s="8" t="s">
        <v>1286</v>
      </c>
      <c r="M1146" s="9" t="s">
        <v>49</v>
      </c>
      <c r="N1146" s="9" t="s">
        <v>88</v>
      </c>
      <c r="O1146" s="9">
        <f>HYPERLINK("https://www.google.com/maps/search/?api=1&amp;query=37.2348821,-3.64399061", "https://www.google.com/maps/search/?api=1&amp;query=37.2348821,-3.64399061")</f>
      </c>
      <c r="P1146" s="9" t="s">
        <v>521</v>
      </c>
      <c r="Q1146" s="9" t="s">
        <v>522</v>
      </c>
    </row>
    <row r="1147" spans="1:17" x14ac:dyDescent="0.25">
      <c r="A1147" s="8" t="s">
        <v>8474</v>
      </c>
      <c r="B1147" s="8" t="s">
        <v>8475</v>
      </c>
      <c r="C1147" s="9" t="s">
        <v>8260</v>
      </c>
      <c r="D1147" s="9" t="s">
        <v>138</v>
      </c>
      <c r="E1147" s="9" t="s">
        <v>8261</v>
      </c>
      <c r="F1147" s="10">
        <v>1.378</v>
      </c>
      <c r="G1147" s="10">
        <v>1.515</v>
      </c>
      <c r="H1147" s="10"/>
      <c r="I1147" s="9" t="s">
        <v>140</v>
      </c>
      <c r="J1147" s="9" t="s">
        <v>8262</v>
      </c>
      <c r="K1147" s="9" t="s">
        <v>8476</v>
      </c>
      <c r="L1147" s="8" t="s">
        <v>8264</v>
      </c>
      <c r="M1147" s="9" t="s">
        <v>36</v>
      </c>
      <c r="N1147" s="9" t="s">
        <v>211</v>
      </c>
      <c r="O1147" s="9">
        <f>HYPERLINK("https://www.google.com/maps/search/?api=1&amp;query=42.39825817,-8.63585206", "https://www.google.com/maps/search/?api=1&amp;query=42.39825817,-8.63585206")</f>
      </c>
      <c r="P1147" s="9" t="s">
        <v>2576</v>
      </c>
      <c r="Q1147" s="9" t="s">
        <v>8477</v>
      </c>
    </row>
    <row r="1148" spans="1:17" x14ac:dyDescent="0.25">
      <c r="A1148" s="8" t="s">
        <v>8478</v>
      </c>
      <c r="B1148" s="8" t="s">
        <v>8479</v>
      </c>
      <c r="C1148" s="9" t="s">
        <v>8480</v>
      </c>
      <c r="D1148" s="9" t="s">
        <v>488</v>
      </c>
      <c r="E1148" s="9" t="s">
        <v>7081</v>
      </c>
      <c r="F1148" s="10">
        <v>1.378</v>
      </c>
      <c r="G1148" s="10">
        <v>1.515</v>
      </c>
      <c r="H1148" s="10"/>
      <c r="I1148" s="9" t="s">
        <v>45</v>
      </c>
      <c r="J1148" s="9" t="s">
        <v>8481</v>
      </c>
      <c r="K1148" s="9" t="s">
        <v>8482</v>
      </c>
      <c r="L1148" s="8" t="s">
        <v>8483</v>
      </c>
      <c r="M1148" s="9" t="s">
        <v>100</v>
      </c>
      <c r="N1148" s="9" t="s">
        <v>8484</v>
      </c>
      <c r="O1148" s="9">
        <f>HYPERLINK("https://www.google.com/maps/search/?api=1&amp;query=37.78437657,-3.826556", "https://www.google.com/maps/search/?api=1&amp;query=37.78437657,-3.826556")</f>
      </c>
      <c r="P1148" s="9" t="s">
        <v>1203</v>
      </c>
      <c r="Q1148" s="9" t="s">
        <v>1131</v>
      </c>
    </row>
    <row r="1149" spans="1:17" x14ac:dyDescent="0.25">
      <c r="A1149" s="8" t="s">
        <v>8485</v>
      </c>
      <c r="B1149" s="8" t="s">
        <v>8486</v>
      </c>
      <c r="C1149" s="9" t="s">
        <v>8487</v>
      </c>
      <c r="D1149" s="9" t="s">
        <v>138</v>
      </c>
      <c r="E1149" s="9" t="s">
        <v>8488</v>
      </c>
      <c r="F1149" s="10">
        <v>1.378</v>
      </c>
      <c r="G1149" s="10">
        <v>1.515</v>
      </c>
      <c r="H1149" s="10"/>
      <c r="I1149" s="9" t="s">
        <v>140</v>
      </c>
      <c r="J1149" s="9" t="s">
        <v>8489</v>
      </c>
      <c r="K1149" s="9" t="s">
        <v>8490</v>
      </c>
      <c r="L1149" s="8" t="s">
        <v>8491</v>
      </c>
      <c r="M1149" s="9" t="s">
        <v>49</v>
      </c>
      <c r="N1149" s="9" t="s">
        <v>8492</v>
      </c>
      <c r="O1149" s="9">
        <f>HYPERLINK("https://www.google.com/maps/search/?api=1&amp;query=42.42233975,-8.60030246", "https://www.google.com/maps/search/?api=1&amp;query=42.42233975,-8.60030246")</f>
      </c>
      <c r="P1149" s="9" t="s">
        <v>1645</v>
      </c>
      <c r="Q1149" s="9" t="s">
        <v>1742</v>
      </c>
    </row>
    <row r="1150" spans="1:17" x14ac:dyDescent="0.25">
      <c r="A1150" s="8" t="s">
        <v>8493</v>
      </c>
      <c r="B1150" s="8" t="s">
        <v>8494</v>
      </c>
      <c r="C1150" s="9" t="s">
        <v>8495</v>
      </c>
      <c r="D1150" s="9" t="s">
        <v>106</v>
      </c>
      <c r="E1150" s="9" t="s">
        <v>8496</v>
      </c>
      <c r="F1150" s="10">
        <v>1.378</v>
      </c>
      <c r="G1150" s="10">
        <v>1.515</v>
      </c>
      <c r="H1150" s="10"/>
      <c r="I1150" s="9" t="s">
        <v>106</v>
      </c>
      <c r="J1150" s="9" t="s">
        <v>8497</v>
      </c>
      <c r="K1150" s="9" t="s">
        <v>8498</v>
      </c>
      <c r="L1150" s="8" t="s">
        <v>8499</v>
      </c>
      <c r="M1150" s="9" t="s">
        <v>36</v>
      </c>
      <c r="N1150" s="9" t="s">
        <v>8500</v>
      </c>
      <c r="O1150" s="9">
        <f>HYPERLINK("https://www.google.com/maps/search/?api=1&amp;query=37.74197179,-0.94914461", "https://www.google.com/maps/search/?api=1&amp;query=37.74197179,-0.94914461")</f>
      </c>
      <c r="P1150" s="9" t="s">
        <v>813</v>
      </c>
      <c r="Q1150" s="9" t="s">
        <v>112</v>
      </c>
    </row>
    <row r="1151" spans="1:17" x14ac:dyDescent="0.25">
      <c r="A1151" s="8" t="s">
        <v>8501</v>
      </c>
      <c r="B1151" s="8" t="s">
        <v>8502</v>
      </c>
      <c r="C1151" s="9" t="s">
        <v>8503</v>
      </c>
      <c r="D1151" s="9" t="s">
        <v>400</v>
      </c>
      <c r="E1151" s="9" t="s">
        <v>8504</v>
      </c>
      <c r="F1151" s="10">
        <v>1.378</v>
      </c>
      <c r="G1151" s="10">
        <v>1.515</v>
      </c>
      <c r="H1151" s="10"/>
      <c r="I1151" s="9" t="s">
        <v>400</v>
      </c>
      <c r="J1151" s="9" t="s">
        <v>8505</v>
      </c>
      <c r="K1151" s="9" t="s">
        <v>8506</v>
      </c>
      <c r="L1151" s="8" t="s">
        <v>8507</v>
      </c>
      <c r="M1151" s="9" t="s">
        <v>49</v>
      </c>
      <c r="N1151" s="9" t="s">
        <v>8508</v>
      </c>
      <c r="O1151" s="9">
        <f>HYPERLINK("https://www.google.com/maps/search/?api=1&amp;query=38.94622219,-0.39697597", "https://www.google.com/maps/search/?api=1&amp;query=38.94622219,-0.39697597")</f>
      </c>
      <c r="P1151" s="9" t="s">
        <v>1927</v>
      </c>
      <c r="Q1151" s="9" t="s">
        <v>7480</v>
      </c>
    </row>
    <row r="1152" spans="1:17" x14ac:dyDescent="0.25">
      <c r="A1152" s="8" t="s">
        <v>8509</v>
      </c>
      <c r="B1152" s="8" t="s">
        <v>8510</v>
      </c>
      <c r="C1152" s="9" t="s">
        <v>8511</v>
      </c>
      <c r="D1152" s="9" t="s">
        <v>1192</v>
      </c>
      <c r="E1152" s="9" t="s">
        <v>1192</v>
      </c>
      <c r="F1152" s="10">
        <v>1.378</v>
      </c>
      <c r="G1152" s="10">
        <v>1.515</v>
      </c>
      <c r="H1152" s="10"/>
      <c r="I1152" s="9" t="s">
        <v>168</v>
      </c>
      <c r="J1152" s="9" t="s">
        <v>8512</v>
      </c>
      <c r="K1152" s="9" t="s">
        <v>8513</v>
      </c>
      <c r="L1152" s="8" t="s">
        <v>8514</v>
      </c>
      <c r="M1152" s="9" t="s">
        <v>49</v>
      </c>
      <c r="N1152" s="9" t="s">
        <v>8515</v>
      </c>
      <c r="O1152" s="9">
        <f>HYPERLINK("https://www.google.com/maps/search/?api=1&amp;query=38.99604352,-3.92828053", "https://www.google.com/maps/search/?api=1&amp;query=38.99604352,-3.92828053")</f>
      </c>
      <c r="P1152" s="9" t="s">
        <v>2158</v>
      </c>
      <c r="Q1152" s="9" t="s">
        <v>1131</v>
      </c>
    </row>
    <row r="1153" spans="1:17" x14ac:dyDescent="0.25">
      <c r="A1153" s="8" t="s">
        <v>8516</v>
      </c>
      <c r="B1153" s="8" t="s">
        <v>8517</v>
      </c>
      <c r="C1153" s="9" t="s">
        <v>8518</v>
      </c>
      <c r="D1153" s="9" t="s">
        <v>434</v>
      </c>
      <c r="E1153" s="9" t="s">
        <v>8519</v>
      </c>
      <c r="F1153" s="10">
        <v>1.378</v>
      </c>
      <c r="G1153" s="10">
        <v>1.515</v>
      </c>
      <c r="H1153" s="10"/>
      <c r="I1153" s="9" t="s">
        <v>96</v>
      </c>
      <c r="J1153" s="9" t="s">
        <v>8520</v>
      </c>
      <c r="K1153" s="9" t="s">
        <v>8521</v>
      </c>
      <c r="L1153" s="8" t="s">
        <v>8522</v>
      </c>
      <c r="M1153" s="9" t="s">
        <v>36</v>
      </c>
      <c r="N1153" s="9" t="s">
        <v>8523</v>
      </c>
      <c r="O1153" s="9">
        <f>HYPERLINK("https://www.google.com/maps/search/?api=1&amp;query=41.90735183,2.66106459", "https://www.google.com/maps/search/?api=1&amp;query=41.90735183,2.66106459")</f>
      </c>
      <c r="P1153" s="9" t="s">
        <v>8524</v>
      </c>
      <c r="Q1153" s="9" t="s">
        <v>8525</v>
      </c>
    </row>
    <row r="1154" spans="1:17" x14ac:dyDescent="0.25">
      <c r="A1154" s="8" t="s">
        <v>8526</v>
      </c>
      <c r="B1154" s="8" t="s">
        <v>8527</v>
      </c>
      <c r="C1154" s="9" t="s">
        <v>8528</v>
      </c>
      <c r="D1154" s="9" t="s">
        <v>116</v>
      </c>
      <c r="E1154" s="9" t="s">
        <v>8529</v>
      </c>
      <c r="F1154" s="10">
        <v>1.378</v>
      </c>
      <c r="G1154" s="10">
        <v>1.515</v>
      </c>
      <c r="H1154" s="10"/>
      <c r="I1154" s="9" t="s">
        <v>118</v>
      </c>
      <c r="J1154" s="9" t="s">
        <v>8530</v>
      </c>
      <c r="K1154" s="9" t="s">
        <v>8531</v>
      </c>
      <c r="L1154" s="8" t="s">
        <v>8532</v>
      </c>
      <c r="M1154" s="9" t="s">
        <v>49</v>
      </c>
      <c r="N1154" s="9" t="s">
        <v>1719</v>
      </c>
      <c r="O1154" s="9">
        <f>HYPERLINK("https://www.google.com/maps/search/?api=1&amp;query=43.36587661,-2.92987212", "https://www.google.com/maps/search/?api=1&amp;query=43.36587661,-2.92987212")</f>
      </c>
      <c r="P1154" s="9" t="s">
        <v>1203</v>
      </c>
      <c r="Q1154" s="9" t="s">
        <v>8533</v>
      </c>
    </row>
    <row r="1155" spans="1:17" x14ac:dyDescent="0.25">
      <c r="A1155" s="8" t="s">
        <v>8534</v>
      </c>
      <c r="B1155" s="8" t="s">
        <v>8535</v>
      </c>
      <c r="C1155" s="9" t="s">
        <v>8536</v>
      </c>
      <c r="D1155" s="9" t="s">
        <v>1560</v>
      </c>
      <c r="E1155" s="9" t="s">
        <v>8537</v>
      </c>
      <c r="F1155" s="10">
        <v>1.378</v>
      </c>
      <c r="G1155" s="10">
        <v>1.515</v>
      </c>
      <c r="H1155" s="10"/>
      <c r="I1155" s="9" t="s">
        <v>400</v>
      </c>
      <c r="J1155" s="9" t="s">
        <v>8538</v>
      </c>
      <c r="K1155" s="9" t="s">
        <v>8539</v>
      </c>
      <c r="L1155" s="8" t="s">
        <v>8540</v>
      </c>
      <c r="M1155" s="9" t="s">
        <v>100</v>
      </c>
      <c r="N1155" s="9" t="s">
        <v>37</v>
      </c>
      <c r="O1155" s="9">
        <f>HYPERLINK("https://www.google.com/maps/search/?api=1&amp;query=39.78265183,-0.39400948", "https://www.google.com/maps/search/?api=1&amp;query=39.78265183,-0.39400948")</f>
      </c>
      <c r="P1155" s="9" t="s">
        <v>1356</v>
      </c>
      <c r="Q1155" s="9" t="s">
        <v>8541</v>
      </c>
    </row>
    <row r="1156" spans="1:17" x14ac:dyDescent="0.25">
      <c r="A1156" s="8" t="s">
        <v>8542</v>
      </c>
      <c r="B1156" s="8" t="s">
        <v>8543</v>
      </c>
      <c r="C1156" s="9" t="s">
        <v>8544</v>
      </c>
      <c r="D1156" s="9" t="s">
        <v>516</v>
      </c>
      <c r="E1156" s="9" t="s">
        <v>516</v>
      </c>
      <c r="F1156" s="10">
        <v>1.378</v>
      </c>
      <c r="G1156" s="10">
        <v>1.515</v>
      </c>
      <c r="H1156" s="10"/>
      <c r="I1156" s="9" t="s">
        <v>140</v>
      </c>
      <c r="J1156" s="9" t="s">
        <v>8545</v>
      </c>
      <c r="K1156" s="9" t="s">
        <v>8546</v>
      </c>
      <c r="L1156" s="8" t="s">
        <v>8547</v>
      </c>
      <c r="M1156" s="9" t="s">
        <v>36</v>
      </c>
      <c r="N1156" s="9" t="s">
        <v>8548</v>
      </c>
      <c r="O1156" s="9">
        <f>HYPERLINK("https://www.google.com/maps/search/?api=1&amp;query=42.93171916,-7.63436531", "https://www.google.com/maps/search/?api=1&amp;query=42.93171916,-7.63436531")</f>
      </c>
      <c r="P1156" s="9" t="s">
        <v>6966</v>
      </c>
      <c r="Q1156" s="9" t="s">
        <v>8549</v>
      </c>
    </row>
    <row r="1157" spans="1:17" x14ac:dyDescent="0.25">
      <c r="A1157" s="8" t="s">
        <v>8550</v>
      </c>
      <c r="B1157" s="8" t="s">
        <v>8551</v>
      </c>
      <c r="C1157" s="9" t="s">
        <v>8552</v>
      </c>
      <c r="D1157" s="9" t="s">
        <v>344</v>
      </c>
      <c r="E1157" s="9" t="s">
        <v>8553</v>
      </c>
      <c r="F1157" s="10">
        <v>1.378</v>
      </c>
      <c r="G1157" s="10">
        <v>1.515</v>
      </c>
      <c r="H1157" s="10"/>
      <c r="I1157" s="9" t="s">
        <v>140</v>
      </c>
      <c r="J1157" s="9" t="s">
        <v>8554</v>
      </c>
      <c r="K1157" s="9" t="s">
        <v>8555</v>
      </c>
      <c r="L1157" s="8" t="s">
        <v>8556</v>
      </c>
      <c r="M1157" s="9" t="s">
        <v>36</v>
      </c>
      <c r="N1157" s="9" t="s">
        <v>1719</v>
      </c>
      <c r="O1157" s="9">
        <f>HYPERLINK("https://www.google.com/maps/search/?api=1&amp;query=42.99590551,-8.9116304", "https://www.google.com/maps/search/?api=1&amp;query=42.99590551,-8.9116304")</f>
      </c>
      <c r="P1157" s="9" t="s">
        <v>8557</v>
      </c>
      <c r="Q1157" s="9" t="s">
        <v>8558</v>
      </c>
    </row>
    <row r="1158" spans="1:17" x14ac:dyDescent="0.25">
      <c r="A1158" s="8" t="s">
        <v>8559</v>
      </c>
      <c r="B1158" s="8" t="s">
        <v>8560</v>
      </c>
      <c r="C1158" s="9" t="s">
        <v>8561</v>
      </c>
      <c r="D1158" s="9" t="s">
        <v>631</v>
      </c>
      <c r="E1158" s="9" t="s">
        <v>8562</v>
      </c>
      <c r="F1158" s="10">
        <v>1.378</v>
      </c>
      <c r="G1158" s="10">
        <v>1.515</v>
      </c>
      <c r="H1158" s="10"/>
      <c r="I1158" s="9" t="s">
        <v>45</v>
      </c>
      <c r="J1158" s="9" t="s">
        <v>8563</v>
      </c>
      <c r="K1158" s="9" t="s">
        <v>8564</v>
      </c>
      <c r="L1158" s="8" t="s">
        <v>8565</v>
      </c>
      <c r="M1158" s="9" t="s">
        <v>49</v>
      </c>
      <c r="N1158" s="9" t="s">
        <v>66</v>
      </c>
      <c r="O1158" s="9">
        <f>HYPERLINK("https://www.google.com/maps/search/?api=1&amp;query=37.70883826,-5.28450503", "https://www.google.com/maps/search/?api=1&amp;query=37.70883826,-5.28450503")</f>
      </c>
      <c r="P1158" s="9" t="s">
        <v>8566</v>
      </c>
      <c r="Q1158" s="9" t="s">
        <v>6642</v>
      </c>
    </row>
    <row r="1159" spans="1:17" x14ac:dyDescent="0.25">
      <c r="A1159" s="8" t="s">
        <v>8567</v>
      </c>
      <c r="B1159" s="8" t="s">
        <v>8568</v>
      </c>
      <c r="C1159" s="9" t="s">
        <v>8569</v>
      </c>
      <c r="D1159" s="9" t="s">
        <v>217</v>
      </c>
      <c r="E1159" s="9" t="s">
        <v>8570</v>
      </c>
      <c r="F1159" s="10">
        <v>1.378</v>
      </c>
      <c r="G1159" s="10">
        <v>1.515</v>
      </c>
      <c r="H1159" s="10"/>
      <c r="I1159" s="9" t="s">
        <v>45</v>
      </c>
      <c r="J1159" s="9" t="s">
        <v>8571</v>
      </c>
      <c r="K1159" s="9" t="s">
        <v>8572</v>
      </c>
      <c r="L1159" s="8" t="s">
        <v>8573</v>
      </c>
      <c r="M1159" s="9" t="s">
        <v>49</v>
      </c>
      <c r="N1159" s="9" t="s">
        <v>37</v>
      </c>
      <c r="O1159" s="9">
        <f>HYPERLINK("https://www.google.com/maps/search/?api=1&amp;query=36.73120325,-4.54981369", "https://www.google.com/maps/search/?api=1&amp;query=36.73120325,-4.54981369")</f>
      </c>
      <c r="P1159" s="9" t="s">
        <v>1894</v>
      </c>
      <c r="Q1159" s="9" t="s">
        <v>8574</v>
      </c>
    </row>
    <row r="1160" spans="1:17" x14ac:dyDescent="0.25">
      <c r="A1160" s="8" t="s">
        <v>8575</v>
      </c>
      <c r="B1160" s="8" t="s">
        <v>8576</v>
      </c>
      <c r="C1160" s="9" t="s">
        <v>8577</v>
      </c>
      <c r="D1160" s="9" t="s">
        <v>1617</v>
      </c>
      <c r="E1160" s="9" t="s">
        <v>5878</v>
      </c>
      <c r="F1160" s="10">
        <v>1.378</v>
      </c>
      <c r="G1160" s="10">
        <v>1.515</v>
      </c>
      <c r="H1160" s="10"/>
      <c r="I1160" s="9" t="s">
        <v>292</v>
      </c>
      <c r="J1160" s="9" t="s">
        <v>8578</v>
      </c>
      <c r="K1160" s="9" t="s">
        <v>8579</v>
      </c>
      <c r="L1160" s="8" t="s">
        <v>5881</v>
      </c>
      <c r="M1160" s="9" t="s">
        <v>49</v>
      </c>
      <c r="N1160" s="9" t="s">
        <v>8580</v>
      </c>
      <c r="O1160" s="9">
        <f>HYPERLINK("https://www.google.com/maps/search/?api=1&amp;query=42.00564706,0.13998187", "https://www.google.com/maps/search/?api=1&amp;query=42.00564706,0.13998187")</f>
      </c>
      <c r="P1160" s="9" t="s">
        <v>915</v>
      </c>
      <c r="Q1160" s="9" t="s">
        <v>1131</v>
      </c>
    </row>
    <row r="1161" spans="1:17" x14ac:dyDescent="0.25">
      <c r="A1161" s="8" t="s">
        <v>8581</v>
      </c>
      <c r="B1161" s="8" t="s">
        <v>8582</v>
      </c>
      <c r="C1161" s="9" t="s">
        <v>8583</v>
      </c>
      <c r="D1161" s="9" t="s">
        <v>138</v>
      </c>
      <c r="E1161" s="9" t="s">
        <v>2163</v>
      </c>
      <c r="F1161" s="10">
        <v>1.378</v>
      </c>
      <c r="G1161" s="10">
        <v>1.515</v>
      </c>
      <c r="H1161" s="10"/>
      <c r="I1161" s="9" t="s">
        <v>140</v>
      </c>
      <c r="J1161" s="9" t="s">
        <v>8584</v>
      </c>
      <c r="K1161" s="9" t="s">
        <v>8585</v>
      </c>
      <c r="L1161" s="8" t="s">
        <v>8586</v>
      </c>
      <c r="M1161" s="9" t="s">
        <v>49</v>
      </c>
      <c r="N1161" s="9" t="s">
        <v>211</v>
      </c>
      <c r="O1161" s="9">
        <f>HYPERLINK("https://www.google.com/maps/search/?api=1&amp;query=42.22438621,-8.71157772", "https://www.google.com/maps/search/?api=1&amp;query=42.22438621,-8.71157772")</f>
      </c>
      <c r="P1161" s="9" t="s">
        <v>5569</v>
      </c>
      <c r="Q1161" s="9" t="s">
        <v>874</v>
      </c>
    </row>
    <row r="1162" spans="1:17" x14ac:dyDescent="0.25">
      <c r="A1162" s="8" t="s">
        <v>8587</v>
      </c>
      <c r="B1162" s="8" t="s">
        <v>8588</v>
      </c>
      <c r="C1162" s="9" t="s">
        <v>8589</v>
      </c>
      <c r="D1162" s="9" t="s">
        <v>43</v>
      </c>
      <c r="E1162" s="9" t="s">
        <v>8590</v>
      </c>
      <c r="F1162" s="10">
        <v>1.378</v>
      </c>
      <c r="G1162" s="10">
        <v>1.515</v>
      </c>
      <c r="H1162" s="10"/>
      <c r="I1162" s="9" t="s">
        <v>45</v>
      </c>
      <c r="J1162" s="9" t="s">
        <v>8591</v>
      </c>
      <c r="K1162" s="9" t="s">
        <v>8592</v>
      </c>
      <c r="L1162" s="8" t="s">
        <v>8593</v>
      </c>
      <c r="M1162" s="9" t="s">
        <v>36</v>
      </c>
      <c r="N1162" s="9" t="s">
        <v>7163</v>
      </c>
      <c r="O1162" s="9">
        <f>HYPERLINK("https://www.google.com/maps/search/?api=1&amp;query=37.95547513,-6.95435318", "https://www.google.com/maps/search/?api=1&amp;query=37.95547513,-6.95435318")</f>
      </c>
      <c r="P1162" s="9" t="s">
        <v>1373</v>
      </c>
      <c r="Q1162" s="9" t="s">
        <v>3073</v>
      </c>
    </row>
    <row r="1163" spans="1:17" x14ac:dyDescent="0.25">
      <c r="A1163" s="8" t="s">
        <v>8594</v>
      </c>
      <c r="B1163" s="8" t="s">
        <v>8595</v>
      </c>
      <c r="C1163" s="9" t="s">
        <v>8596</v>
      </c>
      <c r="D1163" s="9" t="s">
        <v>155</v>
      </c>
      <c r="E1163" s="9" t="s">
        <v>8597</v>
      </c>
      <c r="F1163" s="10">
        <v>1.378</v>
      </c>
      <c r="G1163" s="10">
        <v>1.515</v>
      </c>
      <c r="H1163" s="10"/>
      <c r="I1163" s="9" t="s">
        <v>157</v>
      </c>
      <c r="J1163" s="9" t="s">
        <v>8598</v>
      </c>
      <c r="K1163" s="9" t="s">
        <v>8599</v>
      </c>
      <c r="L1163" s="8" t="s">
        <v>8600</v>
      </c>
      <c r="M1163" s="9" t="s">
        <v>49</v>
      </c>
      <c r="N1163" s="9" t="s">
        <v>211</v>
      </c>
      <c r="O1163" s="9">
        <f>HYPERLINK("https://www.google.com/maps/search/?api=1&amp;query=38.98808143,1.53908851", "https://www.google.com/maps/search/?api=1&amp;query=38.98808143,1.53908851")</f>
      </c>
      <c r="P1163" s="9" t="s">
        <v>8601</v>
      </c>
      <c r="Q1163" s="9" t="s">
        <v>7794</v>
      </c>
    </row>
    <row r="1164" spans="1:17" x14ac:dyDescent="0.25">
      <c r="A1164" s="8" t="s">
        <v>8602</v>
      </c>
      <c r="B1164" s="8" t="s">
        <v>8603</v>
      </c>
      <c r="C1164" s="9" t="s">
        <v>8604</v>
      </c>
      <c r="D1164" s="9" t="s">
        <v>1282</v>
      </c>
      <c r="E1164" s="9" t="s">
        <v>8605</v>
      </c>
      <c r="F1164" s="10">
        <v>1.378</v>
      </c>
      <c r="G1164" s="10">
        <v>1.515</v>
      </c>
      <c r="H1164" s="10"/>
      <c r="I1164" s="9" t="s">
        <v>45</v>
      </c>
      <c r="J1164" s="9" t="s">
        <v>8606</v>
      </c>
      <c r="K1164" s="9" t="s">
        <v>8607</v>
      </c>
      <c r="L1164" s="8" t="s">
        <v>8608</v>
      </c>
      <c r="M1164" s="9" t="s">
        <v>49</v>
      </c>
      <c r="N1164" s="9" t="s">
        <v>592</v>
      </c>
      <c r="O1164" s="9">
        <f>HYPERLINK("https://www.google.com/maps/search/?api=1&amp;query=36.92067139,-3.47293688", "https://www.google.com/maps/search/?api=1&amp;query=36.92067139,-3.47293688")</f>
      </c>
      <c r="P1164" s="9" t="s">
        <v>321</v>
      </c>
      <c r="Q1164" s="9" t="s">
        <v>618</v>
      </c>
    </row>
    <row r="1165" spans="1:17" x14ac:dyDescent="0.25">
      <c r="A1165" s="8" t="s">
        <v>8609</v>
      </c>
      <c r="B1165" s="8" t="s">
        <v>8610</v>
      </c>
      <c r="C1165" s="9" t="s">
        <v>8611</v>
      </c>
      <c r="D1165" s="9" t="s">
        <v>409</v>
      </c>
      <c r="E1165" s="9" t="s">
        <v>8612</v>
      </c>
      <c r="F1165" s="10">
        <v>1.378</v>
      </c>
      <c r="G1165" s="10">
        <v>1.515</v>
      </c>
      <c r="H1165" s="10"/>
      <c r="I1165" s="9" t="s">
        <v>292</v>
      </c>
      <c r="J1165" s="9" t="s">
        <v>8613</v>
      </c>
      <c r="K1165" s="9" t="s">
        <v>8614</v>
      </c>
      <c r="L1165" s="8" t="s">
        <v>8615</v>
      </c>
      <c r="M1165" s="9" t="s">
        <v>49</v>
      </c>
      <c r="N1165" s="9" t="s">
        <v>88</v>
      </c>
      <c r="O1165" s="9">
        <f>HYPERLINK("https://www.google.com/maps/search/?api=1&amp;query=42.12790531,-1.13036649", "https://www.google.com/maps/search/?api=1&amp;query=42.12790531,-1.13036649")</f>
      </c>
      <c r="P1165" s="9" t="s">
        <v>3165</v>
      </c>
      <c r="Q1165" s="9" t="s">
        <v>539</v>
      </c>
    </row>
    <row r="1166" spans="1:17" x14ac:dyDescent="0.25">
      <c r="A1166" s="8" t="s">
        <v>8616</v>
      </c>
      <c r="B1166" s="8" t="s">
        <v>8617</v>
      </c>
      <c r="C1166" s="9" t="s">
        <v>8618</v>
      </c>
      <c r="D1166" s="9" t="s">
        <v>444</v>
      </c>
      <c r="E1166" s="9" t="s">
        <v>8619</v>
      </c>
      <c r="F1166" s="10">
        <v>1.378</v>
      </c>
      <c r="G1166" s="10">
        <v>1.515</v>
      </c>
      <c r="H1166" s="10"/>
      <c r="I1166" s="9" t="s">
        <v>444</v>
      </c>
      <c r="J1166" s="9" t="s">
        <v>8620</v>
      </c>
      <c r="K1166" s="9" t="s">
        <v>8621</v>
      </c>
      <c r="L1166" s="8" t="s">
        <v>8622</v>
      </c>
      <c r="M1166" s="9" t="s">
        <v>49</v>
      </c>
      <c r="N1166" s="9" t="s">
        <v>88</v>
      </c>
      <c r="O1166" s="9">
        <f>HYPERLINK("https://www.google.com/maps/search/?api=1&amp;query=43.38177823,-4.55713399", "https://www.google.com/maps/search/?api=1&amp;query=43.38177823,-4.55713399")</f>
      </c>
      <c r="P1166" s="9" t="s">
        <v>1373</v>
      </c>
      <c r="Q1166" s="9" t="s">
        <v>618</v>
      </c>
    </row>
    <row r="1167" spans="1:17" x14ac:dyDescent="0.25">
      <c r="A1167" s="8" t="s">
        <v>8623</v>
      </c>
      <c r="B1167" s="8" t="s">
        <v>8624</v>
      </c>
      <c r="C1167" s="9" t="s">
        <v>8625</v>
      </c>
      <c r="D1167" s="9" t="s">
        <v>83</v>
      </c>
      <c r="E1167" s="9" t="s">
        <v>8626</v>
      </c>
      <c r="F1167" s="10">
        <v>1.378</v>
      </c>
      <c r="G1167" s="10">
        <v>1.515</v>
      </c>
      <c r="H1167" s="10"/>
      <c r="I1167" s="9" t="s">
        <v>83</v>
      </c>
      <c r="J1167" s="9" t="s">
        <v>8627</v>
      </c>
      <c r="K1167" s="9" t="s">
        <v>8628</v>
      </c>
      <c r="L1167" s="8" t="s">
        <v>8629</v>
      </c>
      <c r="M1167" s="9" t="s">
        <v>100</v>
      </c>
      <c r="N1167" s="9" t="s">
        <v>211</v>
      </c>
      <c r="O1167" s="9">
        <f>HYPERLINK("https://www.google.com/maps/search/?api=1&amp;query=40.58818698,-4.12917208", "https://www.google.com/maps/search/?api=1&amp;query=40.58818698,-4.12917208")</f>
      </c>
      <c r="P1167" s="9" t="s">
        <v>172</v>
      </c>
      <c r="Q1167" s="9" t="s">
        <v>8630</v>
      </c>
    </row>
    <row r="1168" spans="1:17" x14ac:dyDescent="0.25">
      <c r="A1168" s="8" t="s">
        <v>8631</v>
      </c>
      <c r="B1168" s="8" t="s">
        <v>8632</v>
      </c>
      <c r="C1168" s="9" t="s">
        <v>8633</v>
      </c>
      <c r="D1168" s="9" t="s">
        <v>516</v>
      </c>
      <c r="E1168" s="9" t="s">
        <v>5115</v>
      </c>
      <c r="F1168" s="10">
        <v>1.378</v>
      </c>
      <c r="G1168" s="10">
        <v>1.515</v>
      </c>
      <c r="H1168" s="10"/>
      <c r="I1168" s="9" t="s">
        <v>140</v>
      </c>
      <c r="J1168" s="9" t="s">
        <v>8634</v>
      </c>
      <c r="K1168" s="9" t="s">
        <v>8635</v>
      </c>
      <c r="L1168" s="8" t="s">
        <v>5118</v>
      </c>
      <c r="M1168" s="9" t="s">
        <v>49</v>
      </c>
      <c r="N1168" s="9" t="s">
        <v>211</v>
      </c>
      <c r="O1168" s="9">
        <f>HYPERLINK("https://www.google.com/maps/search/?api=1&amp;query=42.5199624,-7.51341206", "https://www.google.com/maps/search/?api=1&amp;query=42.5199624,-7.51341206")</f>
      </c>
      <c r="P1168" s="9" t="s">
        <v>1637</v>
      </c>
      <c r="Q1168" s="9" t="s">
        <v>8636</v>
      </c>
    </row>
    <row r="1169" spans="1:17" x14ac:dyDescent="0.25">
      <c r="A1169" s="8" t="s">
        <v>8637</v>
      </c>
      <c r="B1169" s="8" t="s">
        <v>8638</v>
      </c>
      <c r="C1169" s="9" t="s">
        <v>7860</v>
      </c>
      <c r="D1169" s="9" t="s">
        <v>2288</v>
      </c>
      <c r="E1169" s="9" t="s">
        <v>8639</v>
      </c>
      <c r="F1169" s="10">
        <v>1.378</v>
      </c>
      <c r="G1169" s="10">
        <v>1.515</v>
      </c>
      <c r="H1169" s="10"/>
      <c r="I1169" s="9" t="s">
        <v>168</v>
      </c>
      <c r="J1169" s="9" t="s">
        <v>8640</v>
      </c>
      <c r="K1169" s="9" t="s">
        <v>8641</v>
      </c>
      <c r="L1169" s="8" t="s">
        <v>8642</v>
      </c>
      <c r="M1169" s="9" t="s">
        <v>36</v>
      </c>
      <c r="N1169" s="9" t="s">
        <v>66</v>
      </c>
      <c r="O1169" s="9">
        <f>HYPERLINK("https://www.google.com/maps/search/?api=1&amp;query=38.75740991,-0.95658729", "https://www.google.com/maps/search/?api=1&amp;query=38.75740991,-0.95658729")</f>
      </c>
      <c r="P1169" s="9" t="s">
        <v>6241</v>
      </c>
      <c r="Q1169" s="9" t="s">
        <v>7038</v>
      </c>
    </row>
    <row r="1170" spans="1:17" x14ac:dyDescent="0.25">
      <c r="A1170" s="8" t="s">
        <v>8643</v>
      </c>
      <c r="B1170" s="8" t="s">
        <v>8644</v>
      </c>
      <c r="C1170" s="9" t="s">
        <v>8645</v>
      </c>
      <c r="D1170" s="9" t="s">
        <v>631</v>
      </c>
      <c r="E1170" s="9" t="s">
        <v>1047</v>
      </c>
      <c r="F1170" s="10">
        <v>1.378</v>
      </c>
      <c r="G1170" s="10">
        <v>1.515</v>
      </c>
      <c r="H1170" s="10"/>
      <c r="I1170" s="9" t="s">
        <v>45</v>
      </c>
      <c r="J1170" s="9" t="s">
        <v>8646</v>
      </c>
      <c r="K1170" s="9" t="s">
        <v>8647</v>
      </c>
      <c r="L1170" s="8" t="s">
        <v>1339</v>
      </c>
      <c r="M1170" s="9" t="s">
        <v>36</v>
      </c>
      <c r="N1170" s="9" t="s">
        <v>8648</v>
      </c>
      <c r="O1170" s="9">
        <f>HYPERLINK("https://www.google.com/maps/search/?api=1&amp;query=37.91842924,-4.70127914", "https://www.google.com/maps/search/?api=1&amp;query=37.91842924,-4.70127914")</f>
      </c>
      <c r="P1170" s="9" t="s">
        <v>4045</v>
      </c>
      <c r="Q1170" s="9" t="s">
        <v>8649</v>
      </c>
    </row>
    <row r="1171" spans="1:17" x14ac:dyDescent="0.25">
      <c r="A1171" s="8" t="s">
        <v>8650</v>
      </c>
      <c r="B1171" s="8" t="s">
        <v>8651</v>
      </c>
      <c r="C1171" s="9" t="s">
        <v>8652</v>
      </c>
      <c r="D1171" s="9" t="s">
        <v>400</v>
      </c>
      <c r="E1171" s="9" t="s">
        <v>936</v>
      </c>
      <c r="F1171" s="10">
        <v>1.378</v>
      </c>
      <c r="G1171" s="10">
        <v>1.515</v>
      </c>
      <c r="H1171" s="10"/>
      <c r="I1171" s="9" t="s">
        <v>400</v>
      </c>
      <c r="J1171" s="9" t="s">
        <v>8653</v>
      </c>
      <c r="K1171" s="9" t="s">
        <v>8654</v>
      </c>
      <c r="L1171" s="8" t="s">
        <v>939</v>
      </c>
      <c r="M1171" s="9" t="s">
        <v>49</v>
      </c>
      <c r="N1171" s="9" t="s">
        <v>88</v>
      </c>
      <c r="O1171" s="9">
        <f>HYPERLINK("https://www.google.com/maps/search/?api=1&amp;query=39.4458518,-0.61080248", "https://www.google.com/maps/search/?api=1&amp;query=39.4458518,-0.61080248")</f>
      </c>
      <c r="P1171" s="9" t="s">
        <v>1637</v>
      </c>
      <c r="Q1171" s="9" t="s">
        <v>8215</v>
      </c>
    </row>
    <row r="1172" spans="1:17" x14ac:dyDescent="0.25">
      <c r="A1172" s="8" t="s">
        <v>8655</v>
      </c>
      <c r="B1172" s="8" t="s">
        <v>8656</v>
      </c>
      <c r="C1172" s="9" t="s">
        <v>8657</v>
      </c>
      <c r="D1172" s="9" t="s">
        <v>94</v>
      </c>
      <c r="E1172" s="9" t="s">
        <v>8658</v>
      </c>
      <c r="F1172" s="10">
        <v>1.378</v>
      </c>
      <c r="G1172" s="10">
        <v>1.515</v>
      </c>
      <c r="H1172" s="10"/>
      <c r="I1172" s="9" t="s">
        <v>96</v>
      </c>
      <c r="J1172" s="9" t="s">
        <v>8659</v>
      </c>
      <c r="K1172" s="9" t="s">
        <v>8660</v>
      </c>
      <c r="L1172" s="8" t="s">
        <v>8661</v>
      </c>
      <c r="M1172" s="9" t="s">
        <v>36</v>
      </c>
      <c r="N1172" s="9" t="s">
        <v>88</v>
      </c>
      <c r="O1172" s="9">
        <f>HYPERLINK("https://www.google.com/maps/search/?api=1&amp;query=41.61553444,2.13704766", "https://www.google.com/maps/search/?api=1&amp;query=41.61553444,2.13704766")</f>
      </c>
      <c r="P1172" s="9" t="s">
        <v>3580</v>
      </c>
      <c r="Q1172" s="9" t="s">
        <v>874</v>
      </c>
    </row>
    <row r="1173" spans="1:17" x14ac:dyDescent="0.25">
      <c r="A1173" s="8" t="s">
        <v>8662</v>
      </c>
      <c r="B1173" s="8" t="s">
        <v>8663</v>
      </c>
      <c r="C1173" s="9" t="s">
        <v>8664</v>
      </c>
      <c r="D1173" s="9" t="s">
        <v>94</v>
      </c>
      <c r="E1173" s="9" t="s">
        <v>8665</v>
      </c>
      <c r="F1173" s="10">
        <v>1.378</v>
      </c>
      <c r="G1173" s="10">
        <v>1.515</v>
      </c>
      <c r="H1173" s="10"/>
      <c r="I1173" s="9" t="s">
        <v>96</v>
      </c>
      <c r="J1173" s="9" t="s">
        <v>8666</v>
      </c>
      <c r="K1173" s="9" t="s">
        <v>8667</v>
      </c>
      <c r="L1173" s="8" t="s">
        <v>8668</v>
      </c>
      <c r="M1173" s="9" t="s">
        <v>100</v>
      </c>
      <c r="N1173" s="9" t="s">
        <v>88</v>
      </c>
      <c r="O1173" s="9">
        <f>HYPERLINK("https://www.google.com/maps/search/?api=1&amp;query=41.55231261,1.88017577", "https://www.google.com/maps/search/?api=1&amp;query=41.55231261,1.88017577")</f>
      </c>
      <c r="P1173" s="9" t="s">
        <v>1645</v>
      </c>
      <c r="Q1173" s="9" t="s">
        <v>8669</v>
      </c>
    </row>
    <row r="1174" spans="1:17" x14ac:dyDescent="0.25">
      <c r="A1174" s="8" t="s">
        <v>8670</v>
      </c>
      <c r="B1174" s="8" t="s">
        <v>8671</v>
      </c>
      <c r="C1174" s="9" t="s">
        <v>8672</v>
      </c>
      <c r="D1174" s="9" t="s">
        <v>197</v>
      </c>
      <c r="E1174" s="9" t="s">
        <v>8673</v>
      </c>
      <c r="F1174" s="10">
        <v>1.378</v>
      </c>
      <c r="G1174" s="10">
        <v>1.515</v>
      </c>
      <c r="H1174" s="10"/>
      <c r="I1174" s="9" t="s">
        <v>168</v>
      </c>
      <c r="J1174" s="9" t="s">
        <v>8674</v>
      </c>
      <c r="K1174" s="9" t="s">
        <v>8675</v>
      </c>
      <c r="L1174" s="8" t="s">
        <v>8676</v>
      </c>
      <c r="M1174" s="9" t="s">
        <v>36</v>
      </c>
      <c r="N1174" s="9" t="s">
        <v>37</v>
      </c>
      <c r="O1174" s="9">
        <f>HYPERLINK("https://www.google.com/maps/search/?api=1&amp;query=39.51650409,-3.52283608", "https://www.google.com/maps/search/?api=1&amp;query=39.51650409,-3.52283608")</f>
      </c>
      <c r="P1174" s="9" t="s">
        <v>1250</v>
      </c>
      <c r="Q1174" s="9" t="s">
        <v>1131</v>
      </c>
    </row>
    <row r="1175" spans="1:17" x14ac:dyDescent="0.25">
      <c r="A1175" s="8" t="s">
        <v>8677</v>
      </c>
      <c r="B1175" s="8" t="s">
        <v>8678</v>
      </c>
      <c r="C1175" s="9" t="s">
        <v>8679</v>
      </c>
      <c r="D1175" s="9" t="s">
        <v>1483</v>
      </c>
      <c r="E1175" s="9" t="s">
        <v>8680</v>
      </c>
      <c r="F1175" s="10">
        <v>1.378</v>
      </c>
      <c r="G1175" s="10">
        <v>1.515</v>
      </c>
      <c r="H1175" s="10"/>
      <c r="I1175" s="9" t="s">
        <v>74</v>
      </c>
      <c r="J1175" s="9" t="s">
        <v>8681</v>
      </c>
      <c r="K1175" s="9" t="s">
        <v>8682</v>
      </c>
      <c r="L1175" s="8" t="s">
        <v>8683</v>
      </c>
      <c r="M1175" s="9" t="s">
        <v>100</v>
      </c>
      <c r="N1175" s="9" t="s">
        <v>211</v>
      </c>
      <c r="O1175" s="9">
        <f>HYPERLINK("https://www.google.com/maps/search/?api=1&amp;query=42.294444,-3.8465", "https://www.google.com/maps/search/?api=1&amp;query=42.294444,-3.8465")</f>
      </c>
      <c r="P1175" s="9" t="s">
        <v>321</v>
      </c>
      <c r="Q1175" s="9" t="s">
        <v>8684</v>
      </c>
    </row>
    <row r="1176" spans="1:17" x14ac:dyDescent="0.25">
      <c r="A1176" s="8" t="s">
        <v>8685</v>
      </c>
      <c r="B1176" s="8" t="s">
        <v>8686</v>
      </c>
      <c r="C1176" s="9" t="s">
        <v>8687</v>
      </c>
      <c r="D1176" s="9" t="s">
        <v>1560</v>
      </c>
      <c r="E1176" s="9" t="s">
        <v>8688</v>
      </c>
      <c r="F1176" s="10">
        <v>1.378</v>
      </c>
      <c r="G1176" s="10">
        <v>1.515</v>
      </c>
      <c r="H1176" s="10"/>
      <c r="I1176" s="9" t="s">
        <v>400</v>
      </c>
      <c r="J1176" s="9" t="s">
        <v>8689</v>
      </c>
      <c r="K1176" s="9" t="s">
        <v>8690</v>
      </c>
      <c r="L1176" s="8" t="s">
        <v>8691</v>
      </c>
      <c r="M1176" s="9" t="s">
        <v>36</v>
      </c>
      <c r="N1176" s="9" t="s">
        <v>1695</v>
      </c>
      <c r="O1176" s="9">
        <f>HYPERLINK("https://www.google.com/maps/search/?api=1&amp;query=40.18673078,0.04480697", "https://www.google.com/maps/search/?api=1&amp;query=40.18673078,0.04480697")</f>
      </c>
      <c r="P1176" s="9" t="s">
        <v>8692</v>
      </c>
      <c r="Q1176" s="9" t="s">
        <v>3744</v>
      </c>
    </row>
    <row r="1177" spans="1:17" x14ac:dyDescent="0.25">
      <c r="A1177" s="8" t="s">
        <v>8693</v>
      </c>
      <c r="B1177" s="8" t="s">
        <v>8694</v>
      </c>
      <c r="C1177" s="9" t="s">
        <v>8695</v>
      </c>
      <c r="D1177" s="9" t="s">
        <v>488</v>
      </c>
      <c r="E1177" s="9" t="s">
        <v>8696</v>
      </c>
      <c r="F1177" s="10">
        <v>1.378</v>
      </c>
      <c r="G1177" s="10">
        <v>1.515</v>
      </c>
      <c r="H1177" s="10"/>
      <c r="I1177" s="9" t="s">
        <v>45</v>
      </c>
      <c r="J1177" s="9" t="s">
        <v>8697</v>
      </c>
      <c r="K1177" s="9" t="s">
        <v>8698</v>
      </c>
      <c r="L1177" s="8" t="s">
        <v>8699</v>
      </c>
      <c r="M1177" s="9" t="s">
        <v>49</v>
      </c>
      <c r="N1177" s="9" t="s">
        <v>88</v>
      </c>
      <c r="O1177" s="9">
        <f>HYPERLINK("https://www.google.com/maps/search/?api=1&amp;query=37.45072994,-3.92084655", "https://www.google.com/maps/search/?api=1&amp;query=37.45072994,-3.92084655")</f>
      </c>
      <c r="P1177" s="9" t="s">
        <v>493</v>
      </c>
      <c r="Q1177" s="9" t="s">
        <v>7794</v>
      </c>
    </row>
    <row r="1178" spans="1:17" x14ac:dyDescent="0.25">
      <c r="A1178" s="8" t="s">
        <v>8700</v>
      </c>
      <c r="B1178" s="8" t="s">
        <v>8701</v>
      </c>
      <c r="C1178" s="9" t="s">
        <v>8702</v>
      </c>
      <c r="D1178" s="9" t="s">
        <v>409</v>
      </c>
      <c r="E1178" s="9" t="s">
        <v>6013</v>
      </c>
      <c r="F1178" s="10">
        <v>1.378</v>
      </c>
      <c r="G1178" s="10">
        <v>1.515</v>
      </c>
      <c r="H1178" s="10"/>
      <c r="I1178" s="9" t="s">
        <v>292</v>
      </c>
      <c r="J1178" s="9" t="s">
        <v>8703</v>
      </c>
      <c r="K1178" s="9" t="s">
        <v>8704</v>
      </c>
      <c r="L1178" s="8" t="s">
        <v>6016</v>
      </c>
      <c r="M1178" s="9" t="s">
        <v>49</v>
      </c>
      <c r="N1178" s="9" t="s">
        <v>88</v>
      </c>
      <c r="O1178" s="9">
        <f>HYPERLINK("https://www.google.com/maps/search/?api=1&amp;query=41.35221272,-1.64653691", "https://www.google.com/maps/search/?api=1&amp;query=41.35221272,-1.64653691")</f>
      </c>
      <c r="P1178" s="9" t="s">
        <v>3165</v>
      </c>
      <c r="Q1178" s="9" t="s">
        <v>112</v>
      </c>
    </row>
    <row r="1179" spans="1:17" x14ac:dyDescent="0.25">
      <c r="A1179" s="8" t="s">
        <v>8705</v>
      </c>
      <c r="B1179" s="8" t="s">
        <v>8706</v>
      </c>
      <c r="C1179" s="9" t="s">
        <v>7298</v>
      </c>
      <c r="D1179" s="9" t="s">
        <v>106</v>
      </c>
      <c r="E1179" s="9" t="s">
        <v>8707</v>
      </c>
      <c r="F1179" s="10">
        <v>1.378</v>
      </c>
      <c r="G1179" s="10">
        <v>1.515</v>
      </c>
      <c r="H1179" s="10"/>
      <c r="I1179" s="9" t="s">
        <v>106</v>
      </c>
      <c r="J1179" s="9" t="s">
        <v>8708</v>
      </c>
      <c r="K1179" s="9" t="s">
        <v>8709</v>
      </c>
      <c r="L1179" s="8" t="s">
        <v>8710</v>
      </c>
      <c r="M1179" s="9" t="s">
        <v>49</v>
      </c>
      <c r="N1179" s="9" t="s">
        <v>88</v>
      </c>
      <c r="O1179" s="9">
        <f>HYPERLINK("https://www.google.com/maps/search/?api=1&amp;query=37.97709417,-1.21897565", "https://www.google.com/maps/search/?api=1&amp;query=37.97709417,-1.21897565")</f>
      </c>
      <c r="P1179" s="9" t="s">
        <v>1645</v>
      </c>
      <c r="Q1179" s="9" t="s">
        <v>8711</v>
      </c>
    </row>
    <row r="1180" spans="1:17" x14ac:dyDescent="0.25">
      <c r="A1180" s="8" t="s">
        <v>8712</v>
      </c>
      <c r="B1180" s="8" t="s">
        <v>8713</v>
      </c>
      <c r="C1180" s="9" t="s">
        <v>8714</v>
      </c>
      <c r="D1180" s="9" t="s">
        <v>409</v>
      </c>
      <c r="E1180" s="9" t="s">
        <v>8715</v>
      </c>
      <c r="F1180" s="10">
        <v>1.378</v>
      </c>
      <c r="G1180" s="10">
        <v>1.515</v>
      </c>
      <c r="H1180" s="10"/>
      <c r="I1180" s="9" t="s">
        <v>292</v>
      </c>
      <c r="J1180" s="9" t="s">
        <v>8716</v>
      </c>
      <c r="K1180" s="9" t="s">
        <v>8717</v>
      </c>
      <c r="L1180" s="8" t="s">
        <v>8718</v>
      </c>
      <c r="M1180" s="9" t="s">
        <v>36</v>
      </c>
      <c r="N1180" s="9" t="s">
        <v>8719</v>
      </c>
      <c r="O1180" s="9">
        <f>HYPERLINK("https://www.google.com/maps/search/?api=1&amp;query=41.52188496,-1.60001048", "https://www.google.com/maps/search/?api=1&amp;query=41.52188496,-1.60001048")</f>
      </c>
      <c r="P1180" s="9" t="s">
        <v>2865</v>
      </c>
      <c r="Q1180" s="9" t="s">
        <v>8720</v>
      </c>
    </row>
    <row r="1181" spans="1:17" x14ac:dyDescent="0.25">
      <c r="A1181" s="8" t="s">
        <v>8721</v>
      </c>
      <c r="B1181" s="8" t="s">
        <v>8722</v>
      </c>
      <c r="C1181" s="9" t="s">
        <v>8723</v>
      </c>
      <c r="D1181" s="9" t="s">
        <v>94</v>
      </c>
      <c r="E1181" s="9" t="s">
        <v>8724</v>
      </c>
      <c r="F1181" s="10">
        <v>1.378</v>
      </c>
      <c r="G1181" s="10">
        <v>1.515</v>
      </c>
      <c r="H1181" s="10"/>
      <c r="I1181" s="9" t="s">
        <v>96</v>
      </c>
      <c r="J1181" s="9" t="s">
        <v>8725</v>
      </c>
      <c r="K1181" s="9" t="s">
        <v>8726</v>
      </c>
      <c r="L1181" s="8" t="s">
        <v>8727</v>
      </c>
      <c r="M1181" s="9" t="s">
        <v>36</v>
      </c>
      <c r="N1181" s="9" t="s">
        <v>88</v>
      </c>
      <c r="O1181" s="9">
        <f>HYPERLINK("https://www.google.com/maps/search/?api=1&amp;query=41.5741296,2.20935689", "https://www.google.com/maps/search/?api=1&amp;query=41.5741296,2.20935689")</f>
      </c>
      <c r="P1181" s="9" t="s">
        <v>3400</v>
      </c>
      <c r="Q1181" s="9" t="s">
        <v>2764</v>
      </c>
    </row>
    <row r="1182" spans="1:17" x14ac:dyDescent="0.25">
      <c r="A1182" s="8" t="s">
        <v>8728</v>
      </c>
      <c r="B1182" s="8" t="s">
        <v>8729</v>
      </c>
      <c r="C1182" s="9" t="s">
        <v>8730</v>
      </c>
      <c r="D1182" s="9" t="s">
        <v>1434</v>
      </c>
      <c r="E1182" s="9" t="s">
        <v>8731</v>
      </c>
      <c r="F1182" s="10">
        <v>1.378</v>
      </c>
      <c r="G1182" s="10">
        <v>1.515</v>
      </c>
      <c r="H1182" s="10"/>
      <c r="I1182" s="9" t="s">
        <v>1434</v>
      </c>
      <c r="J1182" s="9" t="s">
        <v>8732</v>
      </c>
      <c r="K1182" s="9" t="s">
        <v>8733</v>
      </c>
      <c r="L1182" s="8" t="s">
        <v>8734</v>
      </c>
      <c r="M1182" s="9" t="s">
        <v>36</v>
      </c>
      <c r="N1182" s="9" t="s">
        <v>2856</v>
      </c>
      <c r="O1182" s="9">
        <f>HYPERLINK("https://www.google.com/maps/search/?api=1&amp;query=42.43138975,-2.28006685", "https://www.google.com/maps/search/?api=1&amp;query=42.43138975,-2.28006685")</f>
      </c>
      <c r="P1182" s="9" t="s">
        <v>8735</v>
      </c>
      <c r="Q1182" s="9" t="s">
        <v>1131</v>
      </c>
    </row>
    <row r="1183" spans="1:17" x14ac:dyDescent="0.25">
      <c r="A1183" s="8" t="s">
        <v>8736</v>
      </c>
      <c r="B1183" s="8" t="s">
        <v>8737</v>
      </c>
      <c r="C1183" s="9" t="s">
        <v>8738</v>
      </c>
      <c r="D1183" s="9" t="s">
        <v>434</v>
      </c>
      <c r="E1183" s="9" t="s">
        <v>8739</v>
      </c>
      <c r="F1183" s="10">
        <v>1.378</v>
      </c>
      <c r="G1183" s="10">
        <v>1.515</v>
      </c>
      <c r="H1183" s="10"/>
      <c r="I1183" s="9" t="s">
        <v>96</v>
      </c>
      <c r="J1183" s="9" t="s">
        <v>8740</v>
      </c>
      <c r="K1183" s="9" t="s">
        <v>8741</v>
      </c>
      <c r="L1183" s="8" t="s">
        <v>8742</v>
      </c>
      <c r="M1183" s="9" t="s">
        <v>49</v>
      </c>
      <c r="N1183" s="9" t="s">
        <v>37</v>
      </c>
      <c r="O1183" s="9">
        <f>HYPERLINK("https://www.google.com/maps/search/?api=1&amp;query=41.90685705,2.85376636", "https://www.google.com/maps/search/?api=1&amp;query=41.90685705,2.85376636")</f>
      </c>
      <c r="P1183" s="9" t="s">
        <v>1250</v>
      </c>
      <c r="Q1183" s="9" t="s">
        <v>593</v>
      </c>
    </row>
    <row r="1184" spans="1:17" x14ac:dyDescent="0.25">
      <c r="A1184" s="8" t="s">
        <v>8743</v>
      </c>
      <c r="B1184" s="8" t="s">
        <v>8744</v>
      </c>
      <c r="C1184" s="9" t="s">
        <v>7854</v>
      </c>
      <c r="D1184" s="9" t="s">
        <v>106</v>
      </c>
      <c r="E1184" s="9" t="s">
        <v>8745</v>
      </c>
      <c r="F1184" s="10">
        <v>1.378</v>
      </c>
      <c r="G1184" s="10">
        <v>1.515</v>
      </c>
      <c r="H1184" s="10"/>
      <c r="I1184" s="9" t="s">
        <v>106</v>
      </c>
      <c r="J1184" s="9" t="s">
        <v>8746</v>
      </c>
      <c r="K1184" s="9" t="s">
        <v>8747</v>
      </c>
      <c r="L1184" s="8" t="s">
        <v>8748</v>
      </c>
      <c r="M1184" s="9" t="s">
        <v>36</v>
      </c>
      <c r="N1184" s="9" t="s">
        <v>88</v>
      </c>
      <c r="O1184" s="9">
        <f>HYPERLINK("https://www.google.com/maps/search/?api=1&amp;query=37.71294428,-1.59091172", "https://www.google.com/maps/search/?api=1&amp;query=37.71294428,-1.59091172")</f>
      </c>
      <c r="P1184" s="9" t="s">
        <v>705</v>
      </c>
      <c r="Q1184" s="9" t="s">
        <v>8749</v>
      </c>
    </row>
    <row r="1185" spans="1:17" x14ac:dyDescent="0.25">
      <c r="A1185" s="8" t="s">
        <v>8750</v>
      </c>
      <c r="B1185" s="8" t="s">
        <v>8751</v>
      </c>
      <c r="C1185" s="9" t="s">
        <v>8752</v>
      </c>
      <c r="D1185" s="9" t="s">
        <v>187</v>
      </c>
      <c r="E1185" s="9" t="s">
        <v>8753</v>
      </c>
      <c r="F1185" s="10">
        <v>1.378</v>
      </c>
      <c r="G1185" s="10">
        <v>1.515</v>
      </c>
      <c r="H1185" s="10"/>
      <c r="I1185" s="9" t="s">
        <v>74</v>
      </c>
      <c r="J1185" s="9" t="s">
        <v>8754</v>
      </c>
      <c r="K1185" s="9" t="s">
        <v>8755</v>
      </c>
      <c r="L1185" s="8" t="s">
        <v>8756</v>
      </c>
      <c r="M1185" s="9" t="s">
        <v>49</v>
      </c>
      <c r="N1185" s="9" t="s">
        <v>8757</v>
      </c>
      <c r="O1185" s="9">
        <f>HYPERLINK("https://www.google.com/maps/search/?api=1&amp;query=42.41778826,-6.82417476", "https://www.google.com/maps/search/?api=1&amp;query=42.41778826,-6.82417476")</f>
      </c>
      <c r="P1185" s="9" t="s">
        <v>521</v>
      </c>
      <c r="Q1185" s="9" t="s">
        <v>8758</v>
      </c>
    </row>
    <row r="1186" spans="1:17" x14ac:dyDescent="0.25">
      <c r="A1186" s="8" t="s">
        <v>8759</v>
      </c>
      <c r="B1186" s="8" t="s">
        <v>8760</v>
      </c>
      <c r="C1186" s="9" t="s">
        <v>8761</v>
      </c>
      <c r="D1186" s="9" t="s">
        <v>253</v>
      </c>
      <c r="E1186" s="9" t="s">
        <v>2097</v>
      </c>
      <c r="F1186" s="10">
        <v>1.378</v>
      </c>
      <c r="G1186" s="10">
        <v>1.515</v>
      </c>
      <c r="H1186" s="10"/>
      <c r="I1186" s="9" t="s">
        <v>96</v>
      </c>
      <c r="J1186" s="9" t="s">
        <v>8762</v>
      </c>
      <c r="K1186" s="9" t="s">
        <v>8763</v>
      </c>
      <c r="L1186" s="8" t="s">
        <v>2100</v>
      </c>
      <c r="M1186" s="9" t="s">
        <v>49</v>
      </c>
      <c r="N1186" s="9" t="s">
        <v>88</v>
      </c>
      <c r="O1186" s="9">
        <f>HYPERLINK("https://www.google.com/maps/search/?api=1&amp;query=41.29830255,1.25847457", "https://www.google.com/maps/search/?api=1&amp;query=41.29830255,1.25847457")</f>
      </c>
      <c r="P1186" s="9" t="s">
        <v>2529</v>
      </c>
      <c r="Q1186" s="9" t="s">
        <v>1864</v>
      </c>
    </row>
    <row r="1187" spans="1:17" x14ac:dyDescent="0.25">
      <c r="A1187" s="8" t="s">
        <v>8764</v>
      </c>
      <c r="B1187" s="8" t="s">
        <v>8765</v>
      </c>
      <c r="C1187" s="9" t="s">
        <v>8766</v>
      </c>
      <c r="D1187" s="9" t="s">
        <v>808</v>
      </c>
      <c r="E1187" s="9" t="s">
        <v>2000</v>
      </c>
      <c r="F1187" s="10">
        <v>1.378</v>
      </c>
      <c r="G1187" s="10">
        <v>1.515</v>
      </c>
      <c r="H1187" s="10"/>
      <c r="I1187" s="9" t="s">
        <v>808</v>
      </c>
      <c r="J1187" s="9" t="s">
        <v>8767</v>
      </c>
      <c r="K1187" s="9" t="s">
        <v>8768</v>
      </c>
      <c r="L1187" s="8" t="s">
        <v>2003</v>
      </c>
      <c r="M1187" s="9" t="s">
        <v>49</v>
      </c>
      <c r="N1187" s="9" t="s">
        <v>88</v>
      </c>
      <c r="O1187" s="9">
        <f>HYPERLINK("https://www.google.com/maps/search/?api=1&amp;query=43.4251238,-3.83555329", "https://www.google.com/maps/search/?api=1&amp;query=43.4251238,-3.83555329")</f>
      </c>
      <c r="P1187" s="9" t="s">
        <v>1203</v>
      </c>
      <c r="Q1187" s="9" t="s">
        <v>6642</v>
      </c>
    </row>
    <row r="1188" spans="1:17" x14ac:dyDescent="0.25">
      <c r="A1188" s="8" t="s">
        <v>8769</v>
      </c>
      <c r="B1188" s="8" t="s">
        <v>8770</v>
      </c>
      <c r="C1188" s="9" t="s">
        <v>8771</v>
      </c>
      <c r="D1188" s="9" t="s">
        <v>197</v>
      </c>
      <c r="E1188" s="9" t="s">
        <v>3615</v>
      </c>
      <c r="F1188" s="10">
        <v>1.378</v>
      </c>
      <c r="G1188" s="10">
        <v>1.515</v>
      </c>
      <c r="H1188" s="10"/>
      <c r="I1188" s="9" t="s">
        <v>168</v>
      </c>
      <c r="J1188" s="9" t="s">
        <v>8772</v>
      </c>
      <c r="K1188" s="9" t="s">
        <v>8773</v>
      </c>
      <c r="L1188" s="8" t="s">
        <v>3618</v>
      </c>
      <c r="M1188" s="9" t="s">
        <v>49</v>
      </c>
      <c r="N1188" s="9" t="s">
        <v>66</v>
      </c>
      <c r="O1188" s="9">
        <f>HYPERLINK("https://www.google.com/maps/search/?api=1&amp;query=39.96116114,-4.91315922", "https://www.google.com/maps/search/?api=1&amp;query=39.96116114,-4.91315922")</f>
      </c>
      <c r="P1188" s="9" t="s">
        <v>3530</v>
      </c>
      <c r="Q1188" s="9" t="s">
        <v>8774</v>
      </c>
    </row>
    <row r="1189" spans="1:17" x14ac:dyDescent="0.25">
      <c r="A1189" s="8" t="s">
        <v>8775</v>
      </c>
      <c r="B1189" s="8" t="s">
        <v>8776</v>
      </c>
      <c r="C1189" s="9" t="s">
        <v>8777</v>
      </c>
      <c r="D1189" s="9" t="s">
        <v>398</v>
      </c>
      <c r="E1189" s="9" t="s">
        <v>8778</v>
      </c>
      <c r="F1189" s="10">
        <v>1.378</v>
      </c>
      <c r="G1189" s="10">
        <v>1.515</v>
      </c>
      <c r="H1189" s="10"/>
      <c r="I1189" s="9" t="s">
        <v>400</v>
      </c>
      <c r="J1189" s="9" t="s">
        <v>8779</v>
      </c>
      <c r="K1189" s="9" t="s">
        <v>8780</v>
      </c>
      <c r="L1189" s="8" t="s">
        <v>8781</v>
      </c>
      <c r="M1189" s="9" t="s">
        <v>36</v>
      </c>
      <c r="N1189" s="9" t="s">
        <v>37</v>
      </c>
      <c r="O1189" s="9">
        <f>HYPERLINK("https://www.google.com/maps/search/?api=1&amp;query=38.17504945,-0.8541226", "https://www.google.com/maps/search/?api=1&amp;query=38.17504945,-0.8541226")</f>
      </c>
      <c r="P1189" s="9" t="s">
        <v>8782</v>
      </c>
      <c r="Q1189" s="9" t="s">
        <v>8783</v>
      </c>
    </row>
    <row r="1190" spans="1:17" x14ac:dyDescent="0.25">
      <c r="A1190" s="8" t="s">
        <v>8784</v>
      </c>
      <c r="B1190" s="8" t="s">
        <v>8785</v>
      </c>
      <c r="C1190" s="9" t="s">
        <v>8786</v>
      </c>
      <c r="D1190" s="9" t="s">
        <v>30</v>
      </c>
      <c r="E1190" s="9" t="s">
        <v>8787</v>
      </c>
      <c r="F1190" s="10">
        <v>1.378</v>
      </c>
      <c r="G1190" s="10">
        <v>1.515</v>
      </c>
      <c r="H1190" s="10"/>
      <c r="I1190" s="9" t="s">
        <v>32</v>
      </c>
      <c r="J1190" s="9" t="s">
        <v>8788</v>
      </c>
      <c r="K1190" s="9" t="s">
        <v>8789</v>
      </c>
      <c r="L1190" s="8" t="s">
        <v>8790</v>
      </c>
      <c r="M1190" s="9" t="s">
        <v>36</v>
      </c>
      <c r="N1190" s="9" t="s">
        <v>211</v>
      </c>
      <c r="O1190" s="9">
        <f>HYPERLINK("https://www.google.com/maps/search/?api=1&amp;query=38.51827558,-6.53227689", "https://www.google.com/maps/search/?api=1&amp;query=38.51827558,-6.53227689")</f>
      </c>
      <c r="P1190" s="9" t="s">
        <v>789</v>
      </c>
      <c r="Q1190" s="9" t="s">
        <v>2827</v>
      </c>
    </row>
    <row r="1191" spans="1:17" x14ac:dyDescent="0.25">
      <c r="A1191" s="8" t="s">
        <v>8791</v>
      </c>
      <c r="B1191" s="8" t="s">
        <v>8792</v>
      </c>
      <c r="C1191" s="9" t="s">
        <v>8793</v>
      </c>
      <c r="D1191" s="9" t="s">
        <v>2050</v>
      </c>
      <c r="E1191" s="9" t="s">
        <v>8794</v>
      </c>
      <c r="F1191" s="10">
        <v>1.378</v>
      </c>
      <c r="G1191" s="10">
        <v>1.515</v>
      </c>
      <c r="H1191" s="10"/>
      <c r="I1191" s="9" t="s">
        <v>140</v>
      </c>
      <c r="J1191" s="9" t="s">
        <v>8795</v>
      </c>
      <c r="K1191" s="9" t="s">
        <v>8796</v>
      </c>
      <c r="L1191" s="8" t="s">
        <v>8797</v>
      </c>
      <c r="M1191" s="9" t="s">
        <v>100</v>
      </c>
      <c r="N1191" s="9" t="s">
        <v>66</v>
      </c>
      <c r="O1191" s="9">
        <f>HYPERLINK("https://www.google.com/maps/search/?api=1&amp;query=42.32285888,-7.79034955", "https://www.google.com/maps/search/?api=1&amp;query=42.32285888,-7.79034955")</f>
      </c>
      <c r="P1191" s="9" t="s">
        <v>771</v>
      </c>
      <c r="Q1191" s="9" t="s">
        <v>6036</v>
      </c>
    </row>
    <row r="1192" spans="1:17" x14ac:dyDescent="0.25">
      <c r="A1192" s="8" t="s">
        <v>8798</v>
      </c>
      <c r="B1192" s="8" t="s">
        <v>8799</v>
      </c>
      <c r="C1192" s="9" t="s">
        <v>8800</v>
      </c>
      <c r="D1192" s="9" t="s">
        <v>344</v>
      </c>
      <c r="E1192" s="9" t="s">
        <v>1931</v>
      </c>
      <c r="F1192" s="10">
        <v>1.378</v>
      </c>
      <c r="G1192" s="10">
        <v>1.515</v>
      </c>
      <c r="H1192" s="10"/>
      <c r="I1192" s="9" t="s">
        <v>140</v>
      </c>
      <c r="J1192" s="9" t="s">
        <v>8801</v>
      </c>
      <c r="K1192" s="9" t="s">
        <v>8802</v>
      </c>
      <c r="L1192" s="8" t="s">
        <v>8803</v>
      </c>
      <c r="M1192" s="9" t="s">
        <v>49</v>
      </c>
      <c r="N1192" s="9" t="s">
        <v>3234</v>
      </c>
      <c r="O1192" s="9">
        <f>HYPERLINK("https://www.google.com/maps/search/?api=1&amp;query=43.32835668,-8.38969798", "https://www.google.com/maps/search/?api=1&amp;query=43.32835668,-8.38969798")</f>
      </c>
      <c r="P1192" s="9" t="s">
        <v>1100</v>
      </c>
      <c r="Q1192" s="9" t="s">
        <v>8804</v>
      </c>
    </row>
    <row r="1193" spans="1:17" x14ac:dyDescent="0.25">
      <c r="A1193" s="8" t="s">
        <v>8805</v>
      </c>
      <c r="B1193" s="8" t="s">
        <v>8806</v>
      </c>
      <c r="C1193" s="9" t="s">
        <v>8807</v>
      </c>
      <c r="D1193" s="9" t="s">
        <v>1192</v>
      </c>
      <c r="E1193" s="9" t="s">
        <v>8808</v>
      </c>
      <c r="F1193" s="10">
        <v>1.378</v>
      </c>
      <c r="G1193" s="10">
        <v>1.515</v>
      </c>
      <c r="H1193" s="10"/>
      <c r="I1193" s="9" t="s">
        <v>168</v>
      </c>
      <c r="J1193" s="9" t="s">
        <v>8809</v>
      </c>
      <c r="K1193" s="9" t="s">
        <v>8810</v>
      </c>
      <c r="L1193" s="8" t="s">
        <v>8811</v>
      </c>
      <c r="M1193" s="9" t="s">
        <v>49</v>
      </c>
      <c r="N1193" s="9" t="s">
        <v>7851</v>
      </c>
      <c r="O1193" s="9">
        <f>HYPERLINK("https://www.google.com/maps/search/?api=1&amp;query=39.3327989,-3.48361308", "https://www.google.com/maps/search/?api=1&amp;query=39.3327989,-3.48361308")</f>
      </c>
      <c r="P1193" s="9" t="s">
        <v>646</v>
      </c>
      <c r="Q1193" s="9" t="s">
        <v>8812</v>
      </c>
    </row>
    <row r="1194" spans="1:17" x14ac:dyDescent="0.25">
      <c r="A1194" s="8" t="s">
        <v>8813</v>
      </c>
      <c r="B1194" s="8" t="s">
        <v>8814</v>
      </c>
      <c r="C1194" s="9" t="s">
        <v>8815</v>
      </c>
      <c r="D1194" s="9" t="s">
        <v>106</v>
      </c>
      <c r="E1194" s="9" t="s">
        <v>8816</v>
      </c>
      <c r="F1194" s="10">
        <v>1.378</v>
      </c>
      <c r="G1194" s="10">
        <v>1.515</v>
      </c>
      <c r="H1194" s="10"/>
      <c r="I1194" s="9" t="s">
        <v>106</v>
      </c>
      <c r="J1194" s="9" t="s">
        <v>8817</v>
      </c>
      <c r="K1194" s="9" t="s">
        <v>8818</v>
      </c>
      <c r="L1194" s="8" t="s">
        <v>8819</v>
      </c>
      <c r="M1194" s="9" t="s">
        <v>49</v>
      </c>
      <c r="N1194" s="9" t="s">
        <v>37</v>
      </c>
      <c r="O1194" s="9">
        <f>HYPERLINK("https://www.google.com/maps/search/?api=1&amp;query=37.6202305,-0.98833368", "https://www.google.com/maps/search/?api=1&amp;query=37.6202305,-0.98833368")</f>
      </c>
      <c r="P1194" s="9" t="s">
        <v>8820</v>
      </c>
      <c r="Q1194" s="9" t="s">
        <v>1092</v>
      </c>
    </row>
    <row r="1195" spans="1:17" x14ac:dyDescent="0.25">
      <c r="A1195" s="8" t="s">
        <v>8821</v>
      </c>
      <c r="B1195" s="8" t="s">
        <v>8822</v>
      </c>
      <c r="C1195" s="9" t="s">
        <v>8195</v>
      </c>
      <c r="D1195" s="9" t="s">
        <v>61</v>
      </c>
      <c r="E1195" s="9" t="s">
        <v>8823</v>
      </c>
      <c r="F1195" s="10">
        <v>1.378</v>
      </c>
      <c r="G1195" s="10">
        <v>1.515</v>
      </c>
      <c r="H1195" s="10"/>
      <c r="I1195" s="9" t="s">
        <v>45</v>
      </c>
      <c r="J1195" s="9" t="s">
        <v>8824</v>
      </c>
      <c r="K1195" s="9" t="s">
        <v>8825</v>
      </c>
      <c r="L1195" s="8" t="s">
        <v>8826</v>
      </c>
      <c r="M1195" s="9" t="s">
        <v>49</v>
      </c>
      <c r="N1195" s="9" t="s">
        <v>88</v>
      </c>
      <c r="O1195" s="9">
        <f>HYPERLINK("https://www.google.com/maps/search/?api=1&amp;query=37.18944601,-5.7655797", "https://www.google.com/maps/search/?api=1&amp;query=37.18944601,-5.7655797")</f>
      </c>
      <c r="P1195" s="9" t="s">
        <v>8827</v>
      </c>
      <c r="Q1195" s="9" t="s">
        <v>8828</v>
      </c>
    </row>
    <row r="1196" spans="1:17" x14ac:dyDescent="0.25">
      <c r="A1196" s="8" t="s">
        <v>8829</v>
      </c>
      <c r="B1196" s="8" t="s">
        <v>8830</v>
      </c>
      <c r="C1196" s="9" t="s">
        <v>8831</v>
      </c>
      <c r="D1196" s="9" t="s">
        <v>409</v>
      </c>
      <c r="E1196" s="9" t="s">
        <v>668</v>
      </c>
      <c r="F1196" s="10">
        <v>1.378</v>
      </c>
      <c r="G1196" s="10">
        <v>1.515</v>
      </c>
      <c r="H1196" s="10"/>
      <c r="I1196" s="9" t="s">
        <v>292</v>
      </c>
      <c r="J1196" s="9" t="s">
        <v>8832</v>
      </c>
      <c r="K1196" s="9" t="s">
        <v>8833</v>
      </c>
      <c r="L1196" s="8" t="s">
        <v>671</v>
      </c>
      <c r="M1196" s="9" t="s">
        <v>49</v>
      </c>
      <c r="N1196" s="9" t="s">
        <v>8834</v>
      </c>
      <c r="O1196" s="9">
        <f>HYPERLINK("https://www.google.com/maps/search/?api=1&amp;query=41.63363236,-0.75654514", "https://www.google.com/maps/search/?api=1&amp;query=41.63363236,-0.75654514")</f>
      </c>
      <c r="P1196" s="9" t="s">
        <v>38</v>
      </c>
      <c r="Q1196" s="9" t="s">
        <v>8835</v>
      </c>
    </row>
    <row r="1197" spans="1:17" x14ac:dyDescent="0.25">
      <c r="A1197" s="8" t="s">
        <v>8836</v>
      </c>
      <c r="B1197" s="8" t="s">
        <v>8837</v>
      </c>
      <c r="C1197" s="9" t="s">
        <v>8838</v>
      </c>
      <c r="D1197" s="9" t="s">
        <v>434</v>
      </c>
      <c r="E1197" s="9" t="s">
        <v>8839</v>
      </c>
      <c r="F1197" s="10">
        <v>1.378</v>
      </c>
      <c r="G1197" s="10">
        <v>1.515</v>
      </c>
      <c r="H1197" s="10"/>
      <c r="I1197" s="9" t="s">
        <v>96</v>
      </c>
      <c r="J1197" s="9" t="s">
        <v>8840</v>
      </c>
      <c r="K1197" s="9" t="s">
        <v>8841</v>
      </c>
      <c r="L1197" s="8" t="s">
        <v>8842</v>
      </c>
      <c r="M1197" s="9" t="s">
        <v>49</v>
      </c>
      <c r="N1197" s="9" t="s">
        <v>8843</v>
      </c>
      <c r="O1197" s="9">
        <f>HYPERLINK("https://www.google.com/maps/search/?api=1&amp;query=42.02528154,2.9837283", "https://www.google.com/maps/search/?api=1&amp;query=42.02528154,2.9837283")</f>
      </c>
      <c r="P1197" s="9" t="s">
        <v>182</v>
      </c>
      <c r="Q1197" s="9" t="s">
        <v>1424</v>
      </c>
    </row>
    <row r="1198" spans="1:17" x14ac:dyDescent="0.25">
      <c r="A1198" s="8" t="s">
        <v>8844</v>
      </c>
      <c r="B1198" s="8" t="s">
        <v>8845</v>
      </c>
      <c r="C1198" s="9" t="s">
        <v>8846</v>
      </c>
      <c r="D1198" s="9" t="s">
        <v>424</v>
      </c>
      <c r="E1198" s="9" t="s">
        <v>424</v>
      </c>
      <c r="F1198" s="10">
        <v>1.378</v>
      </c>
      <c r="G1198" s="10">
        <v>1.515</v>
      </c>
      <c r="H1198" s="10"/>
      <c r="I1198" s="9" t="s">
        <v>96</v>
      </c>
      <c r="J1198" s="9" t="s">
        <v>8847</v>
      </c>
      <c r="K1198" s="9" t="s">
        <v>8848</v>
      </c>
      <c r="L1198" s="8" t="s">
        <v>8849</v>
      </c>
      <c r="M1198" s="9" t="s">
        <v>36</v>
      </c>
      <c r="N1198" s="9" t="s">
        <v>37</v>
      </c>
      <c r="O1198" s="9">
        <f>HYPERLINK("https://www.google.com/maps/search/?api=1&amp;query=41.61469162,0.6525581", "https://www.google.com/maps/search/?api=1&amp;query=41.61469162,0.6525581")</f>
      </c>
      <c r="P1198" s="9" t="s">
        <v>56</v>
      </c>
      <c r="Q1198" s="9" t="s">
        <v>8850</v>
      </c>
    </row>
    <row r="1199" spans="1:17" x14ac:dyDescent="0.25">
      <c r="A1199" s="8" t="s">
        <v>8851</v>
      </c>
      <c r="B1199" s="8" t="s">
        <v>8852</v>
      </c>
      <c r="C1199" s="9" t="s">
        <v>8853</v>
      </c>
      <c r="D1199" s="9" t="s">
        <v>116</v>
      </c>
      <c r="E1199" s="9" t="s">
        <v>8854</v>
      </c>
      <c r="F1199" s="10">
        <v>1.378</v>
      </c>
      <c r="G1199" s="10">
        <v>1.515</v>
      </c>
      <c r="H1199" s="10"/>
      <c r="I1199" s="9" t="s">
        <v>118</v>
      </c>
      <c r="J1199" s="9" t="s">
        <v>8855</v>
      </c>
      <c r="K1199" s="9" t="s">
        <v>8856</v>
      </c>
      <c r="L1199" s="8" t="s">
        <v>247</v>
      </c>
      <c r="M1199" s="9" t="s">
        <v>36</v>
      </c>
      <c r="N1199" s="9" t="s">
        <v>8857</v>
      </c>
      <c r="O1199" s="9">
        <f>HYPERLINK("https://www.google.com/maps/search/?api=1&amp;query=43.22939715,-2.73001141", "https://www.google.com/maps/search/?api=1&amp;query=43.22939715,-2.73001141")</f>
      </c>
      <c r="P1199" s="9" t="s">
        <v>2594</v>
      </c>
      <c r="Q1199" s="9" t="s">
        <v>1131</v>
      </c>
    </row>
    <row r="1200" spans="1:17" x14ac:dyDescent="0.25">
      <c r="A1200" s="8" t="s">
        <v>8858</v>
      </c>
      <c r="B1200" s="8" t="s">
        <v>8859</v>
      </c>
      <c r="C1200" s="9" t="s">
        <v>8860</v>
      </c>
      <c r="D1200" s="9" t="s">
        <v>631</v>
      </c>
      <c r="E1200" s="9" t="s">
        <v>1047</v>
      </c>
      <c r="F1200" s="10">
        <v>1.378</v>
      </c>
      <c r="G1200" s="10">
        <v>1.515</v>
      </c>
      <c r="H1200" s="10"/>
      <c r="I1200" s="9" t="s">
        <v>45</v>
      </c>
      <c r="J1200" s="9" t="s">
        <v>8861</v>
      </c>
      <c r="K1200" s="9" t="s">
        <v>8862</v>
      </c>
      <c r="L1200" s="8" t="s">
        <v>1339</v>
      </c>
      <c r="M1200" s="9" t="s">
        <v>49</v>
      </c>
      <c r="N1200" s="9" t="s">
        <v>8863</v>
      </c>
      <c r="O1200" s="9">
        <f>HYPERLINK("https://www.google.com/maps/search/?api=1&amp;query=37.91898908,-4.70165643", "https://www.google.com/maps/search/?api=1&amp;query=37.91898908,-4.70165643")</f>
      </c>
      <c r="P1200" s="9" t="s">
        <v>8820</v>
      </c>
      <c r="Q1200" s="9" t="s">
        <v>881</v>
      </c>
    </row>
    <row r="1201" spans="1:17" x14ac:dyDescent="0.25">
      <c r="A1201" s="8" t="s">
        <v>8864</v>
      </c>
      <c r="B1201" s="8" t="s">
        <v>8865</v>
      </c>
      <c r="C1201" s="9" t="s">
        <v>8866</v>
      </c>
      <c r="D1201" s="9" t="s">
        <v>398</v>
      </c>
      <c r="E1201" s="9" t="s">
        <v>8867</v>
      </c>
      <c r="F1201" s="10">
        <v>1.378</v>
      </c>
      <c r="G1201" s="10">
        <v>1.515</v>
      </c>
      <c r="H1201" s="10"/>
      <c r="I1201" s="9" t="s">
        <v>400</v>
      </c>
      <c r="J1201" s="9" t="s">
        <v>8868</v>
      </c>
      <c r="K1201" s="9" t="s">
        <v>8869</v>
      </c>
      <c r="L1201" s="8" t="s">
        <v>8870</v>
      </c>
      <c r="M1201" s="9" t="s">
        <v>36</v>
      </c>
      <c r="N1201" s="9" t="s">
        <v>8871</v>
      </c>
      <c r="O1201" s="9">
        <f>HYPERLINK("https://www.google.com/maps/search/?api=1&amp;query=38.34236438,-0.60707908", "https://www.google.com/maps/search/?api=1&amp;query=38.34236438,-0.60707908")</f>
      </c>
      <c r="P1201" s="9" t="s">
        <v>965</v>
      </c>
      <c r="Q1201" s="9" t="s">
        <v>6500</v>
      </c>
    </row>
    <row r="1202" spans="1:17" x14ac:dyDescent="0.25">
      <c r="A1202" s="8" t="s">
        <v>5177</v>
      </c>
      <c r="B1202" s="8" t="s">
        <v>8872</v>
      </c>
      <c r="C1202" s="9" t="s">
        <v>8873</v>
      </c>
      <c r="D1202" s="9" t="s">
        <v>400</v>
      </c>
      <c r="E1202" s="9" t="s">
        <v>8874</v>
      </c>
      <c r="F1202" s="10">
        <v>1.378</v>
      </c>
      <c r="G1202" s="10">
        <v>1.515</v>
      </c>
      <c r="H1202" s="10"/>
      <c r="I1202" s="9" t="s">
        <v>400</v>
      </c>
      <c r="J1202" s="9" t="s">
        <v>8875</v>
      </c>
      <c r="K1202" s="9" t="s">
        <v>8876</v>
      </c>
      <c r="L1202" s="8" t="s">
        <v>8877</v>
      </c>
      <c r="M1202" s="9" t="s">
        <v>100</v>
      </c>
      <c r="N1202" s="9" t="s">
        <v>88</v>
      </c>
      <c r="O1202" s="9">
        <f>HYPERLINK("https://www.google.com/maps/search/?api=1&amp;query=39.27640224,-0.27905851", "https://www.google.com/maps/search/?api=1&amp;query=39.27640224,-0.27905851")</f>
      </c>
      <c r="P1202" s="9" t="s">
        <v>1637</v>
      </c>
      <c r="Q1202" s="9" t="s">
        <v>8878</v>
      </c>
    </row>
    <row r="1203" spans="1:17" x14ac:dyDescent="0.25">
      <c r="A1203" s="8" t="s">
        <v>8879</v>
      </c>
      <c r="B1203" s="8" t="s">
        <v>8880</v>
      </c>
      <c r="C1203" s="9" t="s">
        <v>8881</v>
      </c>
      <c r="D1203" s="9" t="s">
        <v>106</v>
      </c>
      <c r="E1203" s="9" t="s">
        <v>8882</v>
      </c>
      <c r="F1203" s="10">
        <v>1.378</v>
      </c>
      <c r="G1203" s="10">
        <v>1.515</v>
      </c>
      <c r="H1203" s="10"/>
      <c r="I1203" s="9" t="s">
        <v>106</v>
      </c>
      <c r="J1203" s="9" t="s">
        <v>8883</v>
      </c>
      <c r="K1203" s="9" t="s">
        <v>8884</v>
      </c>
      <c r="L1203" s="8" t="s">
        <v>8885</v>
      </c>
      <c r="M1203" s="9" t="s">
        <v>36</v>
      </c>
      <c r="N1203" s="9" t="s">
        <v>88</v>
      </c>
      <c r="O1203" s="9">
        <f>HYPERLINK("https://www.google.com/maps/search/?api=1&amp;query=37.78298595,-0.87289342", "https://www.google.com/maps/search/?api=1&amp;query=37.78298595,-0.87289342")</f>
      </c>
      <c r="P1203" s="9" t="s">
        <v>8886</v>
      </c>
      <c r="Q1203" s="9" t="s">
        <v>8887</v>
      </c>
    </row>
    <row r="1204" spans="1:17" x14ac:dyDescent="0.25">
      <c r="A1204" s="8" t="s">
        <v>8888</v>
      </c>
      <c r="B1204" s="8" t="s">
        <v>8889</v>
      </c>
      <c r="C1204" s="9" t="s">
        <v>8890</v>
      </c>
      <c r="D1204" s="9" t="s">
        <v>253</v>
      </c>
      <c r="E1204" s="9" t="s">
        <v>8891</v>
      </c>
      <c r="F1204" s="10">
        <v>1.378</v>
      </c>
      <c r="G1204" s="10">
        <v>1.515</v>
      </c>
      <c r="H1204" s="10"/>
      <c r="I1204" s="9" t="s">
        <v>96</v>
      </c>
      <c r="J1204" s="9" t="s">
        <v>8892</v>
      </c>
      <c r="K1204" s="9" t="s">
        <v>8893</v>
      </c>
      <c r="L1204" s="8" t="s">
        <v>8894</v>
      </c>
      <c r="M1204" s="9" t="s">
        <v>36</v>
      </c>
      <c r="N1204" s="9" t="s">
        <v>37</v>
      </c>
      <c r="O1204" s="9">
        <f>HYPERLINK("https://www.google.com/maps/search/?api=1&amp;query=41.09080063,1.09497095", "https://www.google.com/maps/search/?api=1&amp;query=41.09080063,1.09497095")</f>
      </c>
      <c r="P1204" s="9" t="s">
        <v>8895</v>
      </c>
      <c r="Q1204" s="9" t="s">
        <v>79</v>
      </c>
    </row>
    <row r="1205" spans="1:17" x14ac:dyDescent="0.25">
      <c r="A1205" s="8" t="s">
        <v>8896</v>
      </c>
      <c r="B1205" s="8" t="s">
        <v>8897</v>
      </c>
      <c r="C1205" s="9" t="s">
        <v>8898</v>
      </c>
      <c r="D1205" s="9" t="s">
        <v>409</v>
      </c>
      <c r="E1205" s="9" t="s">
        <v>409</v>
      </c>
      <c r="F1205" s="10">
        <v>1.378</v>
      </c>
      <c r="G1205" s="10">
        <v>1.515</v>
      </c>
      <c r="H1205" s="10"/>
      <c r="I1205" s="9" t="s">
        <v>292</v>
      </c>
      <c r="J1205" s="9" t="s">
        <v>8899</v>
      </c>
      <c r="K1205" s="9" t="s">
        <v>8900</v>
      </c>
      <c r="L1205" s="8" t="s">
        <v>8901</v>
      </c>
      <c r="M1205" s="9" t="s">
        <v>100</v>
      </c>
      <c r="N1205" s="9" t="s">
        <v>1926</v>
      </c>
      <c r="O1205" s="9">
        <f>HYPERLINK("https://www.google.com/maps/search/?api=1&amp;query=41.67862718,-0.96181778", "https://www.google.com/maps/search/?api=1&amp;query=41.67862718,-0.96181778")</f>
      </c>
      <c r="P1205" s="9" t="s">
        <v>2233</v>
      </c>
      <c r="Q1205" s="9" t="s">
        <v>1131</v>
      </c>
    </row>
    <row r="1206" spans="1:17" x14ac:dyDescent="0.25">
      <c r="A1206" s="8" t="s">
        <v>8902</v>
      </c>
      <c r="B1206" s="8" t="s">
        <v>8903</v>
      </c>
      <c r="C1206" s="9" t="s">
        <v>8904</v>
      </c>
      <c r="D1206" s="9" t="s">
        <v>253</v>
      </c>
      <c r="E1206" s="9" t="s">
        <v>8905</v>
      </c>
      <c r="F1206" s="10">
        <v>1.378</v>
      </c>
      <c r="G1206" s="10">
        <v>1.515</v>
      </c>
      <c r="H1206" s="10"/>
      <c r="I1206" s="9" t="s">
        <v>96</v>
      </c>
      <c r="J1206" s="9" t="s">
        <v>8906</v>
      </c>
      <c r="K1206" s="9" t="s">
        <v>8907</v>
      </c>
      <c r="L1206" s="8" t="s">
        <v>8908</v>
      </c>
      <c r="M1206" s="9" t="s">
        <v>49</v>
      </c>
      <c r="N1206" s="9" t="s">
        <v>37</v>
      </c>
      <c r="O1206" s="9">
        <f>HYPERLINK("https://www.google.com/maps/search/?api=1&amp;query=40.63464811,0.28435284", "https://www.google.com/maps/search/?api=1&amp;query=40.63464811,0.28435284")</f>
      </c>
      <c r="P1206" s="9" t="s">
        <v>493</v>
      </c>
      <c r="Q1206" s="9" t="s">
        <v>8909</v>
      </c>
    </row>
    <row r="1207" spans="1:17" x14ac:dyDescent="0.25">
      <c r="A1207" s="8" t="s">
        <v>8910</v>
      </c>
      <c r="B1207" s="8" t="s">
        <v>8911</v>
      </c>
      <c r="C1207" s="9" t="s">
        <v>8912</v>
      </c>
      <c r="D1207" s="9" t="s">
        <v>61</v>
      </c>
      <c r="E1207" s="9" t="s">
        <v>8913</v>
      </c>
      <c r="F1207" s="10">
        <v>1.378</v>
      </c>
      <c r="G1207" s="10">
        <v>1.515</v>
      </c>
      <c r="H1207" s="10"/>
      <c r="I1207" s="9" t="s">
        <v>45</v>
      </c>
      <c r="J1207" s="9" t="s">
        <v>8914</v>
      </c>
      <c r="K1207" s="9" t="s">
        <v>8915</v>
      </c>
      <c r="L1207" s="8" t="s">
        <v>8916</v>
      </c>
      <c r="M1207" s="9" t="s">
        <v>100</v>
      </c>
      <c r="N1207" s="9" t="s">
        <v>88</v>
      </c>
      <c r="O1207" s="9">
        <f>HYPERLINK("https://www.google.com/maps/search/?api=1&amp;query=37.23709079,-5.12765559", "https://www.google.com/maps/search/?api=1&amp;query=37.23709079,-5.12765559")</f>
      </c>
      <c r="P1207" s="9" t="s">
        <v>8917</v>
      </c>
      <c r="Q1207" s="9" t="s">
        <v>8918</v>
      </c>
    </row>
    <row r="1208" spans="1:17" x14ac:dyDescent="0.25">
      <c r="A1208" s="8" t="s">
        <v>8919</v>
      </c>
      <c r="B1208" s="8" t="s">
        <v>8920</v>
      </c>
      <c r="C1208" s="9" t="s">
        <v>8921</v>
      </c>
      <c r="D1208" s="9" t="s">
        <v>128</v>
      </c>
      <c r="E1208" s="9" t="s">
        <v>8922</v>
      </c>
      <c r="F1208" s="10">
        <v>1.378</v>
      </c>
      <c r="G1208" s="10">
        <v>1.515</v>
      </c>
      <c r="H1208" s="10"/>
      <c r="I1208" s="9" t="s">
        <v>45</v>
      </c>
      <c r="J1208" s="9" t="s">
        <v>8923</v>
      </c>
      <c r="K1208" s="9" t="s">
        <v>8924</v>
      </c>
      <c r="L1208" s="8" t="s">
        <v>8925</v>
      </c>
      <c r="M1208" s="9" t="s">
        <v>49</v>
      </c>
      <c r="N1208" s="9" t="s">
        <v>645</v>
      </c>
      <c r="O1208" s="9">
        <f>HYPERLINK("https://www.google.com/maps/search/?api=1&amp;query=36.74272532,-6.40557614", "https://www.google.com/maps/search/?api=1&amp;query=36.74272532,-6.40557614")</f>
      </c>
      <c r="P1208" s="9" t="s">
        <v>2101</v>
      </c>
      <c r="Q1208" s="9" t="s">
        <v>8649</v>
      </c>
    </row>
    <row r="1209" spans="1:17" x14ac:dyDescent="0.25">
      <c r="A1209" s="8" t="s">
        <v>8926</v>
      </c>
      <c r="B1209" s="8" t="s">
        <v>8927</v>
      </c>
      <c r="C1209" s="9" t="s">
        <v>8928</v>
      </c>
      <c r="D1209" s="9" t="s">
        <v>1282</v>
      </c>
      <c r="E1209" s="9" t="s">
        <v>7398</v>
      </c>
      <c r="F1209" s="10">
        <v>1.378</v>
      </c>
      <c r="G1209" s="10">
        <v>1.515</v>
      </c>
      <c r="H1209" s="10"/>
      <c r="I1209" s="9" t="s">
        <v>45</v>
      </c>
      <c r="J1209" s="9" t="s">
        <v>8929</v>
      </c>
      <c r="K1209" s="9" t="s">
        <v>8930</v>
      </c>
      <c r="L1209" s="8" t="s">
        <v>7401</v>
      </c>
      <c r="M1209" s="9" t="s">
        <v>49</v>
      </c>
      <c r="N1209" s="9" t="s">
        <v>37</v>
      </c>
      <c r="O1209" s="9">
        <f>HYPERLINK("https://www.google.com/maps/search/?api=1&amp;query=37.40581499,-3.56658535", "https://www.google.com/maps/search/?api=1&amp;query=37.40581499,-3.56658535")</f>
      </c>
      <c r="P1209" s="9" t="s">
        <v>144</v>
      </c>
      <c r="Q1209" s="9" t="s">
        <v>7038</v>
      </c>
    </row>
    <row r="1210" spans="1:17" x14ac:dyDescent="0.25">
      <c r="A1210" s="8" t="s">
        <v>8931</v>
      </c>
      <c r="B1210" s="8" t="s">
        <v>8932</v>
      </c>
      <c r="C1210" s="9" t="s">
        <v>8933</v>
      </c>
      <c r="D1210" s="9" t="s">
        <v>516</v>
      </c>
      <c r="E1210" s="9" t="s">
        <v>8934</v>
      </c>
      <c r="F1210" s="10">
        <v>1.378</v>
      </c>
      <c r="G1210" s="10">
        <v>1.515</v>
      </c>
      <c r="H1210" s="10"/>
      <c r="I1210" s="9" t="s">
        <v>140</v>
      </c>
      <c r="J1210" s="9" t="s">
        <v>8935</v>
      </c>
      <c r="K1210" s="9" t="s">
        <v>8936</v>
      </c>
      <c r="L1210" s="8" t="s">
        <v>8937</v>
      </c>
      <c r="M1210" s="9" t="s">
        <v>49</v>
      </c>
      <c r="N1210" s="9" t="s">
        <v>211</v>
      </c>
      <c r="O1210" s="9">
        <f>HYPERLINK("https://www.google.com/maps/search/?api=1&amp;query=42.61251986,-7.7659958", "https://www.google.com/maps/search/?api=1&amp;query=42.61251986,-7.7659958")</f>
      </c>
      <c r="P1210" s="9" t="s">
        <v>617</v>
      </c>
      <c r="Q1210" s="9" t="s">
        <v>2641</v>
      </c>
    </row>
    <row r="1211" spans="1:17" x14ac:dyDescent="0.25">
      <c r="A1211" s="8" t="s">
        <v>8938</v>
      </c>
      <c r="B1211" s="8" t="s">
        <v>8939</v>
      </c>
      <c r="C1211" s="9" t="s">
        <v>8940</v>
      </c>
      <c r="D1211" s="9" t="s">
        <v>398</v>
      </c>
      <c r="E1211" s="9" t="s">
        <v>827</v>
      </c>
      <c r="F1211" s="10">
        <v>1.378</v>
      </c>
      <c r="G1211" s="10">
        <v>1.515</v>
      </c>
      <c r="H1211" s="10"/>
      <c r="I1211" s="9" t="s">
        <v>400</v>
      </c>
      <c r="J1211" s="9" t="s">
        <v>8941</v>
      </c>
      <c r="K1211" s="9" t="s">
        <v>8942</v>
      </c>
      <c r="L1211" s="8" t="s">
        <v>8943</v>
      </c>
      <c r="M1211" s="9" t="s">
        <v>49</v>
      </c>
      <c r="N1211" s="9" t="s">
        <v>483</v>
      </c>
      <c r="O1211" s="9">
        <f>HYPERLINK("https://www.google.com/maps/search/?api=1&amp;query=38.26945937,-0.68205989", "https://www.google.com/maps/search/?api=1&amp;query=38.26945937,-0.68205989")</f>
      </c>
      <c r="P1211" s="9" t="s">
        <v>8944</v>
      </c>
      <c r="Q1211" s="9" t="s">
        <v>3379</v>
      </c>
    </row>
    <row r="1212" spans="1:17" x14ac:dyDescent="0.25">
      <c r="A1212" s="8" t="s">
        <v>8945</v>
      </c>
      <c r="B1212" s="8" t="s">
        <v>8946</v>
      </c>
      <c r="C1212" s="9" t="s">
        <v>8947</v>
      </c>
      <c r="D1212" s="9" t="s">
        <v>400</v>
      </c>
      <c r="E1212" s="9" t="s">
        <v>400</v>
      </c>
      <c r="F1212" s="10">
        <v>1.378</v>
      </c>
      <c r="G1212" s="10">
        <v>1.515</v>
      </c>
      <c r="H1212" s="10"/>
      <c r="I1212" s="9" t="s">
        <v>400</v>
      </c>
      <c r="J1212" s="9" t="s">
        <v>8948</v>
      </c>
      <c r="K1212" s="9" t="s">
        <v>8949</v>
      </c>
      <c r="L1212" s="8" t="s">
        <v>8950</v>
      </c>
      <c r="M1212" s="9" t="s">
        <v>49</v>
      </c>
      <c r="N1212" s="9" t="s">
        <v>88</v>
      </c>
      <c r="O1212" s="9">
        <f>HYPERLINK("https://www.google.com/maps/search/?api=1&amp;query=39.47371457,-0.33652813", "https://www.google.com/maps/search/?api=1&amp;query=39.47371457,-0.33652813")</f>
      </c>
      <c r="P1212" s="9" t="s">
        <v>557</v>
      </c>
      <c r="Q1212" s="9" t="s">
        <v>8298</v>
      </c>
    </row>
    <row r="1213" spans="1:17" x14ac:dyDescent="0.25">
      <c r="A1213" s="8" t="s">
        <v>8951</v>
      </c>
      <c r="B1213" s="8" t="s">
        <v>8952</v>
      </c>
      <c r="C1213" s="9" t="s">
        <v>8953</v>
      </c>
      <c r="D1213" s="9" t="s">
        <v>1617</v>
      </c>
      <c r="E1213" s="9" t="s">
        <v>8954</v>
      </c>
      <c r="F1213" s="10">
        <v>1.378</v>
      </c>
      <c r="G1213" s="10">
        <v>1.515</v>
      </c>
      <c r="H1213" s="10"/>
      <c r="I1213" s="9" t="s">
        <v>292</v>
      </c>
      <c r="J1213" s="9" t="s">
        <v>8955</v>
      </c>
      <c r="K1213" s="9" t="s">
        <v>8956</v>
      </c>
      <c r="L1213" s="8" t="s">
        <v>8957</v>
      </c>
      <c r="M1213" s="9" t="s">
        <v>49</v>
      </c>
      <c r="N1213" s="9" t="s">
        <v>8958</v>
      </c>
      <c r="O1213" s="9">
        <f>HYPERLINK("https://www.google.com/maps/search/?api=1&amp;query=42.40249355,0.39674407", "https://www.google.com/maps/search/?api=1&amp;query=42.40249355,0.39674407")</f>
      </c>
      <c r="P1213" s="9" t="s">
        <v>583</v>
      </c>
      <c r="Q1213" s="9" t="s">
        <v>8959</v>
      </c>
    </row>
    <row r="1214" spans="1:17" x14ac:dyDescent="0.25">
      <c r="A1214" s="8" t="s">
        <v>8960</v>
      </c>
      <c r="B1214" s="8" t="s">
        <v>8961</v>
      </c>
      <c r="C1214" s="9" t="s">
        <v>8962</v>
      </c>
      <c r="D1214" s="9" t="s">
        <v>344</v>
      </c>
      <c r="E1214" s="9" t="s">
        <v>1931</v>
      </c>
      <c r="F1214" s="10">
        <v>1.378</v>
      </c>
      <c r="G1214" s="10">
        <v>1.515</v>
      </c>
      <c r="H1214" s="10"/>
      <c r="I1214" s="9" t="s">
        <v>140</v>
      </c>
      <c r="J1214" s="9" t="s">
        <v>8963</v>
      </c>
      <c r="K1214" s="9" t="s">
        <v>8964</v>
      </c>
      <c r="L1214" s="8" t="s">
        <v>8965</v>
      </c>
      <c r="M1214" s="9" t="s">
        <v>49</v>
      </c>
      <c r="N1214" s="9" t="s">
        <v>8966</v>
      </c>
      <c r="O1214" s="9">
        <f>HYPERLINK("https://www.google.com/maps/search/?api=1&amp;query=43.37892055,-8.3984663", "https://www.google.com/maps/search/?api=1&amp;query=43.37892055,-8.3984663")</f>
      </c>
      <c r="P1214" s="9" t="s">
        <v>1439</v>
      </c>
      <c r="Q1214" s="9" t="s">
        <v>1131</v>
      </c>
    </row>
    <row r="1215" spans="1:17" x14ac:dyDescent="0.25">
      <c r="A1215" s="8" t="s">
        <v>8967</v>
      </c>
      <c r="B1215" s="8" t="s">
        <v>8968</v>
      </c>
      <c r="C1215" s="9" t="s">
        <v>8969</v>
      </c>
      <c r="D1215" s="9" t="s">
        <v>2288</v>
      </c>
      <c r="E1215" s="9" t="s">
        <v>3214</v>
      </c>
      <c r="F1215" s="10">
        <v>1.378</v>
      </c>
      <c r="G1215" s="10">
        <v>1.515</v>
      </c>
      <c r="H1215" s="10"/>
      <c r="I1215" s="9" t="s">
        <v>168</v>
      </c>
      <c r="J1215" s="9" t="s">
        <v>8970</v>
      </c>
      <c r="K1215" s="9" t="s">
        <v>8971</v>
      </c>
      <c r="L1215" s="8" t="s">
        <v>3217</v>
      </c>
      <c r="M1215" s="9" t="s">
        <v>49</v>
      </c>
      <c r="N1215" s="9" t="s">
        <v>8972</v>
      </c>
      <c r="O1215" s="9">
        <f>HYPERLINK("https://www.google.com/maps/search/?api=1&amp;query=39.20142835,-2.14903387", "https://www.google.com/maps/search/?api=1&amp;query=39.20142835,-2.14903387")</f>
      </c>
      <c r="P1215" s="9" t="s">
        <v>3400</v>
      </c>
      <c r="Q1215" s="9" t="s">
        <v>8973</v>
      </c>
    </row>
    <row r="1216" spans="1:17" x14ac:dyDescent="0.25">
      <c r="A1216" s="8" t="s">
        <v>8974</v>
      </c>
      <c r="B1216" s="8" t="s">
        <v>8975</v>
      </c>
      <c r="C1216" s="9" t="s">
        <v>8976</v>
      </c>
      <c r="D1216" s="9" t="s">
        <v>83</v>
      </c>
      <c r="E1216" s="9" t="s">
        <v>83</v>
      </c>
      <c r="F1216" s="10">
        <v>1.378</v>
      </c>
      <c r="G1216" s="10">
        <v>1.515</v>
      </c>
      <c r="H1216" s="10"/>
      <c r="I1216" s="9" t="s">
        <v>83</v>
      </c>
      <c r="J1216" s="9" t="s">
        <v>8977</v>
      </c>
      <c r="K1216" s="9" t="s">
        <v>8978</v>
      </c>
      <c r="L1216" s="8" t="s">
        <v>679</v>
      </c>
      <c r="M1216" s="9" t="s">
        <v>36</v>
      </c>
      <c r="N1216" s="9" t="s">
        <v>8979</v>
      </c>
      <c r="O1216" s="9">
        <f>HYPERLINK("https://www.google.com/maps/search/?api=1&amp;query=40.38025738,-3.59766688", "https://www.google.com/maps/search/?api=1&amp;query=40.38025738,-3.59766688")</f>
      </c>
      <c r="P1216" s="9" t="s">
        <v>646</v>
      </c>
      <c r="Q1216" s="9" t="s">
        <v>8980</v>
      </c>
    </row>
    <row r="1217" spans="1:17" x14ac:dyDescent="0.25">
      <c r="A1217" s="8" t="s">
        <v>8981</v>
      </c>
      <c r="B1217" s="8" t="s">
        <v>8982</v>
      </c>
      <c r="C1217" s="9" t="s">
        <v>8983</v>
      </c>
      <c r="D1217" s="9" t="s">
        <v>197</v>
      </c>
      <c r="E1217" s="9" t="s">
        <v>198</v>
      </c>
      <c r="F1217" s="10">
        <v>1.378</v>
      </c>
      <c r="G1217" s="10">
        <v>1.515</v>
      </c>
      <c r="H1217" s="10"/>
      <c r="I1217" s="9" t="s">
        <v>168</v>
      </c>
      <c r="J1217" s="9" t="s">
        <v>8984</v>
      </c>
      <c r="K1217" s="9" t="s">
        <v>8985</v>
      </c>
      <c r="L1217" s="8" t="s">
        <v>8986</v>
      </c>
      <c r="M1217" s="9" t="s">
        <v>49</v>
      </c>
      <c r="N1217" s="9" t="s">
        <v>8987</v>
      </c>
      <c r="O1217" s="9">
        <f>HYPERLINK("https://www.google.com/maps/search/?api=1&amp;query=40.12815657,-3.65764011", "https://www.google.com/maps/search/?api=1&amp;query=40.12815657,-3.65764011")</f>
      </c>
      <c r="P1217" s="9" t="s">
        <v>1100</v>
      </c>
      <c r="Q1217" s="9" t="s">
        <v>8988</v>
      </c>
    </row>
    <row r="1218" spans="1:17" x14ac:dyDescent="0.25">
      <c r="A1218" s="8" t="s">
        <v>8989</v>
      </c>
      <c r="B1218" s="8" t="s">
        <v>8990</v>
      </c>
      <c r="C1218" s="9" t="s">
        <v>8991</v>
      </c>
      <c r="D1218" s="9" t="s">
        <v>253</v>
      </c>
      <c r="E1218" s="9" t="s">
        <v>943</v>
      </c>
      <c r="F1218" s="10">
        <v>1.378</v>
      </c>
      <c r="G1218" s="10">
        <v>1.515</v>
      </c>
      <c r="H1218" s="10"/>
      <c r="I1218" s="9" t="s">
        <v>96</v>
      </c>
      <c r="J1218" s="9" t="s">
        <v>8992</v>
      </c>
      <c r="K1218" s="9" t="s">
        <v>8993</v>
      </c>
      <c r="L1218" s="8" t="s">
        <v>946</v>
      </c>
      <c r="M1218" s="9" t="s">
        <v>49</v>
      </c>
      <c r="N1218" s="9" t="s">
        <v>88</v>
      </c>
      <c r="O1218" s="9">
        <f>HYPERLINK("https://www.google.com/maps/search/?api=1&amp;query=41.14440778,1.10565333", "https://www.google.com/maps/search/?api=1&amp;query=41.14440778,1.10565333")</f>
      </c>
      <c r="P1218" s="9" t="s">
        <v>2262</v>
      </c>
      <c r="Q1218" s="9" t="s">
        <v>8994</v>
      </c>
    </row>
    <row r="1219" spans="1:17" x14ac:dyDescent="0.25">
      <c r="A1219" s="8" t="s">
        <v>8995</v>
      </c>
      <c r="B1219" s="8" t="s">
        <v>8996</v>
      </c>
      <c r="C1219" s="9" t="s">
        <v>8997</v>
      </c>
      <c r="D1219" s="9" t="s">
        <v>106</v>
      </c>
      <c r="E1219" s="9" t="s">
        <v>8998</v>
      </c>
      <c r="F1219" s="10">
        <v>1.378</v>
      </c>
      <c r="G1219" s="10">
        <v>1.515</v>
      </c>
      <c r="H1219" s="10"/>
      <c r="I1219" s="9" t="s">
        <v>106</v>
      </c>
      <c r="J1219" s="9" t="s">
        <v>8999</v>
      </c>
      <c r="K1219" s="9" t="s">
        <v>9000</v>
      </c>
      <c r="L1219" s="8" t="s">
        <v>9001</v>
      </c>
      <c r="M1219" s="9" t="s">
        <v>36</v>
      </c>
      <c r="N1219" s="9" t="s">
        <v>8757</v>
      </c>
      <c r="O1219" s="9">
        <f>HYPERLINK("https://www.google.com/maps/search/?api=1&amp;query=37.58701676,-1.29295574", "https://www.google.com/maps/search/?api=1&amp;query=37.58701676,-1.29295574")</f>
      </c>
      <c r="P1219" s="9" t="s">
        <v>172</v>
      </c>
      <c r="Q1219" s="9" t="s">
        <v>1131</v>
      </c>
    </row>
    <row r="1220" spans="1:17" x14ac:dyDescent="0.25">
      <c r="A1220" s="8" t="s">
        <v>9002</v>
      </c>
      <c r="B1220" s="8" t="s">
        <v>9003</v>
      </c>
      <c r="C1220" s="9" t="s">
        <v>9004</v>
      </c>
      <c r="D1220" s="9" t="s">
        <v>253</v>
      </c>
      <c r="E1220" s="9" t="s">
        <v>253</v>
      </c>
      <c r="F1220" s="10">
        <v>1.378</v>
      </c>
      <c r="G1220" s="10">
        <v>1.515</v>
      </c>
      <c r="H1220" s="10"/>
      <c r="I1220" s="9" t="s">
        <v>96</v>
      </c>
      <c r="J1220" s="9" t="s">
        <v>9005</v>
      </c>
      <c r="K1220" s="9" t="s">
        <v>9006</v>
      </c>
      <c r="L1220" s="8" t="s">
        <v>2631</v>
      </c>
      <c r="M1220" s="9" t="s">
        <v>49</v>
      </c>
      <c r="N1220" s="9" t="s">
        <v>9007</v>
      </c>
      <c r="O1220" s="9">
        <f>HYPERLINK("https://www.google.com/maps/search/?api=1&amp;query=41.11393093,1.22273399", "https://www.google.com/maps/search/?api=1&amp;query=41.11393093,1.22273399")</f>
      </c>
      <c r="P1220" s="9" t="s">
        <v>8200</v>
      </c>
      <c r="Q1220" s="9" t="s">
        <v>213</v>
      </c>
    </row>
    <row r="1221" spans="1:17" x14ac:dyDescent="0.25">
      <c r="A1221" s="8" t="s">
        <v>9008</v>
      </c>
      <c r="B1221" s="8" t="s">
        <v>9009</v>
      </c>
      <c r="C1221" s="9" t="s">
        <v>9010</v>
      </c>
      <c r="D1221" s="9" t="s">
        <v>290</v>
      </c>
      <c r="E1221" s="9" t="s">
        <v>290</v>
      </c>
      <c r="F1221" s="10">
        <v>1.378</v>
      </c>
      <c r="G1221" s="10">
        <v>1.515</v>
      </c>
      <c r="H1221" s="10"/>
      <c r="I1221" s="9" t="s">
        <v>292</v>
      </c>
      <c r="J1221" s="9" t="s">
        <v>9011</v>
      </c>
      <c r="K1221" s="9" t="s">
        <v>9012</v>
      </c>
      <c r="L1221" s="8" t="s">
        <v>3785</v>
      </c>
      <c r="M1221" s="9" t="s">
        <v>49</v>
      </c>
      <c r="N1221" s="9" t="s">
        <v>122</v>
      </c>
      <c r="O1221" s="9">
        <f>HYPERLINK("https://www.google.com/maps/search/?api=1&amp;query=40.33679286,-1.10485068", "https://www.google.com/maps/search/?api=1&amp;query=40.33679286,-1.10485068")</f>
      </c>
      <c r="P1221" s="9" t="s">
        <v>7834</v>
      </c>
      <c r="Q1221" s="9" t="s">
        <v>112</v>
      </c>
    </row>
    <row r="1222" spans="1:17" x14ac:dyDescent="0.25">
      <c r="A1222" s="8" t="s">
        <v>9013</v>
      </c>
      <c r="B1222" s="8" t="s">
        <v>9014</v>
      </c>
      <c r="C1222" s="9" t="s">
        <v>9015</v>
      </c>
      <c r="D1222" s="9" t="s">
        <v>424</v>
      </c>
      <c r="E1222" s="9" t="s">
        <v>9016</v>
      </c>
      <c r="F1222" s="10">
        <v>1.378</v>
      </c>
      <c r="G1222" s="10">
        <v>1.515</v>
      </c>
      <c r="H1222" s="10"/>
      <c r="I1222" s="9" t="s">
        <v>96</v>
      </c>
      <c r="J1222" s="9" t="s">
        <v>9017</v>
      </c>
      <c r="K1222" s="9" t="s">
        <v>9018</v>
      </c>
      <c r="L1222" s="8" t="s">
        <v>9019</v>
      </c>
      <c r="M1222" s="9" t="s">
        <v>49</v>
      </c>
      <c r="N1222" s="9" t="s">
        <v>9020</v>
      </c>
      <c r="O1222" s="9">
        <f>HYPERLINK("https://www.google.com/maps/search/?api=1&amp;query=42.45239364,0.70940072", "https://www.google.com/maps/search/?api=1&amp;query=42.45239364,0.70940072")</f>
      </c>
      <c r="P1222" s="9" t="s">
        <v>38</v>
      </c>
      <c r="Q1222" s="9" t="s">
        <v>3771</v>
      </c>
    </row>
    <row r="1223" spans="1:17" x14ac:dyDescent="0.25">
      <c r="A1223" s="8" t="s">
        <v>9021</v>
      </c>
      <c r="B1223" s="8" t="s">
        <v>9022</v>
      </c>
      <c r="C1223" s="9" t="s">
        <v>7469</v>
      </c>
      <c r="D1223" s="9" t="s">
        <v>1282</v>
      </c>
      <c r="E1223" s="9" t="s">
        <v>7470</v>
      </c>
      <c r="F1223" s="10">
        <v>1.378</v>
      </c>
      <c r="G1223" s="10">
        <v>1.515</v>
      </c>
      <c r="H1223" s="10"/>
      <c r="I1223" s="9" t="s">
        <v>45</v>
      </c>
      <c r="J1223" s="9" t="s">
        <v>7471</v>
      </c>
      <c r="K1223" s="9" t="s">
        <v>9023</v>
      </c>
      <c r="L1223" s="8" t="s">
        <v>7473</v>
      </c>
      <c r="M1223" s="9" t="s">
        <v>49</v>
      </c>
      <c r="N1223" s="9" t="s">
        <v>6301</v>
      </c>
      <c r="O1223" s="9">
        <f>HYPERLINK("https://www.google.com/maps/search/?api=1&amp;query=37.32081434,-3.29745714", "https://www.google.com/maps/search/?api=1&amp;query=37.32081434,-3.29745714")</f>
      </c>
      <c r="P1223" s="9" t="s">
        <v>144</v>
      </c>
      <c r="Q1223" s="9" t="s">
        <v>9024</v>
      </c>
    </row>
    <row r="1224" spans="1:17" x14ac:dyDescent="0.25">
      <c r="A1224" s="8" t="s">
        <v>9025</v>
      </c>
      <c r="B1224" s="8" t="s">
        <v>9026</v>
      </c>
      <c r="C1224" s="9" t="s">
        <v>9027</v>
      </c>
      <c r="D1224" s="9" t="s">
        <v>444</v>
      </c>
      <c r="E1224" s="9" t="s">
        <v>9028</v>
      </c>
      <c r="F1224" s="10">
        <v>1.378</v>
      </c>
      <c r="G1224" s="10">
        <v>1.515</v>
      </c>
      <c r="H1224" s="10"/>
      <c r="I1224" s="9" t="s">
        <v>444</v>
      </c>
      <c r="J1224" s="9" t="s">
        <v>9029</v>
      </c>
      <c r="K1224" s="9" t="s">
        <v>9030</v>
      </c>
      <c r="L1224" s="8" t="s">
        <v>9031</v>
      </c>
      <c r="M1224" s="9" t="s">
        <v>100</v>
      </c>
      <c r="N1224" s="9" t="s">
        <v>37</v>
      </c>
      <c r="O1224" s="9">
        <f>HYPERLINK("https://www.google.com/maps/search/?api=1&amp;query=43.39153645,-5.62088854", "https://www.google.com/maps/search/?api=1&amp;query=43.39153645,-5.62088854")</f>
      </c>
      <c r="P1224" s="9" t="s">
        <v>8200</v>
      </c>
      <c r="Q1224" s="9" t="s">
        <v>3744</v>
      </c>
    </row>
    <row r="1225" spans="1:17" x14ac:dyDescent="0.25">
      <c r="A1225" s="8" t="s">
        <v>9032</v>
      </c>
      <c r="B1225" s="8" t="s">
        <v>9033</v>
      </c>
      <c r="C1225" s="9" t="s">
        <v>9034</v>
      </c>
      <c r="D1225" s="9" t="s">
        <v>344</v>
      </c>
      <c r="E1225" s="9" t="s">
        <v>9035</v>
      </c>
      <c r="F1225" s="10">
        <v>1.378</v>
      </c>
      <c r="G1225" s="10">
        <v>1.515</v>
      </c>
      <c r="H1225" s="10"/>
      <c r="I1225" s="9" t="s">
        <v>140</v>
      </c>
      <c r="J1225" s="9" t="s">
        <v>9036</v>
      </c>
      <c r="K1225" s="9" t="s">
        <v>9037</v>
      </c>
      <c r="L1225" s="8" t="s">
        <v>9038</v>
      </c>
      <c r="M1225" s="9" t="s">
        <v>49</v>
      </c>
      <c r="N1225" s="9" t="s">
        <v>9039</v>
      </c>
      <c r="O1225" s="9">
        <f>HYPERLINK("https://www.google.com/maps/search/?api=1&amp;query=43.48998581,-8.16176597", "https://www.google.com/maps/search/?api=1&amp;query=43.48998581,-8.16176597")</f>
      </c>
      <c r="P1225" s="9" t="s">
        <v>1514</v>
      </c>
      <c r="Q1225" s="9" t="s">
        <v>8151</v>
      </c>
    </row>
    <row r="1226" spans="1:17" x14ac:dyDescent="0.25">
      <c r="A1226" s="8" t="s">
        <v>9040</v>
      </c>
      <c r="B1226" s="8" t="s">
        <v>9041</v>
      </c>
      <c r="C1226" s="9" t="s">
        <v>9042</v>
      </c>
      <c r="D1226" s="9" t="s">
        <v>83</v>
      </c>
      <c r="E1226" s="9" t="s">
        <v>83</v>
      </c>
      <c r="F1226" s="10">
        <v>1.378</v>
      </c>
      <c r="G1226" s="10">
        <v>1.515</v>
      </c>
      <c r="H1226" s="10"/>
      <c r="I1226" s="9" t="s">
        <v>83</v>
      </c>
      <c r="J1226" s="9" t="s">
        <v>9043</v>
      </c>
      <c r="K1226" s="9" t="s">
        <v>9044</v>
      </c>
      <c r="L1226" s="8" t="s">
        <v>887</v>
      </c>
      <c r="M1226" s="9" t="s">
        <v>49</v>
      </c>
      <c r="N1226" s="9" t="s">
        <v>9045</v>
      </c>
      <c r="O1226" s="9">
        <f>HYPERLINK("https://www.google.com/maps/search/?api=1&amp;query=40.4029044,-3.68981982", "https://www.google.com/maps/search/?api=1&amp;query=40.4029044,-3.68981982")</f>
      </c>
      <c r="P1226" s="9" t="s">
        <v>1439</v>
      </c>
      <c r="Q1226" s="9" t="s">
        <v>7794</v>
      </c>
    </row>
    <row r="1227" spans="1:17" x14ac:dyDescent="0.25">
      <c r="A1227" s="8" t="s">
        <v>9046</v>
      </c>
      <c r="B1227" s="8" t="s">
        <v>9047</v>
      </c>
      <c r="C1227" s="9" t="s">
        <v>9048</v>
      </c>
      <c r="D1227" s="9" t="s">
        <v>409</v>
      </c>
      <c r="E1227" s="9" t="s">
        <v>409</v>
      </c>
      <c r="F1227" s="10">
        <v>1.378</v>
      </c>
      <c r="G1227" s="10">
        <v>1.515</v>
      </c>
      <c r="H1227" s="10"/>
      <c r="I1227" s="9" t="s">
        <v>292</v>
      </c>
      <c r="J1227" s="9" t="s">
        <v>9049</v>
      </c>
      <c r="K1227" s="9" t="s">
        <v>9050</v>
      </c>
      <c r="L1227" s="8" t="s">
        <v>9051</v>
      </c>
      <c r="M1227" s="9" t="s">
        <v>49</v>
      </c>
      <c r="N1227" s="9" t="s">
        <v>5851</v>
      </c>
      <c r="O1227" s="9">
        <f>HYPERLINK("https://www.google.com/maps/search/?api=1&amp;query=41.67103028,-0.86088372", "https://www.google.com/maps/search/?api=1&amp;query=41.67103028,-0.86088372")</f>
      </c>
      <c r="P1227" s="9" t="s">
        <v>831</v>
      </c>
      <c r="Q1227" s="9" t="s">
        <v>7130</v>
      </c>
    </row>
    <row r="1228" spans="1:17" x14ac:dyDescent="0.25">
      <c r="A1228" s="8" t="s">
        <v>9052</v>
      </c>
      <c r="B1228" s="8" t="s">
        <v>9053</v>
      </c>
      <c r="C1228" s="9" t="s">
        <v>9054</v>
      </c>
      <c r="D1228" s="9" t="s">
        <v>106</v>
      </c>
      <c r="E1228" s="9" t="s">
        <v>9055</v>
      </c>
      <c r="F1228" s="10">
        <v>1.378</v>
      </c>
      <c r="G1228" s="10">
        <v>1.515</v>
      </c>
      <c r="H1228" s="10"/>
      <c r="I1228" s="9" t="s">
        <v>106</v>
      </c>
      <c r="J1228" s="9" t="s">
        <v>9056</v>
      </c>
      <c r="K1228" s="9" t="s">
        <v>9057</v>
      </c>
      <c r="L1228" s="8" t="s">
        <v>9058</v>
      </c>
      <c r="M1228" s="9" t="s">
        <v>49</v>
      </c>
      <c r="N1228" s="9" t="s">
        <v>211</v>
      </c>
      <c r="O1228" s="9">
        <f>HYPERLINK("https://www.google.com/maps/search/?api=1&amp;query=37.79897831,-0.80923472", "https://www.google.com/maps/search/?api=1&amp;query=37.79897831,-0.80923472")</f>
      </c>
      <c r="P1228" s="9" t="s">
        <v>330</v>
      </c>
      <c r="Q1228" s="9" t="s">
        <v>2175</v>
      </c>
    </row>
    <row r="1229" spans="1:17" x14ac:dyDescent="0.25">
      <c r="A1229" s="8" t="s">
        <v>9059</v>
      </c>
      <c r="B1229" s="8" t="s">
        <v>9060</v>
      </c>
      <c r="C1229" s="9" t="s">
        <v>9061</v>
      </c>
      <c r="D1229" s="9" t="s">
        <v>106</v>
      </c>
      <c r="E1229" s="9" t="s">
        <v>106</v>
      </c>
      <c r="F1229" s="10">
        <v>1.378</v>
      </c>
      <c r="G1229" s="10">
        <v>1.515</v>
      </c>
      <c r="H1229" s="10"/>
      <c r="I1229" s="9" t="s">
        <v>106</v>
      </c>
      <c r="J1229" s="9" t="s">
        <v>9062</v>
      </c>
      <c r="K1229" s="9" t="s">
        <v>9063</v>
      </c>
      <c r="L1229" s="8" t="s">
        <v>9064</v>
      </c>
      <c r="M1229" s="9" t="s">
        <v>36</v>
      </c>
      <c r="N1229" s="9" t="s">
        <v>8757</v>
      </c>
      <c r="O1229" s="9">
        <f>HYPERLINK("https://www.google.com/maps/search/?api=1&amp;query=37.979778,-1.1137507", "https://www.google.com/maps/search/?api=1&amp;query=37.979778,-1.1137507")</f>
      </c>
      <c r="P1229" s="9" t="s">
        <v>172</v>
      </c>
      <c r="Q1229" s="9" t="s">
        <v>565</v>
      </c>
    </row>
    <row r="1230" spans="1:17" x14ac:dyDescent="0.25">
      <c r="A1230" s="8" t="s">
        <v>9065</v>
      </c>
      <c r="B1230" s="8" t="s">
        <v>9066</v>
      </c>
      <c r="C1230" s="9" t="s">
        <v>9067</v>
      </c>
      <c r="D1230" s="9" t="s">
        <v>631</v>
      </c>
      <c r="E1230" s="9" t="s">
        <v>9068</v>
      </c>
      <c r="F1230" s="10">
        <v>1.378</v>
      </c>
      <c r="G1230" s="10">
        <v>1.515</v>
      </c>
      <c r="H1230" s="10"/>
      <c r="I1230" s="9" t="s">
        <v>45</v>
      </c>
      <c r="J1230" s="9" t="s">
        <v>9069</v>
      </c>
      <c r="K1230" s="9" t="s">
        <v>9070</v>
      </c>
      <c r="L1230" s="8" t="s">
        <v>9071</v>
      </c>
      <c r="M1230" s="9" t="s">
        <v>36</v>
      </c>
      <c r="N1230" s="9" t="s">
        <v>9072</v>
      </c>
      <c r="O1230" s="9">
        <f>HYPERLINK("https://www.google.com/maps/search/?api=1&amp;query=37.52563052,-4.6540599", "https://www.google.com/maps/search/?api=1&amp;query=37.52563052,-4.6540599")</f>
      </c>
      <c r="P1230" s="9" t="s">
        <v>7943</v>
      </c>
      <c r="Q1230" s="9" t="s">
        <v>9073</v>
      </c>
    </row>
    <row r="1231" spans="1:17" x14ac:dyDescent="0.25">
      <c r="A1231" s="8" t="s">
        <v>9074</v>
      </c>
      <c r="B1231" s="8" t="s">
        <v>9075</v>
      </c>
      <c r="C1231" s="9" t="s">
        <v>9076</v>
      </c>
      <c r="D1231" s="9" t="s">
        <v>94</v>
      </c>
      <c r="E1231" s="9" t="s">
        <v>9077</v>
      </c>
      <c r="F1231" s="10">
        <v>1.378</v>
      </c>
      <c r="G1231" s="10">
        <v>1.515</v>
      </c>
      <c r="H1231" s="10"/>
      <c r="I1231" s="9" t="s">
        <v>96</v>
      </c>
      <c r="J1231" s="9" t="s">
        <v>9078</v>
      </c>
      <c r="K1231" s="9" t="s">
        <v>9079</v>
      </c>
      <c r="L1231" s="8" t="s">
        <v>9080</v>
      </c>
      <c r="M1231" s="9" t="s">
        <v>49</v>
      </c>
      <c r="N1231" s="9" t="s">
        <v>88</v>
      </c>
      <c r="O1231" s="9">
        <f>HYPERLINK("https://www.google.com/maps/search/?api=1&amp;query=41.42701647,2.21143909", "https://www.google.com/maps/search/?api=1&amp;query=41.42701647,2.21143909")</f>
      </c>
      <c r="P1231" s="9" t="s">
        <v>1203</v>
      </c>
      <c r="Q1231" s="9" t="s">
        <v>7794</v>
      </c>
    </row>
    <row r="1232" spans="1:17" x14ac:dyDescent="0.25">
      <c r="A1232" s="8" t="s">
        <v>9081</v>
      </c>
      <c r="B1232" s="8" t="s">
        <v>9082</v>
      </c>
      <c r="C1232" s="9" t="s">
        <v>9083</v>
      </c>
      <c r="D1232" s="9" t="s">
        <v>1192</v>
      </c>
      <c r="E1232" s="9" t="s">
        <v>2139</v>
      </c>
      <c r="F1232" s="10">
        <v>1.378</v>
      </c>
      <c r="G1232" s="10">
        <v>1.515</v>
      </c>
      <c r="H1232" s="10"/>
      <c r="I1232" s="9" t="s">
        <v>168</v>
      </c>
      <c r="J1232" s="9" t="s">
        <v>9084</v>
      </c>
      <c r="K1232" s="9" t="s">
        <v>9085</v>
      </c>
      <c r="L1232" s="8" t="s">
        <v>2142</v>
      </c>
      <c r="M1232" s="9" t="s">
        <v>49</v>
      </c>
      <c r="N1232" s="9" t="s">
        <v>88</v>
      </c>
      <c r="O1232" s="9">
        <f>HYPERLINK("https://www.google.com/maps/search/?api=1&amp;query=38.67891498,-4.10924144", "https://www.google.com/maps/search/?api=1&amp;query=38.67891498,-4.10924144")</f>
      </c>
      <c r="P1232" s="9" t="s">
        <v>1751</v>
      </c>
      <c r="Q1232" s="9" t="s">
        <v>9086</v>
      </c>
    </row>
    <row r="1233" spans="1:17" x14ac:dyDescent="0.25">
      <c r="A1233" s="8" t="s">
        <v>9087</v>
      </c>
      <c r="B1233" s="8" t="s">
        <v>9088</v>
      </c>
      <c r="C1233" s="9" t="s">
        <v>9089</v>
      </c>
      <c r="D1233" s="9" t="s">
        <v>106</v>
      </c>
      <c r="E1233" s="9" t="s">
        <v>9090</v>
      </c>
      <c r="F1233" s="10">
        <v>1.378</v>
      </c>
      <c r="G1233" s="10">
        <v>1.515</v>
      </c>
      <c r="H1233" s="10"/>
      <c r="I1233" s="9" t="s">
        <v>106</v>
      </c>
      <c r="J1233" s="9" t="s">
        <v>9091</v>
      </c>
      <c r="K1233" s="9" t="s">
        <v>9092</v>
      </c>
      <c r="L1233" s="8" t="s">
        <v>9093</v>
      </c>
      <c r="M1233" s="9" t="s">
        <v>49</v>
      </c>
      <c r="N1233" s="9" t="s">
        <v>88</v>
      </c>
      <c r="O1233" s="9">
        <f>HYPERLINK("https://www.google.com/maps/search/?api=1&amp;query=37.68642057,-1.06630529", "https://www.google.com/maps/search/?api=1&amp;query=37.68642057,-1.06630529")</f>
      </c>
      <c r="P1233" s="9" t="s">
        <v>4023</v>
      </c>
      <c r="Q1233" s="9" t="s">
        <v>9094</v>
      </c>
    </row>
    <row r="1234" spans="1:17" x14ac:dyDescent="0.25">
      <c r="A1234" s="8" t="s">
        <v>9095</v>
      </c>
      <c r="B1234" s="8" t="s">
        <v>9096</v>
      </c>
      <c r="C1234" s="9" t="s">
        <v>9097</v>
      </c>
      <c r="D1234" s="9" t="s">
        <v>1617</v>
      </c>
      <c r="E1234" s="9" t="s">
        <v>9098</v>
      </c>
      <c r="F1234" s="10">
        <v>1.378</v>
      </c>
      <c r="G1234" s="10">
        <v>1.515</v>
      </c>
      <c r="H1234" s="10"/>
      <c r="I1234" s="9" t="s">
        <v>292</v>
      </c>
      <c r="J1234" s="9" t="s">
        <v>9099</v>
      </c>
      <c r="K1234" s="9" t="s">
        <v>9100</v>
      </c>
      <c r="L1234" s="8" t="s">
        <v>9101</v>
      </c>
      <c r="M1234" s="9" t="s">
        <v>49</v>
      </c>
      <c r="N1234" s="9" t="s">
        <v>37</v>
      </c>
      <c r="O1234" s="9">
        <f>HYPERLINK("https://www.google.com/maps/search/?api=1&amp;query=41.992026,-0.66744096", "https://www.google.com/maps/search/?api=1&amp;query=41.992026,-0.66744096")</f>
      </c>
      <c r="P1234" s="9" t="s">
        <v>646</v>
      </c>
      <c r="Q1234" s="9" t="s">
        <v>2827</v>
      </c>
    </row>
    <row r="1235" spans="1:17" x14ac:dyDescent="0.25">
      <c r="A1235" s="8" t="s">
        <v>9102</v>
      </c>
      <c r="B1235" s="8" t="s">
        <v>9103</v>
      </c>
      <c r="C1235" s="9" t="s">
        <v>9104</v>
      </c>
      <c r="D1235" s="9" t="s">
        <v>409</v>
      </c>
      <c r="E1235" s="9" t="s">
        <v>9105</v>
      </c>
      <c r="F1235" s="10">
        <v>1.378</v>
      </c>
      <c r="G1235" s="10">
        <v>1.515</v>
      </c>
      <c r="H1235" s="10"/>
      <c r="I1235" s="9" t="s">
        <v>292</v>
      </c>
      <c r="J1235" s="9" t="s">
        <v>9106</v>
      </c>
      <c r="K1235" s="9" t="s">
        <v>9107</v>
      </c>
      <c r="L1235" s="8" t="s">
        <v>9108</v>
      </c>
      <c r="M1235" s="9" t="s">
        <v>49</v>
      </c>
      <c r="N1235" s="9" t="s">
        <v>9109</v>
      </c>
      <c r="O1235" s="9">
        <f>HYPERLINK("https://www.google.com/maps/search/?api=1&amp;query=41.49185959,-0.52108733", "https://www.google.com/maps/search/?api=1&amp;query=41.49185959,-0.52108733")</f>
      </c>
      <c r="P1235" s="9" t="s">
        <v>1373</v>
      </c>
      <c r="Q1235" s="9" t="s">
        <v>1131</v>
      </c>
    </row>
    <row r="1236" spans="1:17" x14ac:dyDescent="0.25">
      <c r="A1236" s="8" t="s">
        <v>9110</v>
      </c>
      <c r="B1236" s="8" t="s">
        <v>9111</v>
      </c>
      <c r="C1236" s="9" t="s">
        <v>9112</v>
      </c>
      <c r="D1236" s="9" t="s">
        <v>1560</v>
      </c>
      <c r="E1236" s="9" t="s">
        <v>9113</v>
      </c>
      <c r="F1236" s="10">
        <v>1.378</v>
      </c>
      <c r="G1236" s="10">
        <v>1.515</v>
      </c>
      <c r="H1236" s="10"/>
      <c r="I1236" s="9" t="s">
        <v>400</v>
      </c>
      <c r="J1236" s="9" t="s">
        <v>9114</v>
      </c>
      <c r="K1236" s="9" t="s">
        <v>9115</v>
      </c>
      <c r="L1236" s="8" t="s">
        <v>9116</v>
      </c>
      <c r="M1236" s="9" t="s">
        <v>49</v>
      </c>
      <c r="N1236" s="9" t="s">
        <v>88</v>
      </c>
      <c r="O1236" s="9">
        <f>HYPERLINK("https://www.google.com/maps/search/?api=1&amp;query=39.93736436,-0.09291847", "https://www.google.com/maps/search/?api=1&amp;query=39.93736436,-0.09291847")</f>
      </c>
      <c r="P1236" s="9" t="s">
        <v>9117</v>
      </c>
      <c r="Q1236" s="9" t="s">
        <v>8312</v>
      </c>
    </row>
    <row r="1237" spans="1:17" x14ac:dyDescent="0.25">
      <c r="A1237" s="8" t="s">
        <v>9118</v>
      </c>
      <c r="B1237" s="8" t="s">
        <v>9119</v>
      </c>
      <c r="C1237" s="9" t="s">
        <v>9120</v>
      </c>
      <c r="D1237" s="9" t="s">
        <v>1282</v>
      </c>
      <c r="E1237" s="9" t="s">
        <v>9121</v>
      </c>
      <c r="F1237" s="10">
        <v>1.378</v>
      </c>
      <c r="G1237" s="10">
        <v>1.515</v>
      </c>
      <c r="H1237" s="10"/>
      <c r="I1237" s="9" t="s">
        <v>45</v>
      </c>
      <c r="J1237" s="9" t="s">
        <v>9122</v>
      </c>
      <c r="K1237" s="9" t="s">
        <v>9123</v>
      </c>
      <c r="L1237" s="8" t="s">
        <v>9124</v>
      </c>
      <c r="M1237" s="9" t="s">
        <v>36</v>
      </c>
      <c r="N1237" s="9" t="s">
        <v>88</v>
      </c>
      <c r="O1237" s="9">
        <f>HYPERLINK("https://www.google.com/maps/search/?api=1&amp;query=37.1893556,-2.95490409", "https://www.google.com/maps/search/?api=1&amp;query=37.1893556,-2.95490409")</f>
      </c>
      <c r="P1237" s="9" t="s">
        <v>144</v>
      </c>
      <c r="Q1237" s="9" t="s">
        <v>9125</v>
      </c>
    </row>
    <row r="1238" spans="1:17" x14ac:dyDescent="0.25">
      <c r="A1238" s="8" t="s">
        <v>9126</v>
      </c>
      <c r="B1238" s="8" t="s">
        <v>9127</v>
      </c>
      <c r="C1238" s="9" t="s">
        <v>9128</v>
      </c>
      <c r="D1238" s="9" t="s">
        <v>808</v>
      </c>
      <c r="E1238" s="9" t="s">
        <v>9129</v>
      </c>
      <c r="F1238" s="10">
        <v>1.378</v>
      </c>
      <c r="G1238" s="10">
        <v>1.515</v>
      </c>
      <c r="H1238" s="10"/>
      <c r="I1238" s="9" t="s">
        <v>808</v>
      </c>
      <c r="J1238" s="9" t="s">
        <v>9130</v>
      </c>
      <c r="K1238" s="9" t="s">
        <v>9131</v>
      </c>
      <c r="L1238" s="8" t="s">
        <v>9132</v>
      </c>
      <c r="M1238" s="9" t="s">
        <v>49</v>
      </c>
      <c r="N1238" s="9" t="s">
        <v>9133</v>
      </c>
      <c r="O1238" s="9">
        <f>HYPERLINK("https://www.google.com/maps/search/?api=1&amp;query=43.33775899,-3.41913127", "https://www.google.com/maps/search/?api=1&amp;query=43.33775899,-3.41913127")</f>
      </c>
      <c r="P1238" s="9" t="s">
        <v>7785</v>
      </c>
      <c r="Q1238" s="9" t="s">
        <v>1204</v>
      </c>
    </row>
    <row r="1239" spans="1:17" x14ac:dyDescent="0.25">
      <c r="A1239" s="8" t="s">
        <v>9134</v>
      </c>
      <c r="B1239" s="8" t="s">
        <v>9135</v>
      </c>
      <c r="C1239" s="9" t="s">
        <v>9136</v>
      </c>
      <c r="D1239" s="9" t="s">
        <v>280</v>
      </c>
      <c r="E1239" s="9" t="s">
        <v>2606</v>
      </c>
      <c r="F1239" s="10">
        <v>1.378</v>
      </c>
      <c r="G1239" s="10">
        <v>1.515</v>
      </c>
      <c r="H1239" s="10"/>
      <c r="I1239" s="9" t="s">
        <v>118</v>
      </c>
      <c r="J1239" s="9" t="s">
        <v>9137</v>
      </c>
      <c r="K1239" s="9" t="s">
        <v>9138</v>
      </c>
      <c r="L1239" s="8" t="s">
        <v>2609</v>
      </c>
      <c r="M1239" s="9" t="s">
        <v>36</v>
      </c>
      <c r="N1239" s="9" t="s">
        <v>88</v>
      </c>
      <c r="O1239" s="9">
        <f>HYPERLINK("https://www.google.com/maps/search/?api=1&amp;query=43.27817915,-2.00139733", "https://www.google.com/maps/search/?api=1&amp;query=43.27817915,-2.00139733")</f>
      </c>
      <c r="P1239" s="9" t="s">
        <v>1100</v>
      </c>
      <c r="Q1239" s="9" t="s">
        <v>2554</v>
      </c>
    </row>
    <row r="1240" spans="1:17" x14ac:dyDescent="0.25">
      <c r="A1240" s="8" t="s">
        <v>9139</v>
      </c>
      <c r="B1240" s="8" t="s">
        <v>9140</v>
      </c>
      <c r="C1240" s="9" t="s">
        <v>9141</v>
      </c>
      <c r="D1240" s="9" t="s">
        <v>344</v>
      </c>
      <c r="E1240" s="9" t="s">
        <v>9142</v>
      </c>
      <c r="F1240" s="10">
        <v>1.378</v>
      </c>
      <c r="G1240" s="10">
        <v>1.515</v>
      </c>
      <c r="H1240" s="10"/>
      <c r="I1240" s="9" t="s">
        <v>140</v>
      </c>
      <c r="J1240" s="9" t="s">
        <v>9143</v>
      </c>
      <c r="K1240" s="9" t="s">
        <v>9144</v>
      </c>
      <c r="L1240" s="8" t="s">
        <v>3514</v>
      </c>
      <c r="M1240" s="9" t="s">
        <v>36</v>
      </c>
      <c r="N1240" s="9" t="s">
        <v>211</v>
      </c>
      <c r="O1240" s="9">
        <f>HYPERLINK("https://www.google.com/maps/search/?api=1&amp;query=43.33921911,-8.45794783", "https://www.google.com/maps/search/?api=1&amp;query=43.33921911,-8.45794783")</f>
      </c>
      <c r="P1240" s="9" t="s">
        <v>6250</v>
      </c>
      <c r="Q1240" s="9" t="s">
        <v>2669</v>
      </c>
    </row>
    <row r="1241" spans="1:17" x14ac:dyDescent="0.25">
      <c r="A1241" s="8" t="s">
        <v>9145</v>
      </c>
      <c r="B1241" s="8" t="s">
        <v>9146</v>
      </c>
      <c r="C1241" s="9" t="s">
        <v>9147</v>
      </c>
      <c r="D1241" s="9" t="s">
        <v>344</v>
      </c>
      <c r="E1241" s="9" t="s">
        <v>9148</v>
      </c>
      <c r="F1241" s="10">
        <v>1.378</v>
      </c>
      <c r="G1241" s="10">
        <v>1.515</v>
      </c>
      <c r="H1241" s="10"/>
      <c r="I1241" s="9" t="s">
        <v>140</v>
      </c>
      <c r="J1241" s="9" t="s">
        <v>9149</v>
      </c>
      <c r="K1241" s="9" t="s">
        <v>9150</v>
      </c>
      <c r="L1241" s="8" t="s">
        <v>9151</v>
      </c>
      <c r="M1241" s="9" t="s">
        <v>36</v>
      </c>
      <c r="N1241" s="9" t="s">
        <v>7163</v>
      </c>
      <c r="O1241" s="9">
        <f>HYPERLINK("https://www.google.com/maps/search/?api=1&amp;query=43.32347582,-8.3617542", "https://www.google.com/maps/search/?api=1&amp;query=43.32347582,-8.3617542")</f>
      </c>
      <c r="P1241" s="9" t="s">
        <v>9152</v>
      </c>
      <c r="Q1241" s="9" t="s">
        <v>8151</v>
      </c>
    </row>
    <row r="1242" spans="1:17" x14ac:dyDescent="0.25">
      <c r="A1242" s="8" t="s">
        <v>9153</v>
      </c>
      <c r="B1242" s="8" t="s">
        <v>9154</v>
      </c>
      <c r="C1242" s="9" t="s">
        <v>9155</v>
      </c>
      <c r="D1242" s="9" t="s">
        <v>128</v>
      </c>
      <c r="E1242" s="9" t="s">
        <v>9156</v>
      </c>
      <c r="F1242" s="10">
        <v>1.378</v>
      </c>
      <c r="G1242" s="10">
        <v>1.515</v>
      </c>
      <c r="H1242" s="10"/>
      <c r="I1242" s="9" t="s">
        <v>45</v>
      </c>
      <c r="J1242" s="9" t="s">
        <v>9157</v>
      </c>
      <c r="K1242" s="9" t="s">
        <v>9158</v>
      </c>
      <c r="L1242" s="8" t="s">
        <v>9159</v>
      </c>
      <c r="M1242" s="9" t="s">
        <v>49</v>
      </c>
      <c r="N1242" s="9" t="s">
        <v>645</v>
      </c>
      <c r="O1242" s="9">
        <f>HYPERLINK("https://www.google.com/maps/search/?api=1&amp;query=36.68301779,-5.45191804", "https://www.google.com/maps/search/?api=1&amp;query=36.68301779,-5.45191804")</f>
      </c>
      <c r="P1242" s="9" t="s">
        <v>321</v>
      </c>
      <c r="Q1242" s="9" t="s">
        <v>9160</v>
      </c>
    </row>
    <row r="1243" spans="1:17" x14ac:dyDescent="0.25">
      <c r="A1243" s="8" t="s">
        <v>9161</v>
      </c>
      <c r="B1243" s="8" t="s">
        <v>9162</v>
      </c>
      <c r="C1243" s="9" t="s">
        <v>9163</v>
      </c>
      <c r="D1243" s="9" t="s">
        <v>409</v>
      </c>
      <c r="E1243" s="9" t="s">
        <v>7637</v>
      </c>
      <c r="F1243" s="10">
        <v>1.378</v>
      </c>
      <c r="G1243" s="10">
        <v>1.515</v>
      </c>
      <c r="H1243" s="10"/>
      <c r="I1243" s="9" t="s">
        <v>292</v>
      </c>
      <c r="J1243" s="9" t="s">
        <v>9164</v>
      </c>
      <c r="K1243" s="9" t="s">
        <v>9165</v>
      </c>
      <c r="L1243" s="8" t="s">
        <v>7640</v>
      </c>
      <c r="M1243" s="9" t="s">
        <v>49</v>
      </c>
      <c r="N1243" s="9" t="s">
        <v>9166</v>
      </c>
      <c r="O1243" s="9">
        <f>HYPERLINK("https://www.google.com/maps/search/?api=1&amp;query=41.76682329,-1.12645183", "https://www.google.com/maps/search/?api=1&amp;query=41.76682329,-1.12645183")</f>
      </c>
      <c r="P1243" s="9" t="s">
        <v>2158</v>
      </c>
      <c r="Q1243" s="9" t="s">
        <v>4404</v>
      </c>
    </row>
    <row r="1244" spans="1:17" x14ac:dyDescent="0.25">
      <c r="A1244" s="8" t="s">
        <v>9167</v>
      </c>
      <c r="B1244" s="8" t="s">
        <v>9168</v>
      </c>
      <c r="C1244" s="9" t="s">
        <v>9169</v>
      </c>
      <c r="D1244" s="9" t="s">
        <v>72</v>
      </c>
      <c r="E1244" s="9" t="s">
        <v>72</v>
      </c>
      <c r="F1244" s="10">
        <v>1.378</v>
      </c>
      <c r="G1244" s="10">
        <v>1.515</v>
      </c>
      <c r="H1244" s="10"/>
      <c r="I1244" s="9" t="s">
        <v>74</v>
      </c>
      <c r="J1244" s="9" t="s">
        <v>9170</v>
      </c>
      <c r="K1244" s="9" t="s">
        <v>9171</v>
      </c>
      <c r="L1244" s="8" t="s">
        <v>9172</v>
      </c>
      <c r="M1244" s="9" t="s">
        <v>49</v>
      </c>
      <c r="N1244" s="9" t="s">
        <v>3164</v>
      </c>
      <c r="O1244" s="9">
        <f>HYPERLINK("https://www.google.com/maps/search/?api=1&amp;query=41.99248171,-4.51986877", "https://www.google.com/maps/search/?api=1&amp;query=41.99248171,-4.51986877")</f>
      </c>
      <c r="P1244" s="9" t="s">
        <v>1637</v>
      </c>
      <c r="Q1244" s="9" t="s">
        <v>9173</v>
      </c>
    </row>
    <row r="1245" spans="1:17" x14ac:dyDescent="0.25">
      <c r="A1245" s="8" t="s">
        <v>9174</v>
      </c>
      <c r="B1245" s="8" t="s">
        <v>9175</v>
      </c>
      <c r="C1245" s="9" t="s">
        <v>9176</v>
      </c>
      <c r="D1245" s="9" t="s">
        <v>631</v>
      </c>
      <c r="E1245" s="9" t="s">
        <v>9177</v>
      </c>
      <c r="F1245" s="10">
        <v>1.378</v>
      </c>
      <c r="G1245" s="10">
        <v>1.515</v>
      </c>
      <c r="H1245" s="10"/>
      <c r="I1245" s="9" t="s">
        <v>45</v>
      </c>
      <c r="J1245" s="9" t="s">
        <v>9178</v>
      </c>
      <c r="K1245" s="9" t="s">
        <v>9179</v>
      </c>
      <c r="L1245" s="8" t="s">
        <v>9180</v>
      </c>
      <c r="M1245" s="9" t="s">
        <v>36</v>
      </c>
      <c r="N1245" s="9" t="s">
        <v>964</v>
      </c>
      <c r="O1245" s="9">
        <f>HYPERLINK("https://www.google.com/maps/search/?api=1&amp;query=37.62537636,-4.69884193", "https://www.google.com/maps/search/?api=1&amp;query=37.62537636,-4.69884193")</f>
      </c>
      <c r="P1245" s="9" t="s">
        <v>8143</v>
      </c>
      <c r="Q1245" s="9" t="s">
        <v>9181</v>
      </c>
    </row>
    <row r="1246" spans="1:17" x14ac:dyDescent="0.25">
      <c r="A1246" s="8" t="s">
        <v>9182</v>
      </c>
      <c r="B1246" s="8" t="s">
        <v>9183</v>
      </c>
      <c r="C1246" s="9" t="s">
        <v>9184</v>
      </c>
      <c r="D1246" s="9" t="s">
        <v>398</v>
      </c>
      <c r="E1246" s="9" t="s">
        <v>9185</v>
      </c>
      <c r="F1246" s="10">
        <v>1.378</v>
      </c>
      <c r="G1246" s="10">
        <v>1.515</v>
      </c>
      <c r="H1246" s="10"/>
      <c r="I1246" s="9" t="s">
        <v>400</v>
      </c>
      <c r="J1246" s="9" t="s">
        <v>9186</v>
      </c>
      <c r="K1246" s="9" t="s">
        <v>9187</v>
      </c>
      <c r="L1246" s="8" t="s">
        <v>9188</v>
      </c>
      <c r="M1246" s="9" t="s">
        <v>100</v>
      </c>
      <c r="N1246" s="9" t="s">
        <v>88</v>
      </c>
      <c r="O1246" s="9">
        <f>HYPERLINK("https://www.google.com/maps/search/?api=1&amp;query=38.61790381,-0.84946503", "https://www.google.com/maps/search/?api=1&amp;query=38.61790381,-0.84946503")</f>
      </c>
      <c r="P1246" s="9" t="s">
        <v>6803</v>
      </c>
      <c r="Q1246" s="9" t="s">
        <v>9189</v>
      </c>
    </row>
    <row r="1247" spans="1:17" x14ac:dyDescent="0.25">
      <c r="A1247" s="8" t="s">
        <v>9190</v>
      </c>
      <c r="B1247" s="8" t="s">
        <v>9191</v>
      </c>
      <c r="C1247" s="9" t="s">
        <v>9192</v>
      </c>
      <c r="D1247" s="9" t="s">
        <v>197</v>
      </c>
      <c r="E1247" s="9" t="s">
        <v>9193</v>
      </c>
      <c r="F1247" s="10">
        <v>1.378</v>
      </c>
      <c r="G1247" s="10">
        <v>1.515</v>
      </c>
      <c r="H1247" s="10"/>
      <c r="I1247" s="9" t="s">
        <v>168</v>
      </c>
      <c r="J1247" s="9" t="s">
        <v>9194</v>
      </c>
      <c r="K1247" s="9" t="s">
        <v>9195</v>
      </c>
      <c r="L1247" s="8" t="s">
        <v>9196</v>
      </c>
      <c r="M1247" s="9" t="s">
        <v>49</v>
      </c>
      <c r="N1247" s="9" t="s">
        <v>9197</v>
      </c>
      <c r="O1247" s="9">
        <f>HYPERLINK("https://www.google.com/maps/search/?api=1&amp;query=39.61604459,-3.3445923", "https://www.google.com/maps/search/?api=1&amp;query=39.61604459,-3.3445923")</f>
      </c>
      <c r="P1247" s="9" t="s">
        <v>3140</v>
      </c>
      <c r="Q1247" s="9" t="s">
        <v>9198</v>
      </c>
    </row>
    <row r="1248" spans="1:17" x14ac:dyDescent="0.25">
      <c r="A1248" s="8" t="s">
        <v>9199</v>
      </c>
      <c r="B1248" s="8" t="s">
        <v>9200</v>
      </c>
      <c r="C1248" s="9" t="s">
        <v>9201</v>
      </c>
      <c r="D1248" s="9" t="s">
        <v>1847</v>
      </c>
      <c r="E1248" s="9" t="s">
        <v>9202</v>
      </c>
      <c r="F1248" s="10">
        <v>1.378</v>
      </c>
      <c r="G1248" s="10">
        <v>1.515</v>
      </c>
      <c r="H1248" s="10"/>
      <c r="I1248" s="9" t="s">
        <v>74</v>
      </c>
      <c r="J1248" s="9" t="s">
        <v>9203</v>
      </c>
      <c r="K1248" s="9" t="s">
        <v>9204</v>
      </c>
      <c r="L1248" s="8" t="s">
        <v>9205</v>
      </c>
      <c r="M1248" s="9" t="s">
        <v>49</v>
      </c>
      <c r="N1248" s="9" t="s">
        <v>9206</v>
      </c>
      <c r="O1248" s="9">
        <f>HYPERLINK("https://www.google.com/maps/search/?api=1&amp;query=41.29169051,-4.30008238", "https://www.google.com/maps/search/?api=1&amp;query=41.29169051,-4.30008238")</f>
      </c>
      <c r="P1248" s="9" t="s">
        <v>8735</v>
      </c>
      <c r="Q1248" s="9" t="s">
        <v>9207</v>
      </c>
    </row>
    <row r="1249" spans="1:17" x14ac:dyDescent="0.25">
      <c r="A1249" s="8" t="s">
        <v>9208</v>
      </c>
      <c r="B1249" s="8" t="s">
        <v>9209</v>
      </c>
      <c r="C1249" s="9" t="s">
        <v>9210</v>
      </c>
      <c r="D1249" s="9" t="s">
        <v>516</v>
      </c>
      <c r="E1249" s="9" t="s">
        <v>9211</v>
      </c>
      <c r="F1249" s="10">
        <v>1.378</v>
      </c>
      <c r="G1249" s="10">
        <v>1.515</v>
      </c>
      <c r="H1249" s="10"/>
      <c r="I1249" s="9" t="s">
        <v>140</v>
      </c>
      <c r="J1249" s="9" t="s">
        <v>9212</v>
      </c>
      <c r="K1249" s="9" t="s">
        <v>9213</v>
      </c>
      <c r="L1249" s="8" t="s">
        <v>9214</v>
      </c>
      <c r="M1249" s="9" t="s">
        <v>36</v>
      </c>
      <c r="N1249" s="9" t="s">
        <v>8548</v>
      </c>
      <c r="O1249" s="9">
        <f>HYPERLINK("https://www.google.com/maps/search/?api=1&amp;query=43.13753947,-7.49235011", "https://www.google.com/maps/search/?api=1&amp;query=43.13753947,-7.49235011")</f>
      </c>
      <c r="P1249" s="9" t="s">
        <v>2727</v>
      </c>
      <c r="Q1249" s="9" t="s">
        <v>9215</v>
      </c>
    </row>
    <row r="1250" spans="1:17" x14ac:dyDescent="0.25">
      <c r="A1250" s="8" t="s">
        <v>9216</v>
      </c>
      <c r="B1250" s="8" t="s">
        <v>9217</v>
      </c>
      <c r="C1250" s="9" t="s">
        <v>9218</v>
      </c>
      <c r="D1250" s="9" t="s">
        <v>116</v>
      </c>
      <c r="E1250" s="9" t="s">
        <v>5585</v>
      </c>
      <c r="F1250" s="10">
        <v>1.378</v>
      </c>
      <c r="G1250" s="10">
        <v>1.515</v>
      </c>
      <c r="H1250" s="10"/>
      <c r="I1250" s="9" t="s">
        <v>118</v>
      </c>
      <c r="J1250" s="9" t="s">
        <v>9219</v>
      </c>
      <c r="K1250" s="9" t="s">
        <v>9220</v>
      </c>
      <c r="L1250" s="8" t="s">
        <v>5588</v>
      </c>
      <c r="M1250" s="9" t="s">
        <v>49</v>
      </c>
      <c r="N1250" s="9" t="s">
        <v>9221</v>
      </c>
      <c r="O1250" s="9">
        <f>HYPERLINK("https://www.google.com/maps/search/?api=1&amp;query=43.23997981,-2.87322929", "https://www.google.com/maps/search/?api=1&amp;query=43.23997981,-2.87322929")</f>
      </c>
      <c r="P1250" s="9" t="s">
        <v>172</v>
      </c>
      <c r="Q1250" s="9" t="s">
        <v>4729</v>
      </c>
    </row>
    <row r="1251" spans="1:17" x14ac:dyDescent="0.25">
      <c r="A1251" s="8" t="s">
        <v>9222</v>
      </c>
      <c r="B1251" s="8" t="s">
        <v>9223</v>
      </c>
      <c r="C1251" s="9" t="s">
        <v>9224</v>
      </c>
      <c r="D1251" s="9" t="s">
        <v>892</v>
      </c>
      <c r="E1251" s="9" t="s">
        <v>4378</v>
      </c>
      <c r="F1251" s="10">
        <v>1.378</v>
      </c>
      <c r="G1251" s="10">
        <v>1.515</v>
      </c>
      <c r="H1251" s="10"/>
      <c r="I1251" s="9" t="s">
        <v>32</v>
      </c>
      <c r="J1251" s="9" t="s">
        <v>9225</v>
      </c>
      <c r="K1251" s="9" t="s">
        <v>9226</v>
      </c>
      <c r="L1251" s="8" t="s">
        <v>4381</v>
      </c>
      <c r="M1251" s="9" t="s">
        <v>49</v>
      </c>
      <c r="N1251" s="9" t="s">
        <v>9227</v>
      </c>
      <c r="O1251" s="9">
        <f>HYPERLINK("https://www.google.com/maps/search/?api=1&amp;query=39.91579188,-6.24678464", "https://www.google.com/maps/search/?api=1&amp;query=39.91579188,-6.24678464")</f>
      </c>
      <c r="P1251" s="9" t="s">
        <v>4029</v>
      </c>
      <c r="Q1251" s="9" t="s">
        <v>9228</v>
      </c>
    </row>
    <row r="1252" spans="1:17" x14ac:dyDescent="0.25">
      <c r="A1252" s="8" t="s">
        <v>9229</v>
      </c>
      <c r="B1252" s="8" t="s">
        <v>9230</v>
      </c>
      <c r="C1252" s="9" t="s">
        <v>9231</v>
      </c>
      <c r="D1252" s="9" t="s">
        <v>469</v>
      </c>
      <c r="E1252" s="9" t="s">
        <v>9232</v>
      </c>
      <c r="F1252" s="10">
        <v>1.378</v>
      </c>
      <c r="G1252" s="10">
        <v>1.515</v>
      </c>
      <c r="H1252" s="10"/>
      <c r="I1252" s="9" t="s">
        <v>74</v>
      </c>
      <c r="J1252" s="9" t="s">
        <v>9233</v>
      </c>
      <c r="K1252" s="9" t="s">
        <v>9234</v>
      </c>
      <c r="L1252" s="8" t="s">
        <v>9235</v>
      </c>
      <c r="M1252" s="9" t="s">
        <v>36</v>
      </c>
      <c r="N1252" s="9" t="s">
        <v>211</v>
      </c>
      <c r="O1252" s="9">
        <f>HYPERLINK("https://www.google.com/maps/search/?api=1&amp;query=40.82103677,-5.51364855", "https://www.google.com/maps/search/?api=1&amp;query=40.82103677,-5.51364855")</f>
      </c>
      <c r="P1252" s="9" t="s">
        <v>1598</v>
      </c>
      <c r="Q1252" s="9" t="s">
        <v>7794</v>
      </c>
    </row>
    <row r="1253" spans="1:17" x14ac:dyDescent="0.25">
      <c r="A1253" s="8" t="s">
        <v>9236</v>
      </c>
      <c r="B1253" s="8" t="s">
        <v>9237</v>
      </c>
      <c r="C1253" s="9" t="s">
        <v>4526</v>
      </c>
      <c r="D1253" s="9" t="s">
        <v>83</v>
      </c>
      <c r="E1253" s="9" t="s">
        <v>4481</v>
      </c>
      <c r="F1253" s="10">
        <v>1.378</v>
      </c>
      <c r="G1253" s="10">
        <v>1.515</v>
      </c>
      <c r="H1253" s="10"/>
      <c r="I1253" s="9" t="s">
        <v>83</v>
      </c>
      <c r="J1253" s="9" t="s">
        <v>9238</v>
      </c>
      <c r="K1253" s="9" t="s">
        <v>9239</v>
      </c>
      <c r="L1253" s="8" t="s">
        <v>4484</v>
      </c>
      <c r="M1253" s="9" t="s">
        <v>49</v>
      </c>
      <c r="N1253" s="9" t="s">
        <v>873</v>
      </c>
      <c r="O1253" s="9">
        <f>HYPERLINK("https://www.google.com/maps/search/?api=1&amp;query=40.27642787,-3.69949259", "https://www.google.com/maps/search/?api=1&amp;query=40.27642787,-3.69949259")</f>
      </c>
      <c r="P1253" s="9" t="s">
        <v>38</v>
      </c>
      <c r="Q1253" s="9" t="s">
        <v>9240</v>
      </c>
    </row>
    <row r="1254" spans="1:17" x14ac:dyDescent="0.25">
      <c r="A1254" s="8" t="s">
        <v>9241</v>
      </c>
      <c r="B1254" s="8" t="s">
        <v>9242</v>
      </c>
      <c r="C1254" s="9" t="s">
        <v>9243</v>
      </c>
      <c r="D1254" s="9" t="s">
        <v>30</v>
      </c>
      <c r="E1254" s="9" t="s">
        <v>30</v>
      </c>
      <c r="F1254" s="10">
        <v>1.378</v>
      </c>
      <c r="G1254" s="10">
        <v>1.515</v>
      </c>
      <c r="H1254" s="10"/>
      <c r="I1254" s="9" t="s">
        <v>32</v>
      </c>
      <c r="J1254" s="9" t="s">
        <v>9244</v>
      </c>
      <c r="K1254" s="9" t="s">
        <v>9245</v>
      </c>
      <c r="L1254" s="8" t="s">
        <v>9246</v>
      </c>
      <c r="M1254" s="9" t="s">
        <v>49</v>
      </c>
      <c r="N1254" s="9" t="s">
        <v>9247</v>
      </c>
      <c r="O1254" s="9">
        <f>HYPERLINK("https://www.google.com/maps/search/?api=1&amp;query=38.88178672,-6.96388918", "https://www.google.com/maps/search/?api=1&amp;query=38.88178672,-6.96388918")</f>
      </c>
      <c r="P1254" s="9" t="s">
        <v>1479</v>
      </c>
      <c r="Q1254" s="9" t="s">
        <v>9248</v>
      </c>
    </row>
    <row r="1255" spans="1:17" x14ac:dyDescent="0.25">
      <c r="A1255" s="8" t="s">
        <v>9249</v>
      </c>
      <c r="B1255" s="8" t="s">
        <v>9250</v>
      </c>
      <c r="C1255" s="9" t="s">
        <v>9251</v>
      </c>
      <c r="D1255" s="9" t="s">
        <v>424</v>
      </c>
      <c r="E1255" s="9" t="s">
        <v>9252</v>
      </c>
      <c r="F1255" s="10">
        <v>1.378</v>
      </c>
      <c r="G1255" s="10">
        <v>1.515</v>
      </c>
      <c r="H1255" s="10"/>
      <c r="I1255" s="9" t="s">
        <v>96</v>
      </c>
      <c r="J1255" s="9" t="s">
        <v>9253</v>
      </c>
      <c r="K1255" s="9" t="s">
        <v>9254</v>
      </c>
      <c r="L1255" s="8" t="s">
        <v>9255</v>
      </c>
      <c r="M1255" s="9" t="s">
        <v>36</v>
      </c>
      <c r="N1255" s="9" t="s">
        <v>9256</v>
      </c>
      <c r="O1255" s="9">
        <f>HYPERLINK("https://www.google.com/maps/search/?api=1&amp;query=42.36827895,1.84551224", "https://www.google.com/maps/search/?api=1&amp;query=42.36827895,1.84551224")</f>
      </c>
      <c r="P1255" s="9" t="s">
        <v>880</v>
      </c>
      <c r="Q1255" s="9" t="s">
        <v>1140</v>
      </c>
    </row>
    <row r="1256" spans="1:17" x14ac:dyDescent="0.25">
      <c r="A1256" s="8" t="s">
        <v>9257</v>
      </c>
      <c r="B1256" s="8" t="s">
        <v>9258</v>
      </c>
      <c r="C1256" s="9" t="s">
        <v>9259</v>
      </c>
      <c r="D1256" s="9" t="s">
        <v>344</v>
      </c>
      <c r="E1256" s="9" t="s">
        <v>1931</v>
      </c>
      <c r="F1256" s="10">
        <v>1.378</v>
      </c>
      <c r="G1256" s="10">
        <v>1.515</v>
      </c>
      <c r="H1256" s="10"/>
      <c r="I1256" s="9" t="s">
        <v>140</v>
      </c>
      <c r="J1256" s="9" t="s">
        <v>9260</v>
      </c>
      <c r="K1256" s="9" t="s">
        <v>9261</v>
      </c>
      <c r="L1256" s="8" t="s">
        <v>1934</v>
      </c>
      <c r="M1256" s="9" t="s">
        <v>49</v>
      </c>
      <c r="N1256" s="9" t="s">
        <v>37</v>
      </c>
      <c r="O1256" s="9">
        <f>HYPERLINK("https://www.google.com/maps/search/?api=1&amp;query=43.34745784,-8.41900732", "https://www.google.com/maps/search/?api=1&amp;query=43.34745784,-8.41900732")</f>
      </c>
      <c r="P1256" s="9" t="s">
        <v>646</v>
      </c>
      <c r="Q1256" s="9" t="s">
        <v>9262</v>
      </c>
    </row>
    <row r="1257" spans="1:17" x14ac:dyDescent="0.25">
      <c r="A1257" s="8" t="s">
        <v>9263</v>
      </c>
      <c r="B1257" s="8" t="s">
        <v>9264</v>
      </c>
      <c r="C1257" s="9" t="s">
        <v>9265</v>
      </c>
      <c r="D1257" s="9" t="s">
        <v>424</v>
      </c>
      <c r="E1257" s="9" t="s">
        <v>9266</v>
      </c>
      <c r="F1257" s="10">
        <v>1.378</v>
      </c>
      <c r="G1257" s="10">
        <v>1.515</v>
      </c>
      <c r="H1257" s="10"/>
      <c r="I1257" s="9" t="s">
        <v>96</v>
      </c>
      <c r="J1257" s="9" t="s">
        <v>9267</v>
      </c>
      <c r="K1257" s="9" t="s">
        <v>9268</v>
      </c>
      <c r="L1257" s="8" t="s">
        <v>9269</v>
      </c>
      <c r="M1257" s="9" t="s">
        <v>36</v>
      </c>
      <c r="N1257" s="9" t="s">
        <v>592</v>
      </c>
      <c r="O1257" s="9">
        <f>HYPERLINK("https://www.google.com/maps/search/?api=1&amp;query=41.55311789,0.70630103", "https://www.google.com/maps/search/?api=1&amp;query=41.55311789,0.70630103")</f>
      </c>
      <c r="P1257" s="9" t="s">
        <v>1927</v>
      </c>
      <c r="Q1257" s="9" t="s">
        <v>9270</v>
      </c>
    </row>
    <row r="1258" spans="1:17" x14ac:dyDescent="0.25">
      <c r="A1258" s="8" t="s">
        <v>9271</v>
      </c>
      <c r="B1258" s="8" t="s">
        <v>9272</v>
      </c>
      <c r="C1258" s="9" t="s">
        <v>9273</v>
      </c>
      <c r="D1258" s="9" t="s">
        <v>116</v>
      </c>
      <c r="E1258" s="9" t="s">
        <v>9274</v>
      </c>
      <c r="F1258" s="10">
        <v>1.378</v>
      </c>
      <c r="G1258" s="10">
        <v>1.515</v>
      </c>
      <c r="H1258" s="10"/>
      <c r="I1258" s="9" t="s">
        <v>118</v>
      </c>
      <c r="J1258" s="9" t="s">
        <v>9275</v>
      </c>
      <c r="K1258" s="9" t="s">
        <v>9276</v>
      </c>
      <c r="L1258" s="8" t="s">
        <v>9277</v>
      </c>
      <c r="M1258" s="9" t="s">
        <v>49</v>
      </c>
      <c r="N1258" s="9" t="s">
        <v>483</v>
      </c>
      <c r="O1258" s="9">
        <f>HYPERLINK("https://www.google.com/maps/search/?api=1&amp;query=43.37723302,-2.86494866", "https://www.google.com/maps/search/?api=1&amp;query=43.37723302,-2.86494866")</f>
      </c>
      <c r="P1258" s="9" t="s">
        <v>1203</v>
      </c>
      <c r="Q1258" s="9" t="s">
        <v>7480</v>
      </c>
    </row>
    <row r="1259" spans="1:17" x14ac:dyDescent="0.25">
      <c r="A1259" s="8" t="s">
        <v>9278</v>
      </c>
      <c r="B1259" s="8" t="s">
        <v>9279</v>
      </c>
      <c r="C1259" s="9" t="s">
        <v>9280</v>
      </c>
      <c r="D1259" s="9" t="s">
        <v>197</v>
      </c>
      <c r="E1259" s="9" t="s">
        <v>3615</v>
      </c>
      <c r="F1259" s="10">
        <v>1.378</v>
      </c>
      <c r="G1259" s="10">
        <v>1.515</v>
      </c>
      <c r="H1259" s="10"/>
      <c r="I1259" s="9" t="s">
        <v>168</v>
      </c>
      <c r="J1259" s="9" t="s">
        <v>9281</v>
      </c>
      <c r="K1259" s="9" t="s">
        <v>9282</v>
      </c>
      <c r="L1259" s="8" t="s">
        <v>3618</v>
      </c>
      <c r="M1259" s="9" t="s">
        <v>36</v>
      </c>
      <c r="N1259" s="9" t="s">
        <v>37</v>
      </c>
      <c r="O1259" s="9">
        <f>HYPERLINK("https://www.google.com/maps/search/?api=1&amp;query=39.95246215,-4.93191779", "https://www.google.com/maps/search/?api=1&amp;query=39.95246215,-4.93191779")</f>
      </c>
      <c r="P1259" s="9" t="s">
        <v>646</v>
      </c>
      <c r="Q1259" s="9" t="s">
        <v>9283</v>
      </c>
    </row>
    <row r="1260" spans="1:17" x14ac:dyDescent="0.25">
      <c r="A1260" s="8" t="s">
        <v>9284</v>
      </c>
      <c r="B1260" s="8" t="s">
        <v>9285</v>
      </c>
      <c r="C1260" s="9" t="s">
        <v>9286</v>
      </c>
      <c r="D1260" s="9" t="s">
        <v>658</v>
      </c>
      <c r="E1260" s="9" t="s">
        <v>9287</v>
      </c>
      <c r="F1260" s="10">
        <v>1.378</v>
      </c>
      <c r="G1260" s="10">
        <v>1.515</v>
      </c>
      <c r="H1260" s="10"/>
      <c r="I1260" s="9" t="s">
        <v>45</v>
      </c>
      <c r="J1260" s="9" t="s">
        <v>9288</v>
      </c>
      <c r="K1260" s="9" t="s">
        <v>9289</v>
      </c>
      <c r="L1260" s="8" t="s">
        <v>9290</v>
      </c>
      <c r="M1260" s="9" t="s">
        <v>36</v>
      </c>
      <c r="N1260" s="9" t="s">
        <v>592</v>
      </c>
      <c r="O1260" s="9">
        <f>HYPERLINK("https://www.google.com/maps/search/?api=1&amp;query=36.77705641,-2.79251666", "https://www.google.com/maps/search/?api=1&amp;query=36.77705641,-2.79251666")</f>
      </c>
      <c r="P1260" s="9" t="s">
        <v>9291</v>
      </c>
      <c r="Q1260" s="9" t="s">
        <v>8460</v>
      </c>
    </row>
    <row r="1261" spans="1:17" x14ac:dyDescent="0.25">
      <c r="A1261" s="8" t="s">
        <v>9292</v>
      </c>
      <c r="B1261" s="8" t="s">
        <v>9293</v>
      </c>
      <c r="C1261" s="9" t="s">
        <v>9294</v>
      </c>
      <c r="D1261" s="9" t="s">
        <v>1282</v>
      </c>
      <c r="E1261" s="9" t="s">
        <v>9295</v>
      </c>
      <c r="F1261" s="10">
        <v>1.378</v>
      </c>
      <c r="G1261" s="10">
        <v>1.515</v>
      </c>
      <c r="H1261" s="10"/>
      <c r="I1261" s="9" t="s">
        <v>45</v>
      </c>
      <c r="J1261" s="9" t="s">
        <v>9296</v>
      </c>
      <c r="K1261" s="9" t="s">
        <v>9297</v>
      </c>
      <c r="L1261" s="8" t="s">
        <v>9298</v>
      </c>
      <c r="M1261" s="9" t="s">
        <v>36</v>
      </c>
      <c r="N1261" s="9" t="s">
        <v>5201</v>
      </c>
      <c r="O1261" s="9">
        <f>HYPERLINK("https://www.google.com/maps/search/?api=1&amp;query=37.2536863,-3.75739514", "https://www.google.com/maps/search/?api=1&amp;query=37.2536863,-3.75739514")</f>
      </c>
      <c r="P1261" s="9" t="s">
        <v>8200</v>
      </c>
      <c r="Q1261" s="9" t="s">
        <v>565</v>
      </c>
    </row>
    <row r="1262" spans="1:17" x14ac:dyDescent="0.25">
      <c r="A1262" s="8" t="s">
        <v>9299</v>
      </c>
      <c r="B1262" s="8" t="s">
        <v>9300</v>
      </c>
      <c r="C1262" s="9" t="s">
        <v>9301</v>
      </c>
      <c r="D1262" s="9" t="s">
        <v>2288</v>
      </c>
      <c r="E1262" s="9" t="s">
        <v>7592</v>
      </c>
      <c r="F1262" s="10">
        <v>1.378</v>
      </c>
      <c r="G1262" s="10">
        <v>1.515</v>
      </c>
      <c r="H1262" s="10"/>
      <c r="I1262" s="9" t="s">
        <v>168</v>
      </c>
      <c r="J1262" s="9" t="s">
        <v>9302</v>
      </c>
      <c r="K1262" s="9" t="s">
        <v>9303</v>
      </c>
      <c r="L1262" s="8" t="s">
        <v>7595</v>
      </c>
      <c r="M1262" s="9" t="s">
        <v>100</v>
      </c>
      <c r="N1262" s="9" t="s">
        <v>88</v>
      </c>
      <c r="O1262" s="9">
        <f>HYPERLINK("https://www.google.com/maps/search/?api=1&amp;query=38.93863042,-1.75758723", "https://www.google.com/maps/search/?api=1&amp;query=38.93863042,-1.75758723")</f>
      </c>
      <c r="P1262" s="9" t="s">
        <v>511</v>
      </c>
      <c r="Q1262" s="9" t="s">
        <v>9304</v>
      </c>
    </row>
    <row r="1263" spans="1:17" x14ac:dyDescent="0.25">
      <c r="A1263" s="8" t="s">
        <v>9305</v>
      </c>
      <c r="B1263" s="8" t="s">
        <v>9306</v>
      </c>
      <c r="C1263" s="9" t="s">
        <v>9307</v>
      </c>
      <c r="D1263" s="9" t="s">
        <v>400</v>
      </c>
      <c r="E1263" s="9" t="s">
        <v>552</v>
      </c>
      <c r="F1263" s="10">
        <v>1.378</v>
      </c>
      <c r="G1263" s="10">
        <v>1.515</v>
      </c>
      <c r="H1263" s="10"/>
      <c r="I1263" s="9" t="s">
        <v>400</v>
      </c>
      <c r="J1263" s="9" t="s">
        <v>9308</v>
      </c>
      <c r="K1263" s="9" t="s">
        <v>9309</v>
      </c>
      <c r="L1263" s="8" t="s">
        <v>555</v>
      </c>
      <c r="M1263" s="9" t="s">
        <v>49</v>
      </c>
      <c r="N1263" s="9" t="s">
        <v>88</v>
      </c>
      <c r="O1263" s="9">
        <f>HYPERLINK("https://www.google.com/maps/search/?api=1&amp;query=39.63008479,-0.60253559", "https://www.google.com/maps/search/?api=1&amp;query=39.63008479,-0.60253559")</f>
      </c>
      <c r="P1263" s="9" t="s">
        <v>4023</v>
      </c>
      <c r="Q1263" s="9" t="s">
        <v>1488</v>
      </c>
    </row>
    <row r="1264" spans="1:17" x14ac:dyDescent="0.25">
      <c r="A1264" s="8" t="s">
        <v>9310</v>
      </c>
      <c r="B1264" s="8" t="s">
        <v>9311</v>
      </c>
      <c r="C1264" s="9" t="s">
        <v>9312</v>
      </c>
      <c r="D1264" s="9" t="s">
        <v>290</v>
      </c>
      <c r="E1264" s="9" t="s">
        <v>9313</v>
      </c>
      <c r="F1264" s="10">
        <v>1.378</v>
      </c>
      <c r="G1264" s="10">
        <v>1.515</v>
      </c>
      <c r="H1264" s="10"/>
      <c r="I1264" s="9" t="s">
        <v>292</v>
      </c>
      <c r="J1264" s="9" t="s">
        <v>9314</v>
      </c>
      <c r="K1264" s="9" t="s">
        <v>9315</v>
      </c>
      <c r="L1264" s="8" t="s">
        <v>9316</v>
      </c>
      <c r="M1264" s="9" t="s">
        <v>36</v>
      </c>
      <c r="N1264" s="9" t="s">
        <v>37</v>
      </c>
      <c r="O1264" s="9">
        <f>HYPERLINK("https://www.google.com/maps/search/?api=1&amp;query=40.14953709,-0.8237009", "https://www.google.com/maps/search/?api=1&amp;query=40.14953709,-0.8237009")</f>
      </c>
      <c r="P1264" s="9" t="s">
        <v>9317</v>
      </c>
      <c r="Q1264" s="9" t="s">
        <v>9318</v>
      </c>
    </row>
    <row r="1265" spans="1:17" x14ac:dyDescent="0.25">
      <c r="A1265" s="8" t="s">
        <v>9319</v>
      </c>
      <c r="B1265" s="8" t="s">
        <v>9320</v>
      </c>
      <c r="C1265" s="9" t="s">
        <v>9321</v>
      </c>
      <c r="D1265" s="9" t="s">
        <v>398</v>
      </c>
      <c r="E1265" s="9" t="s">
        <v>1906</v>
      </c>
      <c r="F1265" s="10">
        <v>1.378</v>
      </c>
      <c r="G1265" s="10">
        <v>1.515</v>
      </c>
      <c r="H1265" s="10"/>
      <c r="I1265" s="9" t="s">
        <v>400</v>
      </c>
      <c r="J1265" s="9" t="s">
        <v>9322</v>
      </c>
      <c r="K1265" s="9" t="s">
        <v>9323</v>
      </c>
      <c r="L1265" s="8" t="s">
        <v>1909</v>
      </c>
      <c r="M1265" s="9" t="s">
        <v>49</v>
      </c>
      <c r="N1265" s="9" t="s">
        <v>122</v>
      </c>
      <c r="O1265" s="9">
        <f>HYPERLINK("https://www.google.com/maps/search/?api=1&amp;query=38.22723772,-0.82253456", "https://www.google.com/maps/search/?api=1&amp;query=38.22723772,-0.82253456")</f>
      </c>
      <c r="P1265" s="9" t="s">
        <v>9324</v>
      </c>
      <c r="Q1265" s="9" t="s">
        <v>9325</v>
      </c>
    </row>
    <row r="1266" spans="1:17" x14ac:dyDescent="0.25">
      <c r="A1266" s="8" t="s">
        <v>9326</v>
      </c>
      <c r="B1266" s="8" t="s">
        <v>9327</v>
      </c>
      <c r="C1266" s="9" t="s">
        <v>9328</v>
      </c>
      <c r="D1266" s="9" t="s">
        <v>226</v>
      </c>
      <c r="E1266" s="9" t="s">
        <v>9329</v>
      </c>
      <c r="F1266" s="10">
        <v>1.378</v>
      </c>
      <c r="G1266" s="10">
        <v>1.515</v>
      </c>
      <c r="H1266" s="10"/>
      <c r="I1266" s="9" t="s">
        <v>168</v>
      </c>
      <c r="J1266" s="9" t="s">
        <v>9330</v>
      </c>
      <c r="K1266" s="9" t="s">
        <v>9331</v>
      </c>
      <c r="L1266" s="8" t="s">
        <v>9332</v>
      </c>
      <c r="M1266" s="9" t="s">
        <v>49</v>
      </c>
      <c r="N1266" s="9" t="s">
        <v>211</v>
      </c>
      <c r="O1266" s="9">
        <f>HYPERLINK("https://www.google.com/maps/search/?api=1&amp;query=39.86467537,-2.57657508", "https://www.google.com/maps/search/?api=1&amp;query=39.86467537,-2.57657508")</f>
      </c>
      <c r="P1266" s="9" t="s">
        <v>266</v>
      </c>
      <c r="Q1266" s="9" t="s">
        <v>9333</v>
      </c>
    </row>
    <row r="1267" spans="1:17" x14ac:dyDescent="0.25">
      <c r="A1267" s="8" t="s">
        <v>9334</v>
      </c>
      <c r="B1267" s="8" t="s">
        <v>9335</v>
      </c>
      <c r="C1267" s="9" t="s">
        <v>9336</v>
      </c>
      <c r="D1267" s="9" t="s">
        <v>1282</v>
      </c>
      <c r="E1267" s="9" t="s">
        <v>9337</v>
      </c>
      <c r="F1267" s="10">
        <v>1.378</v>
      </c>
      <c r="G1267" s="10">
        <v>1.515</v>
      </c>
      <c r="H1267" s="10"/>
      <c r="I1267" s="9" t="s">
        <v>45</v>
      </c>
      <c r="J1267" s="9" t="s">
        <v>9338</v>
      </c>
      <c r="K1267" s="9" t="s">
        <v>9339</v>
      </c>
      <c r="L1267" s="8" t="s">
        <v>9340</v>
      </c>
      <c r="M1267" s="9" t="s">
        <v>36</v>
      </c>
      <c r="N1267" s="9" t="s">
        <v>88</v>
      </c>
      <c r="O1267" s="9">
        <f>HYPERLINK("https://www.google.com/maps/search/?api=1&amp;query=37.30641687,-3.13260857", "https://www.google.com/maps/search/?api=1&amp;query=37.30641687,-3.13260857")</f>
      </c>
      <c r="P1267" s="9" t="s">
        <v>965</v>
      </c>
      <c r="Q1267" s="9" t="s">
        <v>9341</v>
      </c>
    </row>
    <row r="1268" spans="1:17" x14ac:dyDescent="0.25">
      <c r="A1268" s="8" t="s">
        <v>9342</v>
      </c>
      <c r="B1268" s="8" t="s">
        <v>9343</v>
      </c>
      <c r="C1268" s="9" t="s">
        <v>9344</v>
      </c>
      <c r="D1268" s="9" t="s">
        <v>808</v>
      </c>
      <c r="E1268" s="9" t="s">
        <v>9345</v>
      </c>
      <c r="F1268" s="10">
        <v>1.378</v>
      </c>
      <c r="G1268" s="10">
        <v>1.515</v>
      </c>
      <c r="H1268" s="10"/>
      <c r="I1268" s="9" t="s">
        <v>808</v>
      </c>
      <c r="J1268" s="9" t="s">
        <v>9346</v>
      </c>
      <c r="K1268" s="9" t="s">
        <v>9347</v>
      </c>
      <c r="L1268" s="8" t="s">
        <v>9348</v>
      </c>
      <c r="M1268" s="9" t="s">
        <v>49</v>
      </c>
      <c r="N1268" s="9" t="s">
        <v>1695</v>
      </c>
      <c r="O1268" s="9">
        <f>HYPERLINK("https://www.google.com/maps/search/?api=1&amp;query=43.37828529,-4.05974793", "https://www.google.com/maps/search/?api=1&amp;query=43.37828529,-4.05974793")</f>
      </c>
      <c r="P1268" s="9" t="s">
        <v>1100</v>
      </c>
      <c r="Q1268" s="9" t="s">
        <v>1742</v>
      </c>
    </row>
    <row r="1269" spans="1:17" x14ac:dyDescent="0.25">
      <c r="A1269" s="8" t="s">
        <v>9349</v>
      </c>
      <c r="B1269" s="8" t="s">
        <v>9350</v>
      </c>
      <c r="C1269" s="9" t="s">
        <v>9351</v>
      </c>
      <c r="D1269" s="9" t="s">
        <v>400</v>
      </c>
      <c r="E1269" s="9" t="s">
        <v>6970</v>
      </c>
      <c r="F1269" s="10">
        <v>1.378</v>
      </c>
      <c r="G1269" s="10">
        <v>1.515</v>
      </c>
      <c r="H1269" s="10"/>
      <c r="I1269" s="9" t="s">
        <v>400</v>
      </c>
      <c r="J1269" s="9" t="s">
        <v>9352</v>
      </c>
      <c r="K1269" s="9" t="s">
        <v>9353</v>
      </c>
      <c r="L1269" s="8" t="s">
        <v>6973</v>
      </c>
      <c r="M1269" s="9" t="s">
        <v>36</v>
      </c>
      <c r="N1269" s="9" t="s">
        <v>8274</v>
      </c>
      <c r="O1269" s="9">
        <f>HYPERLINK("https://www.google.com/maps/search/?api=1&amp;query=39.51119797,-0.5150465", "https://www.google.com/maps/search/?api=1&amp;query=39.51119797,-0.5150465")</f>
      </c>
      <c r="P1269" s="9" t="s">
        <v>321</v>
      </c>
      <c r="Q1269" s="9" t="s">
        <v>637</v>
      </c>
    </row>
    <row r="1270" spans="1:17" x14ac:dyDescent="0.25">
      <c r="A1270" s="8" t="s">
        <v>9354</v>
      </c>
      <c r="B1270" s="8" t="s">
        <v>9355</v>
      </c>
      <c r="C1270" s="9" t="s">
        <v>9356</v>
      </c>
      <c r="D1270" s="9" t="s">
        <v>424</v>
      </c>
      <c r="E1270" s="9" t="s">
        <v>9357</v>
      </c>
      <c r="F1270" s="10">
        <v>1.378</v>
      </c>
      <c r="G1270" s="10">
        <v>1.515</v>
      </c>
      <c r="H1270" s="10"/>
      <c r="I1270" s="9" t="s">
        <v>96</v>
      </c>
      <c r="J1270" s="9" t="s">
        <v>9358</v>
      </c>
      <c r="K1270" s="9" t="s">
        <v>9359</v>
      </c>
      <c r="L1270" s="8" t="s">
        <v>9360</v>
      </c>
      <c r="M1270" s="9" t="s">
        <v>36</v>
      </c>
      <c r="N1270" s="9" t="s">
        <v>9361</v>
      </c>
      <c r="O1270" s="9">
        <f>HYPERLINK("https://www.google.com/maps/search/?api=1&amp;query=42.74940153,0.70043116", "https://www.google.com/maps/search/?api=1&amp;query=42.74940153,0.70043116")</f>
      </c>
      <c r="P1270" s="9" t="s">
        <v>9362</v>
      </c>
      <c r="Q1270" s="9" t="s">
        <v>9363</v>
      </c>
    </row>
    <row r="1271" spans="1:17" x14ac:dyDescent="0.25">
      <c r="A1271" s="8" t="s">
        <v>9364</v>
      </c>
      <c r="B1271" s="8" t="s">
        <v>9365</v>
      </c>
      <c r="C1271" s="9" t="s">
        <v>9366</v>
      </c>
      <c r="D1271" s="9" t="s">
        <v>469</v>
      </c>
      <c r="E1271" s="9" t="s">
        <v>9367</v>
      </c>
      <c r="F1271" s="10">
        <v>1.378</v>
      </c>
      <c r="G1271" s="10">
        <v>1.515</v>
      </c>
      <c r="H1271" s="10"/>
      <c r="I1271" s="9" t="s">
        <v>74</v>
      </c>
      <c r="J1271" s="9" t="s">
        <v>9368</v>
      </c>
      <c r="K1271" s="9" t="s">
        <v>9369</v>
      </c>
      <c r="L1271" s="8" t="s">
        <v>9370</v>
      </c>
      <c r="M1271" s="9" t="s">
        <v>49</v>
      </c>
      <c r="N1271" s="9" t="s">
        <v>211</v>
      </c>
      <c r="O1271" s="9">
        <f>HYPERLINK("https://www.google.com/maps/search/?api=1&amp;query=40.94974012,-5.61027453", "https://www.google.com/maps/search/?api=1&amp;query=40.94974012,-5.61027453")</f>
      </c>
      <c r="P1271" s="9" t="s">
        <v>3400</v>
      </c>
      <c r="Q1271" s="9" t="s">
        <v>458</v>
      </c>
    </row>
    <row r="1272" spans="1:17" x14ac:dyDescent="0.25">
      <c r="A1272" s="8" t="s">
        <v>9371</v>
      </c>
      <c r="B1272" s="8" t="s">
        <v>9372</v>
      </c>
      <c r="C1272" s="9" t="s">
        <v>9373</v>
      </c>
      <c r="D1272" s="9" t="s">
        <v>30</v>
      </c>
      <c r="E1272" s="9" t="s">
        <v>9374</v>
      </c>
      <c r="F1272" s="10">
        <v>1.378</v>
      </c>
      <c r="G1272" s="10">
        <v>1.515</v>
      </c>
      <c r="H1272" s="10"/>
      <c r="I1272" s="9" t="s">
        <v>32</v>
      </c>
      <c r="J1272" s="9" t="s">
        <v>9375</v>
      </c>
      <c r="K1272" s="9" t="s">
        <v>9376</v>
      </c>
      <c r="L1272" s="8" t="s">
        <v>9377</v>
      </c>
      <c r="M1272" s="9" t="s">
        <v>49</v>
      </c>
      <c r="N1272" s="9" t="s">
        <v>5450</v>
      </c>
      <c r="O1272" s="9">
        <f>HYPERLINK("https://www.google.com/maps/search/?api=1&amp;query=38.86095572,-6.45453576", "https://www.google.com/maps/search/?api=1&amp;query=38.86095572,-6.45453576")</f>
      </c>
      <c r="P1272" s="9" t="s">
        <v>7311</v>
      </c>
      <c r="Q1272" s="9" t="s">
        <v>1742</v>
      </c>
    </row>
    <row r="1273" spans="1:17" x14ac:dyDescent="0.25">
      <c r="A1273" s="8" t="s">
        <v>9378</v>
      </c>
      <c r="B1273" s="8" t="s">
        <v>9379</v>
      </c>
      <c r="C1273" s="9" t="s">
        <v>9380</v>
      </c>
      <c r="D1273" s="9" t="s">
        <v>1560</v>
      </c>
      <c r="E1273" s="9" t="s">
        <v>9381</v>
      </c>
      <c r="F1273" s="10">
        <v>1.378</v>
      </c>
      <c r="G1273" s="10">
        <v>1.515</v>
      </c>
      <c r="H1273" s="10"/>
      <c r="I1273" s="9" t="s">
        <v>400</v>
      </c>
      <c r="J1273" s="9" t="s">
        <v>9382</v>
      </c>
      <c r="K1273" s="9" t="s">
        <v>9383</v>
      </c>
      <c r="L1273" s="8" t="s">
        <v>9384</v>
      </c>
      <c r="M1273" s="9" t="s">
        <v>36</v>
      </c>
      <c r="N1273" s="9" t="s">
        <v>122</v>
      </c>
      <c r="O1273" s="9">
        <f>HYPERLINK("https://www.google.com/maps/search/?api=1&amp;query=40.36102532,0.39722074", "https://www.google.com/maps/search/?api=1&amp;query=40.36102532,0.39722074")</f>
      </c>
      <c r="P1273" s="9" t="s">
        <v>9385</v>
      </c>
      <c r="Q1273" s="9" t="s">
        <v>7794</v>
      </c>
    </row>
    <row r="1274" spans="1:17" x14ac:dyDescent="0.25">
      <c r="A1274" s="8" t="s">
        <v>9386</v>
      </c>
      <c r="B1274" s="8" t="s">
        <v>9387</v>
      </c>
      <c r="C1274" s="9" t="s">
        <v>9388</v>
      </c>
      <c r="D1274" s="9" t="s">
        <v>72</v>
      </c>
      <c r="E1274" s="9" t="s">
        <v>72</v>
      </c>
      <c r="F1274" s="10">
        <v>1.378</v>
      </c>
      <c r="G1274" s="10">
        <v>1.515</v>
      </c>
      <c r="H1274" s="10"/>
      <c r="I1274" s="9" t="s">
        <v>74</v>
      </c>
      <c r="J1274" s="9" t="s">
        <v>9389</v>
      </c>
      <c r="K1274" s="9" t="s">
        <v>9390</v>
      </c>
      <c r="L1274" s="8" t="s">
        <v>8896</v>
      </c>
      <c r="M1274" s="9" t="s">
        <v>49</v>
      </c>
      <c r="N1274" s="9" t="s">
        <v>88</v>
      </c>
      <c r="O1274" s="9">
        <f>HYPERLINK("https://www.google.com/maps/search/?api=1&amp;query=42.0136801,-4.52545171", "https://www.google.com/maps/search/?api=1&amp;query=42.0136801,-4.52545171")</f>
      </c>
      <c r="P1274" s="9" t="s">
        <v>5975</v>
      </c>
      <c r="Q1274" s="9" t="s">
        <v>9391</v>
      </c>
    </row>
    <row r="1275" spans="1:17" x14ac:dyDescent="0.25">
      <c r="A1275" s="8" t="s">
        <v>9392</v>
      </c>
      <c r="B1275" s="8" t="s">
        <v>9393</v>
      </c>
      <c r="C1275" s="9" t="s">
        <v>7378</v>
      </c>
      <c r="D1275" s="9" t="s">
        <v>116</v>
      </c>
      <c r="E1275" s="9" t="s">
        <v>3230</v>
      </c>
      <c r="F1275" s="10">
        <v>1.378</v>
      </c>
      <c r="G1275" s="10">
        <v>1.515</v>
      </c>
      <c r="H1275" s="10"/>
      <c r="I1275" s="9" t="s">
        <v>118</v>
      </c>
      <c r="J1275" s="9" t="s">
        <v>9394</v>
      </c>
      <c r="K1275" s="9" t="s">
        <v>9395</v>
      </c>
      <c r="L1275" s="8" t="s">
        <v>3233</v>
      </c>
      <c r="M1275" s="9" t="s">
        <v>100</v>
      </c>
      <c r="N1275" s="9" t="s">
        <v>3034</v>
      </c>
      <c r="O1275" s="9">
        <f>HYPERLINK("https://www.google.com/maps/search/?api=1&amp;query=43.29117717,-2.96038233", "https://www.google.com/maps/search/?api=1&amp;query=43.29117717,-2.96038233")</f>
      </c>
      <c r="P1275" s="9" t="s">
        <v>172</v>
      </c>
      <c r="Q1275" s="9" t="s">
        <v>151</v>
      </c>
    </row>
    <row r="1276" spans="1:17" x14ac:dyDescent="0.25">
      <c r="A1276" s="8" t="s">
        <v>9396</v>
      </c>
      <c r="B1276" s="8" t="s">
        <v>9397</v>
      </c>
      <c r="C1276" s="9" t="s">
        <v>9398</v>
      </c>
      <c r="D1276" s="9" t="s">
        <v>2288</v>
      </c>
      <c r="E1276" s="9" t="s">
        <v>9399</v>
      </c>
      <c r="F1276" s="10">
        <v>1.378</v>
      </c>
      <c r="G1276" s="10">
        <v>1.515</v>
      </c>
      <c r="H1276" s="10"/>
      <c r="I1276" s="9" t="s">
        <v>168</v>
      </c>
      <c r="J1276" s="9" t="s">
        <v>9400</v>
      </c>
      <c r="K1276" s="9" t="s">
        <v>9401</v>
      </c>
      <c r="L1276" s="8" t="s">
        <v>9402</v>
      </c>
      <c r="M1276" s="9" t="s">
        <v>100</v>
      </c>
      <c r="N1276" s="9" t="s">
        <v>88</v>
      </c>
      <c r="O1276" s="9">
        <f>HYPERLINK("https://www.google.com/maps/search/?api=1&amp;query=38.87519039,-1.33193705", "https://www.google.com/maps/search/?api=1&amp;query=38.87519039,-1.33193705")</f>
      </c>
      <c r="P1276" s="9" t="s">
        <v>2442</v>
      </c>
      <c r="Q1276" s="9" t="s">
        <v>9403</v>
      </c>
    </row>
    <row r="1277" spans="1:17" x14ac:dyDescent="0.25">
      <c r="A1277" s="8" t="s">
        <v>9404</v>
      </c>
      <c r="B1277" s="8" t="s">
        <v>9405</v>
      </c>
      <c r="C1277" s="9" t="s">
        <v>9406</v>
      </c>
      <c r="D1277" s="9" t="s">
        <v>398</v>
      </c>
      <c r="E1277" s="9" t="s">
        <v>398</v>
      </c>
      <c r="F1277" s="10">
        <v>1.378</v>
      </c>
      <c r="G1277" s="10">
        <v>1.515</v>
      </c>
      <c r="H1277" s="10"/>
      <c r="I1277" s="9" t="s">
        <v>400</v>
      </c>
      <c r="J1277" s="9" t="s">
        <v>9407</v>
      </c>
      <c r="K1277" s="9" t="s">
        <v>9408</v>
      </c>
      <c r="L1277" s="8" t="s">
        <v>9409</v>
      </c>
      <c r="M1277" s="9" t="s">
        <v>49</v>
      </c>
      <c r="N1277" s="9" t="s">
        <v>9410</v>
      </c>
      <c r="O1277" s="9">
        <f>HYPERLINK("https://www.google.com/maps/search/?api=1&amp;query=38.35692415,-0.47678593", "https://www.google.com/maps/search/?api=1&amp;query=38.35692415,-0.47678593")</f>
      </c>
      <c r="P1277" s="9" t="s">
        <v>1439</v>
      </c>
      <c r="Q1277" s="9" t="s">
        <v>1131</v>
      </c>
    </row>
    <row r="1278" spans="1:17" x14ac:dyDescent="0.25">
      <c r="A1278" s="8" t="s">
        <v>4946</v>
      </c>
      <c r="B1278" s="8" t="s">
        <v>9411</v>
      </c>
      <c r="C1278" s="9" t="s">
        <v>9412</v>
      </c>
      <c r="D1278" s="9" t="s">
        <v>253</v>
      </c>
      <c r="E1278" s="9" t="s">
        <v>9413</v>
      </c>
      <c r="F1278" s="10">
        <v>1.378</v>
      </c>
      <c r="G1278" s="10">
        <v>1.515</v>
      </c>
      <c r="H1278" s="10"/>
      <c r="I1278" s="9" t="s">
        <v>96</v>
      </c>
      <c r="J1278" s="9" t="s">
        <v>9414</v>
      </c>
      <c r="K1278" s="9" t="s">
        <v>9415</v>
      </c>
      <c r="L1278" s="8" t="s">
        <v>9416</v>
      </c>
      <c r="M1278" s="9" t="s">
        <v>49</v>
      </c>
      <c r="N1278" s="9" t="s">
        <v>9417</v>
      </c>
      <c r="O1278" s="9">
        <f>HYPERLINK("https://www.google.com/maps/search/?api=1&amp;query=40.89661529,0.74793666", "https://www.google.com/maps/search/?api=1&amp;query=40.89661529,0.74793666")</f>
      </c>
      <c r="P1278" s="9" t="s">
        <v>1364</v>
      </c>
      <c r="Q1278" s="9" t="s">
        <v>2481</v>
      </c>
    </row>
    <row r="1279" spans="1:17" x14ac:dyDescent="0.25">
      <c r="A1279" s="8" t="s">
        <v>9418</v>
      </c>
      <c r="B1279" s="8" t="s">
        <v>9419</v>
      </c>
      <c r="C1279" s="9" t="s">
        <v>9420</v>
      </c>
      <c r="D1279" s="9" t="s">
        <v>253</v>
      </c>
      <c r="E1279" s="9" t="s">
        <v>9421</v>
      </c>
      <c r="F1279" s="10">
        <v>1.378</v>
      </c>
      <c r="G1279" s="10">
        <v>1.515</v>
      </c>
      <c r="H1279" s="10"/>
      <c r="I1279" s="9" t="s">
        <v>96</v>
      </c>
      <c r="J1279" s="9" t="s">
        <v>9422</v>
      </c>
      <c r="K1279" s="9" t="s">
        <v>9423</v>
      </c>
      <c r="L1279" s="8" t="s">
        <v>9424</v>
      </c>
      <c r="M1279" s="9" t="s">
        <v>36</v>
      </c>
      <c r="N1279" s="9" t="s">
        <v>8843</v>
      </c>
      <c r="O1279" s="9">
        <f>HYPERLINK("https://www.google.com/maps/search/?api=1&amp;query=40.93499119,0.30936268", "https://www.google.com/maps/search/?api=1&amp;query=40.93499119,0.30936268")</f>
      </c>
      <c r="P1279" s="9" t="s">
        <v>5394</v>
      </c>
      <c r="Q1279" s="9" t="s">
        <v>9425</v>
      </c>
    </row>
    <row r="1280" spans="1:17" x14ac:dyDescent="0.25">
      <c r="A1280" s="8" t="s">
        <v>9426</v>
      </c>
      <c r="B1280" s="8" t="s">
        <v>9427</v>
      </c>
      <c r="C1280" s="9" t="s">
        <v>9428</v>
      </c>
      <c r="D1280" s="9" t="s">
        <v>434</v>
      </c>
      <c r="E1280" s="9" t="s">
        <v>1946</v>
      </c>
      <c r="F1280" s="10">
        <v>1.378</v>
      </c>
      <c r="G1280" s="10">
        <v>1.515</v>
      </c>
      <c r="H1280" s="10"/>
      <c r="I1280" s="9" t="s">
        <v>96</v>
      </c>
      <c r="J1280" s="9" t="s">
        <v>9429</v>
      </c>
      <c r="K1280" s="9" t="s">
        <v>9430</v>
      </c>
      <c r="L1280" s="8" t="s">
        <v>1949</v>
      </c>
      <c r="M1280" s="9" t="s">
        <v>49</v>
      </c>
      <c r="N1280" s="9" t="s">
        <v>211</v>
      </c>
      <c r="O1280" s="9">
        <f>HYPERLINK("https://www.google.com/maps/search/?api=1&amp;query=42.42835808,1.92656518", "https://www.google.com/maps/search/?api=1&amp;query=42.42835808,1.92656518")</f>
      </c>
      <c r="P1280" s="9" t="s">
        <v>1250</v>
      </c>
      <c r="Q1280" s="9" t="s">
        <v>1131</v>
      </c>
    </row>
    <row r="1281" spans="1:17" x14ac:dyDescent="0.25">
      <c r="A1281" s="8" t="s">
        <v>9431</v>
      </c>
      <c r="B1281" s="8" t="s">
        <v>9432</v>
      </c>
      <c r="C1281" s="9" t="s">
        <v>9433</v>
      </c>
      <c r="D1281" s="9" t="s">
        <v>253</v>
      </c>
      <c r="E1281" s="9" t="s">
        <v>9434</v>
      </c>
      <c r="F1281" s="10">
        <v>1.378</v>
      </c>
      <c r="G1281" s="10">
        <v>1.515</v>
      </c>
      <c r="H1281" s="10"/>
      <c r="I1281" s="9" t="s">
        <v>96</v>
      </c>
      <c r="J1281" s="9" t="s">
        <v>9435</v>
      </c>
      <c r="K1281" s="9" t="s">
        <v>9436</v>
      </c>
      <c r="L1281" s="8" t="s">
        <v>9437</v>
      </c>
      <c r="M1281" s="9" t="s">
        <v>49</v>
      </c>
      <c r="N1281" s="9" t="s">
        <v>954</v>
      </c>
      <c r="O1281" s="9">
        <f>HYPERLINK("https://www.google.com/maps/search/?api=1&amp;query=41.19316665,1.2032061", "https://www.google.com/maps/search/?api=1&amp;query=41.19316665,1.2032061")</f>
      </c>
      <c r="P1281" s="9" t="s">
        <v>547</v>
      </c>
      <c r="Q1281" s="9" t="s">
        <v>9438</v>
      </c>
    </row>
    <row r="1282" spans="1:17" x14ac:dyDescent="0.25">
      <c r="A1282" s="8" t="s">
        <v>9439</v>
      </c>
      <c r="B1282" s="8" t="s">
        <v>9440</v>
      </c>
      <c r="C1282" s="9" t="s">
        <v>9441</v>
      </c>
      <c r="D1282" s="9" t="s">
        <v>83</v>
      </c>
      <c r="E1282" s="9" t="s">
        <v>83</v>
      </c>
      <c r="F1282" s="10">
        <v>1.378</v>
      </c>
      <c r="G1282" s="10">
        <v>1.515</v>
      </c>
      <c r="H1282" s="10"/>
      <c r="I1282" s="9" t="s">
        <v>83</v>
      </c>
      <c r="J1282" s="9" t="s">
        <v>9442</v>
      </c>
      <c r="K1282" s="9" t="s">
        <v>9443</v>
      </c>
      <c r="L1282" s="8" t="s">
        <v>7149</v>
      </c>
      <c r="M1282" s="9" t="s">
        <v>49</v>
      </c>
      <c r="N1282" s="9" t="s">
        <v>9444</v>
      </c>
      <c r="O1282" s="9">
        <f>HYPERLINK("https://www.google.com/maps/search/?api=1&amp;query=40.44358963,-3.67828127", "https://www.google.com/maps/search/?api=1&amp;query=40.44358963,-3.67828127")</f>
      </c>
      <c r="P1282" s="9" t="s">
        <v>2594</v>
      </c>
      <c r="Q1282" s="9" t="s">
        <v>1131</v>
      </c>
    </row>
    <row r="1283" spans="1:17" x14ac:dyDescent="0.25">
      <c r="A1283" s="8" t="s">
        <v>9445</v>
      </c>
      <c r="B1283" s="8" t="s">
        <v>9446</v>
      </c>
      <c r="C1283" s="9" t="s">
        <v>9447</v>
      </c>
      <c r="D1283" s="9" t="s">
        <v>577</v>
      </c>
      <c r="E1283" s="9" t="s">
        <v>9448</v>
      </c>
      <c r="F1283" s="10">
        <v>1.378</v>
      </c>
      <c r="G1283" s="10">
        <v>1.515</v>
      </c>
      <c r="H1283" s="10"/>
      <c r="I1283" s="9" t="s">
        <v>74</v>
      </c>
      <c r="J1283" s="9" t="s">
        <v>9449</v>
      </c>
      <c r="K1283" s="9" t="s">
        <v>9450</v>
      </c>
      <c r="L1283" s="8" t="s">
        <v>9451</v>
      </c>
      <c r="M1283" s="9" t="s">
        <v>49</v>
      </c>
      <c r="N1283" s="9" t="s">
        <v>122</v>
      </c>
      <c r="O1283" s="9">
        <f>HYPERLINK("https://www.google.com/maps/search/?api=1&amp;query=40.55327487,-4.90943984", "https://www.google.com/maps/search/?api=1&amp;query=40.55327487,-4.90943984")</f>
      </c>
      <c r="P1283" s="9" t="s">
        <v>1250</v>
      </c>
      <c r="Q1283" s="9" t="s">
        <v>1742</v>
      </c>
    </row>
    <row r="1284" spans="1:17" x14ac:dyDescent="0.25">
      <c r="A1284" s="8" t="s">
        <v>9452</v>
      </c>
      <c r="B1284" s="8" t="s">
        <v>9453</v>
      </c>
      <c r="C1284" s="9" t="s">
        <v>9454</v>
      </c>
      <c r="D1284" s="9" t="s">
        <v>187</v>
      </c>
      <c r="E1284" s="9" t="s">
        <v>9455</v>
      </c>
      <c r="F1284" s="10">
        <v>1.378</v>
      </c>
      <c r="G1284" s="10">
        <v>1.515</v>
      </c>
      <c r="H1284" s="10"/>
      <c r="I1284" s="9" t="s">
        <v>74</v>
      </c>
      <c r="J1284" s="9" t="s">
        <v>9456</v>
      </c>
      <c r="K1284" s="9" t="s">
        <v>9457</v>
      </c>
      <c r="L1284" s="8" t="s">
        <v>9458</v>
      </c>
      <c r="M1284" s="9" t="s">
        <v>36</v>
      </c>
      <c r="N1284" s="9" t="s">
        <v>9459</v>
      </c>
      <c r="O1284" s="9">
        <f>HYPERLINK("https://www.google.com/maps/search/?api=1&amp;query=42.61588299,-6.59004877", "https://www.google.com/maps/search/?api=1&amp;query=42.61588299,-6.59004877")</f>
      </c>
      <c r="P1284" s="9" t="s">
        <v>1598</v>
      </c>
      <c r="Q1284" s="9" t="s">
        <v>2018</v>
      </c>
    </row>
    <row r="1285" spans="1:17" x14ac:dyDescent="0.25">
      <c r="A1285" s="8" t="s">
        <v>9460</v>
      </c>
      <c r="B1285" s="8" t="s">
        <v>9461</v>
      </c>
      <c r="C1285" s="9" t="s">
        <v>4056</v>
      </c>
      <c r="D1285" s="9" t="s">
        <v>424</v>
      </c>
      <c r="E1285" s="9" t="s">
        <v>9462</v>
      </c>
      <c r="F1285" s="10">
        <v>1.378</v>
      </c>
      <c r="G1285" s="10">
        <v>1.515</v>
      </c>
      <c r="H1285" s="10"/>
      <c r="I1285" s="9" t="s">
        <v>96</v>
      </c>
      <c r="J1285" s="9" t="s">
        <v>9463</v>
      </c>
      <c r="K1285" s="9" t="s">
        <v>9464</v>
      </c>
      <c r="L1285" s="8" t="s">
        <v>9465</v>
      </c>
      <c r="M1285" s="9" t="s">
        <v>100</v>
      </c>
      <c r="N1285" s="9" t="s">
        <v>88</v>
      </c>
      <c r="O1285" s="9">
        <f>HYPERLINK("https://www.google.com/maps/search/?api=1&amp;query=41.63029049,0.88776794", "https://www.google.com/maps/search/?api=1&amp;query=41.63029049,0.88776794")</f>
      </c>
      <c r="P1285" s="9" t="s">
        <v>258</v>
      </c>
      <c r="Q1285" s="9" t="s">
        <v>565</v>
      </c>
    </row>
    <row r="1286" spans="1:17" x14ac:dyDescent="0.25">
      <c r="A1286" s="8" t="s">
        <v>9466</v>
      </c>
      <c r="B1286" s="8" t="s">
        <v>9467</v>
      </c>
      <c r="C1286" s="9" t="s">
        <v>9468</v>
      </c>
      <c r="D1286" s="9" t="s">
        <v>83</v>
      </c>
      <c r="E1286" s="9" t="s">
        <v>9469</v>
      </c>
      <c r="F1286" s="10">
        <v>1.378</v>
      </c>
      <c r="G1286" s="10">
        <v>1.515</v>
      </c>
      <c r="H1286" s="10"/>
      <c r="I1286" s="9" t="s">
        <v>83</v>
      </c>
      <c r="J1286" s="9" t="s">
        <v>9470</v>
      </c>
      <c r="K1286" s="9" t="s">
        <v>9471</v>
      </c>
      <c r="L1286" s="8" t="s">
        <v>9472</v>
      </c>
      <c r="M1286" s="9" t="s">
        <v>36</v>
      </c>
      <c r="N1286" s="9" t="s">
        <v>9473</v>
      </c>
      <c r="O1286" s="9">
        <f>HYPERLINK("https://www.google.com/maps/search/?api=1&amp;query=40.83927221,-3.67653742", "https://www.google.com/maps/search/?api=1&amp;query=40.83927221,-3.67653742")</f>
      </c>
      <c r="P1286" s="9" t="s">
        <v>3530</v>
      </c>
      <c r="Q1286" s="9" t="s">
        <v>9474</v>
      </c>
    </row>
    <row r="1287" spans="1:17" x14ac:dyDescent="0.25">
      <c r="A1287" s="8" t="s">
        <v>9475</v>
      </c>
      <c r="B1287" s="8" t="s">
        <v>9476</v>
      </c>
      <c r="C1287" s="9" t="s">
        <v>9477</v>
      </c>
      <c r="D1287" s="9" t="s">
        <v>128</v>
      </c>
      <c r="E1287" s="9" t="s">
        <v>3206</v>
      </c>
      <c r="F1287" s="10">
        <v>1.378</v>
      </c>
      <c r="G1287" s="10">
        <v>1.515</v>
      </c>
      <c r="H1287" s="10"/>
      <c r="I1287" s="9" t="s">
        <v>45</v>
      </c>
      <c r="J1287" s="9" t="s">
        <v>9478</v>
      </c>
      <c r="K1287" s="9" t="s">
        <v>9479</v>
      </c>
      <c r="L1287" s="8" t="s">
        <v>3209</v>
      </c>
      <c r="M1287" s="9" t="s">
        <v>100</v>
      </c>
      <c r="N1287" s="9" t="s">
        <v>88</v>
      </c>
      <c r="O1287" s="9">
        <f>HYPERLINK("https://www.google.com/maps/search/?api=1&amp;query=36.50813479,-6.26823136", "https://www.google.com/maps/search/?api=1&amp;query=36.50813479,-6.26823136")</f>
      </c>
      <c r="P1287" s="9" t="s">
        <v>4246</v>
      </c>
      <c r="Q1287" s="9" t="s">
        <v>420</v>
      </c>
    </row>
    <row r="1288" spans="1:17" x14ac:dyDescent="0.25">
      <c r="A1288" s="8" t="s">
        <v>9480</v>
      </c>
      <c r="B1288" s="8" t="s">
        <v>9481</v>
      </c>
      <c r="C1288" s="9" t="s">
        <v>8807</v>
      </c>
      <c r="D1288" s="9" t="s">
        <v>1192</v>
      </c>
      <c r="E1288" s="9" t="s">
        <v>7315</v>
      </c>
      <c r="F1288" s="10">
        <v>1.378</v>
      </c>
      <c r="G1288" s="10">
        <v>1.515</v>
      </c>
      <c r="H1288" s="10"/>
      <c r="I1288" s="9" t="s">
        <v>168</v>
      </c>
      <c r="J1288" s="9" t="s">
        <v>9482</v>
      </c>
      <c r="K1288" s="9" t="s">
        <v>9483</v>
      </c>
      <c r="L1288" s="8" t="s">
        <v>7318</v>
      </c>
      <c r="M1288" s="9" t="s">
        <v>36</v>
      </c>
      <c r="N1288" s="9" t="s">
        <v>5450</v>
      </c>
      <c r="O1288" s="9">
        <f>HYPERLINK("https://www.google.com/maps/search/?api=1&amp;query=39.17582847,-3.01198868", "https://www.google.com/maps/search/?api=1&amp;query=39.17582847,-3.01198868")</f>
      </c>
      <c r="P1288" s="9" t="s">
        <v>897</v>
      </c>
      <c r="Q1288" s="9" t="s">
        <v>1742</v>
      </c>
    </row>
    <row r="1289" spans="1:17" x14ac:dyDescent="0.25">
      <c r="A1289" s="8" t="s">
        <v>9484</v>
      </c>
      <c r="B1289" s="8" t="s">
        <v>9485</v>
      </c>
      <c r="C1289" s="9" t="s">
        <v>9486</v>
      </c>
      <c r="D1289" s="9" t="s">
        <v>197</v>
      </c>
      <c r="E1289" s="9" t="s">
        <v>9487</v>
      </c>
      <c r="F1289" s="10">
        <v>1.378</v>
      </c>
      <c r="G1289" s="10">
        <v>1.515</v>
      </c>
      <c r="H1289" s="10"/>
      <c r="I1289" s="9" t="s">
        <v>168</v>
      </c>
      <c r="J1289" s="9" t="s">
        <v>9488</v>
      </c>
      <c r="K1289" s="9" t="s">
        <v>9489</v>
      </c>
      <c r="L1289" s="8" t="s">
        <v>9490</v>
      </c>
      <c r="M1289" s="9" t="s">
        <v>100</v>
      </c>
      <c r="N1289" s="9" t="s">
        <v>88</v>
      </c>
      <c r="O1289" s="9">
        <f>HYPERLINK("https://www.google.com/maps/search/?api=1&amp;query=39.68615065,-3.50464977", "https://www.google.com/maps/search/?api=1&amp;query=39.68615065,-3.50464977")</f>
      </c>
      <c r="P1289" s="9" t="s">
        <v>2233</v>
      </c>
      <c r="Q1289" s="9" t="s">
        <v>3963</v>
      </c>
    </row>
    <row r="1290" spans="1:17" x14ac:dyDescent="0.25">
      <c r="A1290" s="8" t="s">
        <v>9491</v>
      </c>
      <c r="B1290" s="8" t="s">
        <v>9492</v>
      </c>
      <c r="C1290" s="9" t="s">
        <v>9493</v>
      </c>
      <c r="D1290" s="9" t="s">
        <v>1282</v>
      </c>
      <c r="E1290" s="9" t="s">
        <v>9494</v>
      </c>
      <c r="F1290" s="10">
        <v>1.378</v>
      </c>
      <c r="G1290" s="10">
        <v>1.515</v>
      </c>
      <c r="H1290" s="10"/>
      <c r="I1290" s="9" t="s">
        <v>45</v>
      </c>
      <c r="J1290" s="9" t="s">
        <v>9495</v>
      </c>
      <c r="K1290" s="9" t="s">
        <v>9496</v>
      </c>
      <c r="L1290" s="8" t="s">
        <v>9497</v>
      </c>
      <c r="M1290" s="9" t="s">
        <v>36</v>
      </c>
      <c r="N1290" s="9" t="s">
        <v>8757</v>
      </c>
      <c r="O1290" s="9">
        <f>HYPERLINK("https://www.google.com/maps/search/?api=1&amp;query=36.81426107,-3.53345853", "https://www.google.com/maps/search/?api=1&amp;query=36.81426107,-3.53345853")</f>
      </c>
      <c r="P1290" s="9" t="s">
        <v>9498</v>
      </c>
      <c r="Q1290" s="9" t="s">
        <v>8812</v>
      </c>
    </row>
    <row r="1291" spans="1:17" x14ac:dyDescent="0.25">
      <c r="A1291" s="8" t="s">
        <v>9499</v>
      </c>
      <c r="B1291" s="8" t="s">
        <v>9500</v>
      </c>
      <c r="C1291" s="9" t="s">
        <v>9501</v>
      </c>
      <c r="D1291" s="9" t="s">
        <v>197</v>
      </c>
      <c r="E1291" s="9" t="s">
        <v>9502</v>
      </c>
      <c r="F1291" s="10">
        <v>1.378</v>
      </c>
      <c r="G1291" s="10">
        <v>1.515</v>
      </c>
      <c r="H1291" s="10"/>
      <c r="I1291" s="9" t="s">
        <v>168</v>
      </c>
      <c r="J1291" s="9" t="s">
        <v>9503</v>
      </c>
      <c r="K1291" s="9" t="s">
        <v>9504</v>
      </c>
      <c r="L1291" s="8" t="s">
        <v>9505</v>
      </c>
      <c r="M1291" s="9" t="s">
        <v>100</v>
      </c>
      <c r="N1291" s="9" t="s">
        <v>122</v>
      </c>
      <c r="O1291" s="9">
        <f>HYPERLINK("https://www.google.com/maps/search/?api=1&amp;query=39.87554645,-4.21737009", "https://www.google.com/maps/search/?api=1&amp;query=39.87554645,-4.21737009")</f>
      </c>
      <c r="P1291" s="9" t="s">
        <v>3530</v>
      </c>
      <c r="Q1291" s="9" t="s">
        <v>9506</v>
      </c>
    </row>
    <row r="1292" spans="1:17" x14ac:dyDescent="0.25">
      <c r="A1292" s="8" t="s">
        <v>9507</v>
      </c>
      <c r="B1292" s="8" t="s">
        <v>9508</v>
      </c>
      <c r="C1292" s="9" t="s">
        <v>9509</v>
      </c>
      <c r="D1292" s="9" t="s">
        <v>197</v>
      </c>
      <c r="E1292" s="9" t="s">
        <v>197</v>
      </c>
      <c r="F1292" s="10">
        <v>1.378</v>
      </c>
      <c r="G1292" s="10">
        <v>1.515</v>
      </c>
      <c r="H1292" s="10"/>
      <c r="I1292" s="9" t="s">
        <v>168</v>
      </c>
      <c r="J1292" s="9" t="s">
        <v>9510</v>
      </c>
      <c r="K1292" s="9" t="s">
        <v>9511</v>
      </c>
      <c r="L1292" s="8" t="s">
        <v>9512</v>
      </c>
      <c r="M1292" s="9" t="s">
        <v>49</v>
      </c>
      <c r="N1292" s="9" t="s">
        <v>88</v>
      </c>
      <c r="O1292" s="9">
        <f>HYPERLINK("https://www.google.com/maps/search/?api=1&amp;query=39.86493923,-3.97064338", "https://www.google.com/maps/search/?api=1&amp;query=39.86493923,-3.97064338")</f>
      </c>
      <c r="P1292" s="9" t="s">
        <v>78</v>
      </c>
      <c r="Q1292" s="9" t="s">
        <v>8372</v>
      </c>
    </row>
    <row r="1293" spans="1:17" x14ac:dyDescent="0.25">
      <c r="A1293" s="8" t="s">
        <v>9513</v>
      </c>
      <c r="B1293" s="8" t="s">
        <v>9514</v>
      </c>
      <c r="C1293" s="9" t="s">
        <v>9515</v>
      </c>
      <c r="D1293" s="9" t="s">
        <v>155</v>
      </c>
      <c r="E1293" s="9" t="s">
        <v>9516</v>
      </c>
      <c r="F1293" s="10">
        <v>1.378</v>
      </c>
      <c r="G1293" s="10">
        <v>1.515</v>
      </c>
      <c r="H1293" s="10"/>
      <c r="I1293" s="9" t="s">
        <v>157</v>
      </c>
      <c r="J1293" s="9" t="s">
        <v>9517</v>
      </c>
      <c r="K1293" s="9" t="s">
        <v>9518</v>
      </c>
      <c r="L1293" s="8" t="s">
        <v>9519</v>
      </c>
      <c r="M1293" s="9" t="s">
        <v>49</v>
      </c>
      <c r="N1293" s="9" t="s">
        <v>1719</v>
      </c>
      <c r="O1293" s="9">
        <f>HYPERLINK("https://www.google.com/maps/search/?api=1&amp;query=39.6300098,2.66403243", "https://www.google.com/maps/search/?api=1&amp;query=39.6300098,2.66403243")</f>
      </c>
      <c r="P1293" s="9" t="s">
        <v>1565</v>
      </c>
      <c r="Q1293" s="9" t="s">
        <v>9520</v>
      </c>
    </row>
    <row r="1294" spans="1:17" x14ac:dyDescent="0.25">
      <c r="A1294" s="8" t="s">
        <v>9521</v>
      </c>
      <c r="B1294" s="8" t="s">
        <v>9522</v>
      </c>
      <c r="C1294" s="9" t="s">
        <v>9523</v>
      </c>
      <c r="D1294" s="9" t="s">
        <v>138</v>
      </c>
      <c r="E1294" s="9" t="s">
        <v>9524</v>
      </c>
      <c r="F1294" s="10">
        <v>1.378</v>
      </c>
      <c r="G1294" s="10">
        <v>1.515</v>
      </c>
      <c r="H1294" s="10"/>
      <c r="I1294" s="9" t="s">
        <v>140</v>
      </c>
      <c r="J1294" s="9" t="s">
        <v>9525</v>
      </c>
      <c r="K1294" s="9" t="s">
        <v>9526</v>
      </c>
      <c r="L1294" s="8" t="s">
        <v>9527</v>
      </c>
      <c r="M1294" s="9" t="s">
        <v>36</v>
      </c>
      <c r="N1294" s="9" t="s">
        <v>9528</v>
      </c>
      <c r="O1294" s="9">
        <f>HYPERLINK("https://www.google.com/maps/search/?api=1&amp;query=42.56622665,-8.0460741", "https://www.google.com/maps/search/?api=1&amp;query=42.56622665,-8.0460741")</f>
      </c>
      <c r="P1294" s="9" t="s">
        <v>1927</v>
      </c>
      <c r="Q1294" s="9" t="s">
        <v>9529</v>
      </c>
    </row>
    <row r="1295" spans="1:17" x14ac:dyDescent="0.25">
      <c r="A1295" s="8" t="s">
        <v>9530</v>
      </c>
      <c r="B1295" s="8" t="s">
        <v>9531</v>
      </c>
      <c r="C1295" s="9" t="s">
        <v>9532</v>
      </c>
      <c r="D1295" s="9" t="s">
        <v>94</v>
      </c>
      <c r="E1295" s="9" t="s">
        <v>950</v>
      </c>
      <c r="F1295" s="10">
        <v>1.378</v>
      </c>
      <c r="G1295" s="10">
        <v>1.515</v>
      </c>
      <c r="H1295" s="10"/>
      <c r="I1295" s="9" t="s">
        <v>96</v>
      </c>
      <c r="J1295" s="9" t="s">
        <v>9533</v>
      </c>
      <c r="K1295" s="9" t="s">
        <v>9534</v>
      </c>
      <c r="L1295" s="8" t="s">
        <v>9535</v>
      </c>
      <c r="M1295" s="9" t="s">
        <v>49</v>
      </c>
      <c r="N1295" s="9" t="s">
        <v>37</v>
      </c>
      <c r="O1295" s="9">
        <f>HYPERLINK("https://www.google.com/maps/search/?api=1&amp;query=41.43343986,2.21668315", "https://www.google.com/maps/search/?api=1&amp;query=41.43343986,2.21668315")</f>
      </c>
      <c r="P1295" s="9" t="s">
        <v>705</v>
      </c>
      <c r="Q1295" s="9" t="s">
        <v>1131</v>
      </c>
    </row>
    <row r="1296" spans="1:17" x14ac:dyDescent="0.25">
      <c r="A1296" s="8" t="s">
        <v>9536</v>
      </c>
      <c r="B1296" s="8" t="s">
        <v>9537</v>
      </c>
      <c r="C1296" s="9" t="s">
        <v>9538</v>
      </c>
      <c r="D1296" s="9" t="s">
        <v>155</v>
      </c>
      <c r="E1296" s="9" t="s">
        <v>7804</v>
      </c>
      <c r="F1296" s="10">
        <v>1.378</v>
      </c>
      <c r="G1296" s="10">
        <v>1.515</v>
      </c>
      <c r="H1296" s="10"/>
      <c r="I1296" s="9" t="s">
        <v>157</v>
      </c>
      <c r="J1296" s="9" t="s">
        <v>9539</v>
      </c>
      <c r="K1296" s="9" t="s">
        <v>9540</v>
      </c>
      <c r="L1296" s="8" t="s">
        <v>9541</v>
      </c>
      <c r="M1296" s="9" t="s">
        <v>100</v>
      </c>
      <c r="N1296" s="9" t="s">
        <v>211</v>
      </c>
      <c r="O1296" s="9">
        <f>HYPERLINK("https://www.google.com/maps/search/?api=1&amp;query=38.92366012,1.44093354", "https://www.google.com/maps/search/?api=1&amp;query=38.92366012,1.44093354")</f>
      </c>
      <c r="P1296" s="9" t="s">
        <v>1565</v>
      </c>
      <c r="Q1296" s="9" t="s">
        <v>9542</v>
      </c>
    </row>
    <row r="1297" spans="1:17" x14ac:dyDescent="0.25">
      <c r="A1297" s="8" t="s">
        <v>9543</v>
      </c>
      <c r="B1297" s="8" t="s">
        <v>9544</v>
      </c>
      <c r="C1297" s="9" t="s">
        <v>9545</v>
      </c>
      <c r="D1297" s="9" t="s">
        <v>444</v>
      </c>
      <c r="E1297" s="9" t="s">
        <v>9546</v>
      </c>
      <c r="F1297" s="10">
        <v>1.378</v>
      </c>
      <c r="G1297" s="10">
        <v>1.515</v>
      </c>
      <c r="H1297" s="10"/>
      <c r="I1297" s="9" t="s">
        <v>444</v>
      </c>
      <c r="J1297" s="9" t="s">
        <v>9547</v>
      </c>
      <c r="K1297" s="9" t="s">
        <v>9548</v>
      </c>
      <c r="L1297" s="8" t="s">
        <v>9549</v>
      </c>
      <c r="M1297" s="9" t="s">
        <v>36</v>
      </c>
      <c r="N1297" s="9" t="s">
        <v>88</v>
      </c>
      <c r="O1297" s="9">
        <f>HYPERLINK("https://www.google.com/maps/search/?api=1&amp;query=43.30136476,-5.88188876", "https://www.google.com/maps/search/?api=1&amp;query=43.30136476,-5.88188876")</f>
      </c>
      <c r="P1297" s="9" t="s">
        <v>771</v>
      </c>
      <c r="Q1297" s="9" t="s">
        <v>9550</v>
      </c>
    </row>
    <row r="1298" spans="1:17" x14ac:dyDescent="0.25">
      <c r="A1298" s="8" t="s">
        <v>9551</v>
      </c>
      <c r="B1298" s="8" t="s">
        <v>9552</v>
      </c>
      <c r="C1298" s="9" t="s">
        <v>9553</v>
      </c>
      <c r="D1298" s="9" t="s">
        <v>61</v>
      </c>
      <c r="E1298" s="9" t="s">
        <v>3997</v>
      </c>
      <c r="F1298" s="10">
        <v>1.378</v>
      </c>
      <c r="G1298" s="10">
        <v>1.515</v>
      </c>
      <c r="H1298" s="10"/>
      <c r="I1298" s="9" t="s">
        <v>45</v>
      </c>
      <c r="J1298" s="9" t="s">
        <v>9554</v>
      </c>
      <c r="K1298" s="9" t="s">
        <v>9555</v>
      </c>
      <c r="L1298" s="8" t="s">
        <v>4000</v>
      </c>
      <c r="M1298" s="9" t="s">
        <v>49</v>
      </c>
      <c r="N1298" s="9" t="s">
        <v>964</v>
      </c>
      <c r="O1298" s="9">
        <f>HYPERLINK("https://www.google.com/maps/search/?api=1&amp;query=37.30889462,-5.88967171", "https://www.google.com/maps/search/?api=1&amp;query=37.30889462,-5.88967171")</f>
      </c>
      <c r="P1298" s="9" t="s">
        <v>9556</v>
      </c>
      <c r="Q1298" s="9" t="s">
        <v>3771</v>
      </c>
    </row>
    <row r="1299" spans="1:17" x14ac:dyDescent="0.25">
      <c r="A1299" s="8" t="s">
        <v>9557</v>
      </c>
      <c r="B1299" s="8" t="s">
        <v>9558</v>
      </c>
      <c r="C1299" s="9" t="s">
        <v>9559</v>
      </c>
      <c r="D1299" s="9" t="s">
        <v>400</v>
      </c>
      <c r="E1299" s="9" t="s">
        <v>6970</v>
      </c>
      <c r="F1299" s="10">
        <v>1.378</v>
      </c>
      <c r="G1299" s="10">
        <v>1.515</v>
      </c>
      <c r="H1299" s="10"/>
      <c r="I1299" s="9" t="s">
        <v>400</v>
      </c>
      <c r="J1299" s="9" t="s">
        <v>9560</v>
      </c>
      <c r="K1299" s="9" t="s">
        <v>9561</v>
      </c>
      <c r="L1299" s="8" t="s">
        <v>6973</v>
      </c>
      <c r="M1299" s="9" t="s">
        <v>49</v>
      </c>
      <c r="N1299" s="9" t="s">
        <v>9562</v>
      </c>
      <c r="O1299" s="9">
        <f>HYPERLINK("https://www.google.com/maps/search/?api=1&amp;query=39.48755619,-0.46811924", "https://www.google.com/maps/search/?api=1&amp;query=39.48755619,-0.46811924")</f>
      </c>
      <c r="P1299" s="9" t="s">
        <v>1148</v>
      </c>
      <c r="Q1299" s="9" t="s">
        <v>9563</v>
      </c>
    </row>
    <row r="1300" spans="1:17" x14ac:dyDescent="0.25">
      <c r="A1300" s="8" t="s">
        <v>9564</v>
      </c>
      <c r="B1300" s="8" t="s">
        <v>9565</v>
      </c>
      <c r="C1300" s="9" t="s">
        <v>9566</v>
      </c>
      <c r="D1300" s="9" t="s">
        <v>1434</v>
      </c>
      <c r="E1300" s="9" t="s">
        <v>9567</v>
      </c>
      <c r="F1300" s="10">
        <v>1.378</v>
      </c>
      <c r="G1300" s="10">
        <v>1.515</v>
      </c>
      <c r="H1300" s="10"/>
      <c r="I1300" s="9" t="s">
        <v>1434</v>
      </c>
      <c r="J1300" s="9" t="s">
        <v>9568</v>
      </c>
      <c r="K1300" s="9" t="s">
        <v>9569</v>
      </c>
      <c r="L1300" s="8" t="s">
        <v>9570</v>
      </c>
      <c r="M1300" s="9" t="s">
        <v>49</v>
      </c>
      <c r="N1300" s="9" t="s">
        <v>122</v>
      </c>
      <c r="O1300" s="9">
        <f>HYPERLINK("https://www.google.com/maps/search/?api=1&amp;query=42.23019369,-2.08533568", "https://www.google.com/maps/search/?api=1&amp;query=42.23019369,-2.08533568")</f>
      </c>
      <c r="P1300" s="9" t="s">
        <v>880</v>
      </c>
      <c r="Q1300" s="9" t="s">
        <v>6009</v>
      </c>
    </row>
    <row r="1301" spans="1:17" x14ac:dyDescent="0.25">
      <c r="A1301" s="8" t="s">
        <v>9571</v>
      </c>
      <c r="B1301" s="8" t="s">
        <v>9572</v>
      </c>
      <c r="C1301" s="9" t="s">
        <v>9573</v>
      </c>
      <c r="D1301" s="9" t="s">
        <v>488</v>
      </c>
      <c r="E1301" s="9" t="s">
        <v>6267</v>
      </c>
      <c r="F1301" s="10">
        <v>1.378</v>
      </c>
      <c r="G1301" s="10">
        <v>1.515</v>
      </c>
      <c r="H1301" s="10"/>
      <c r="I1301" s="9" t="s">
        <v>45</v>
      </c>
      <c r="J1301" s="9" t="s">
        <v>9574</v>
      </c>
      <c r="K1301" s="9" t="s">
        <v>9575</v>
      </c>
      <c r="L1301" s="8" t="s">
        <v>6270</v>
      </c>
      <c r="M1301" s="9" t="s">
        <v>49</v>
      </c>
      <c r="N1301" s="9" t="s">
        <v>3428</v>
      </c>
      <c r="O1301" s="9">
        <f>HYPERLINK("https://www.google.com/maps/search/?api=1&amp;query=38.09799865,-3.76670785", "https://www.google.com/maps/search/?api=1&amp;query=38.09799865,-3.76670785")</f>
      </c>
      <c r="P1301" s="9" t="s">
        <v>7037</v>
      </c>
      <c r="Q1301" s="9" t="s">
        <v>9576</v>
      </c>
    </row>
    <row r="1302" spans="1:17" x14ac:dyDescent="0.25">
      <c r="A1302" s="8" t="s">
        <v>9577</v>
      </c>
      <c r="B1302" s="8" t="s">
        <v>9578</v>
      </c>
      <c r="C1302" s="9" t="s">
        <v>9579</v>
      </c>
      <c r="D1302" s="9" t="s">
        <v>94</v>
      </c>
      <c r="E1302" s="9" t="s">
        <v>9580</v>
      </c>
      <c r="F1302" s="10">
        <v>1.378</v>
      </c>
      <c r="G1302" s="10">
        <v>1.515</v>
      </c>
      <c r="H1302" s="10"/>
      <c r="I1302" s="9" t="s">
        <v>96</v>
      </c>
      <c r="J1302" s="9" t="s">
        <v>9581</v>
      </c>
      <c r="K1302" s="9" t="s">
        <v>9582</v>
      </c>
      <c r="L1302" s="8" t="s">
        <v>9583</v>
      </c>
      <c r="M1302" s="9" t="s">
        <v>36</v>
      </c>
      <c r="N1302" s="9" t="s">
        <v>88</v>
      </c>
      <c r="O1302" s="9">
        <f>HYPERLINK("https://www.google.com/maps/search/?api=1&amp;query=42.0165576,1.88316603", "https://www.google.com/maps/search/?api=1&amp;query=42.0165576,1.88316603")</f>
      </c>
      <c r="P1302" s="9" t="s">
        <v>172</v>
      </c>
      <c r="Q1302" s="9" t="s">
        <v>9584</v>
      </c>
    </row>
    <row r="1303" spans="1:17" x14ac:dyDescent="0.25">
      <c r="A1303" s="8" t="s">
        <v>9585</v>
      </c>
      <c r="B1303" s="8" t="s">
        <v>9586</v>
      </c>
      <c r="C1303" s="9" t="s">
        <v>9587</v>
      </c>
      <c r="D1303" s="9" t="s">
        <v>658</v>
      </c>
      <c r="E1303" s="9" t="s">
        <v>9588</v>
      </c>
      <c r="F1303" s="10">
        <v>1.378</v>
      </c>
      <c r="G1303" s="10">
        <v>1.515</v>
      </c>
      <c r="H1303" s="10"/>
      <c r="I1303" s="9" t="s">
        <v>45</v>
      </c>
      <c r="J1303" s="9" t="s">
        <v>9589</v>
      </c>
      <c r="K1303" s="9" t="s">
        <v>9590</v>
      </c>
      <c r="L1303" s="8" t="s">
        <v>9229</v>
      </c>
      <c r="M1303" s="9" t="s">
        <v>36</v>
      </c>
      <c r="N1303" s="9" t="s">
        <v>122</v>
      </c>
      <c r="O1303" s="9">
        <f>HYPERLINK("https://www.google.com/maps/search/?api=1&amp;query=37.16818583,-1.93233009", "https://www.google.com/maps/search/?api=1&amp;query=37.16818583,-1.93233009")</f>
      </c>
      <c r="P1303" s="9" t="s">
        <v>9591</v>
      </c>
      <c r="Q1303" s="9" t="s">
        <v>9592</v>
      </c>
    </row>
    <row r="1304" spans="1:17" x14ac:dyDescent="0.25">
      <c r="A1304" s="8" t="s">
        <v>9593</v>
      </c>
      <c r="B1304" s="8" t="s">
        <v>9594</v>
      </c>
      <c r="C1304" s="9" t="s">
        <v>9595</v>
      </c>
      <c r="D1304" s="9" t="s">
        <v>138</v>
      </c>
      <c r="E1304" s="9" t="s">
        <v>9596</v>
      </c>
      <c r="F1304" s="10">
        <v>1.378</v>
      </c>
      <c r="G1304" s="10">
        <v>1.515</v>
      </c>
      <c r="H1304" s="10"/>
      <c r="I1304" s="9" t="s">
        <v>140</v>
      </c>
      <c r="J1304" s="9" t="s">
        <v>9597</v>
      </c>
      <c r="K1304" s="9" t="s">
        <v>9598</v>
      </c>
      <c r="L1304" s="8" t="s">
        <v>9599</v>
      </c>
      <c r="M1304" s="9" t="s">
        <v>36</v>
      </c>
      <c r="N1304" s="9" t="s">
        <v>211</v>
      </c>
      <c r="O1304" s="9">
        <f>HYPERLINK("https://www.google.com/maps/search/?api=1&amp;query=42.48864765,-8.6410297", "https://www.google.com/maps/search/?api=1&amp;query=42.48864765,-8.6410297")</f>
      </c>
      <c r="P1304" s="9" t="s">
        <v>1250</v>
      </c>
      <c r="Q1304" s="9" t="s">
        <v>6242</v>
      </c>
    </row>
    <row r="1305" spans="1:17" x14ac:dyDescent="0.25">
      <c r="A1305" s="8" t="s">
        <v>9600</v>
      </c>
      <c r="B1305" s="8" t="s">
        <v>9601</v>
      </c>
      <c r="C1305" s="9" t="s">
        <v>9602</v>
      </c>
      <c r="D1305" s="9" t="s">
        <v>444</v>
      </c>
      <c r="E1305" s="9" t="s">
        <v>9603</v>
      </c>
      <c r="F1305" s="10">
        <v>1.378</v>
      </c>
      <c r="G1305" s="10">
        <v>1.515</v>
      </c>
      <c r="H1305" s="10"/>
      <c r="I1305" s="9" t="s">
        <v>444</v>
      </c>
      <c r="J1305" s="9" t="s">
        <v>9604</v>
      </c>
      <c r="K1305" s="9" t="s">
        <v>9605</v>
      </c>
      <c r="L1305" s="8" t="s">
        <v>8039</v>
      </c>
      <c r="M1305" s="9" t="s">
        <v>36</v>
      </c>
      <c r="N1305" s="9" t="s">
        <v>88</v>
      </c>
      <c r="O1305" s="9">
        <f>HYPERLINK("https://www.google.com/maps/search/?api=1&amp;query=43.55874897,-5.9113015", "https://www.google.com/maps/search/?api=1&amp;query=43.55874897,-5.9113015")</f>
      </c>
      <c r="P1305" s="9" t="s">
        <v>349</v>
      </c>
      <c r="Q1305" s="9" t="s">
        <v>2554</v>
      </c>
    </row>
    <row r="1306" spans="1:17" x14ac:dyDescent="0.25">
      <c r="A1306" s="8" t="s">
        <v>9606</v>
      </c>
      <c r="B1306" s="8" t="s">
        <v>9607</v>
      </c>
      <c r="C1306" s="9" t="s">
        <v>7298</v>
      </c>
      <c r="D1306" s="9" t="s">
        <v>106</v>
      </c>
      <c r="E1306" s="9" t="s">
        <v>9608</v>
      </c>
      <c r="F1306" s="10">
        <v>1.378</v>
      </c>
      <c r="G1306" s="10">
        <v>1.515</v>
      </c>
      <c r="H1306" s="10"/>
      <c r="I1306" s="9" t="s">
        <v>106</v>
      </c>
      <c r="J1306" s="9" t="s">
        <v>9609</v>
      </c>
      <c r="K1306" s="9" t="s">
        <v>9610</v>
      </c>
      <c r="L1306" s="8" t="s">
        <v>9611</v>
      </c>
      <c r="M1306" s="9" t="s">
        <v>100</v>
      </c>
      <c r="N1306" s="9" t="s">
        <v>37</v>
      </c>
      <c r="O1306" s="9">
        <f>HYPERLINK("https://www.google.com/maps/search/?api=1&amp;query=37.76863079,-1.06861022", "https://www.google.com/maps/search/?api=1&amp;query=37.76863079,-1.06861022")</f>
      </c>
      <c r="P1306" s="9" t="s">
        <v>6340</v>
      </c>
      <c r="Q1306" s="9" t="s">
        <v>9612</v>
      </c>
    </row>
    <row r="1307" spans="1:17" x14ac:dyDescent="0.25">
      <c r="A1307" s="8" t="s">
        <v>9613</v>
      </c>
      <c r="B1307" s="8" t="s">
        <v>9614</v>
      </c>
      <c r="C1307" s="9" t="s">
        <v>8178</v>
      </c>
      <c r="D1307" s="9" t="s">
        <v>72</v>
      </c>
      <c r="E1307" s="9" t="s">
        <v>73</v>
      </c>
      <c r="F1307" s="10">
        <v>1.378</v>
      </c>
      <c r="G1307" s="10">
        <v>1.515</v>
      </c>
      <c r="H1307" s="10"/>
      <c r="I1307" s="9" t="s">
        <v>74</v>
      </c>
      <c r="J1307" s="9" t="s">
        <v>9615</v>
      </c>
      <c r="K1307" s="9" t="s">
        <v>9616</v>
      </c>
      <c r="L1307" s="8" t="s">
        <v>77</v>
      </c>
      <c r="M1307" s="9" t="s">
        <v>49</v>
      </c>
      <c r="N1307" s="9" t="s">
        <v>66</v>
      </c>
      <c r="O1307" s="9">
        <f>HYPERLINK("https://www.google.com/maps/search/?api=1&amp;query=41.83862627,-4.56734095", "https://www.google.com/maps/search/?api=1&amp;query=41.83862627,-4.56734095")</f>
      </c>
      <c r="P1307" s="9" t="s">
        <v>3126</v>
      </c>
      <c r="Q1307" s="9" t="s">
        <v>5429</v>
      </c>
    </row>
    <row r="1308" spans="1:17" x14ac:dyDescent="0.25">
      <c r="A1308" s="8" t="s">
        <v>9617</v>
      </c>
      <c r="B1308" s="8" t="s">
        <v>9618</v>
      </c>
      <c r="C1308" s="9" t="s">
        <v>9619</v>
      </c>
      <c r="D1308" s="9" t="s">
        <v>400</v>
      </c>
      <c r="E1308" s="9" t="s">
        <v>9620</v>
      </c>
      <c r="F1308" s="10">
        <v>1.378</v>
      </c>
      <c r="G1308" s="10">
        <v>1.515</v>
      </c>
      <c r="H1308" s="10"/>
      <c r="I1308" s="9" t="s">
        <v>400</v>
      </c>
      <c r="J1308" s="9" t="s">
        <v>9621</v>
      </c>
      <c r="K1308" s="9" t="s">
        <v>9622</v>
      </c>
      <c r="L1308" s="8" t="s">
        <v>9623</v>
      </c>
      <c r="M1308" s="9" t="s">
        <v>49</v>
      </c>
      <c r="N1308" s="9" t="s">
        <v>37</v>
      </c>
      <c r="O1308" s="9">
        <f>HYPERLINK("https://www.google.com/maps/search/?api=1&amp;query=39.53713653,-0.30858883", "https://www.google.com/maps/search/?api=1&amp;query=39.53713653,-0.30858883")</f>
      </c>
      <c r="P1308" s="9" t="s">
        <v>9624</v>
      </c>
      <c r="Q1308" s="9" t="s">
        <v>9625</v>
      </c>
    </row>
    <row r="1309" spans="1:17" x14ac:dyDescent="0.25">
      <c r="A1309" s="8" t="s">
        <v>9626</v>
      </c>
      <c r="B1309" s="8" t="s">
        <v>9627</v>
      </c>
      <c r="C1309" s="9" t="s">
        <v>9628</v>
      </c>
      <c r="D1309" s="9" t="s">
        <v>116</v>
      </c>
      <c r="E1309" s="9" t="s">
        <v>9629</v>
      </c>
      <c r="F1309" s="10">
        <v>1.378</v>
      </c>
      <c r="G1309" s="10">
        <v>1.515</v>
      </c>
      <c r="H1309" s="10"/>
      <c r="I1309" s="9" t="s">
        <v>118</v>
      </c>
      <c r="J1309" s="9" t="s">
        <v>9630</v>
      </c>
      <c r="K1309" s="9" t="s">
        <v>9631</v>
      </c>
      <c r="L1309" s="8" t="s">
        <v>9632</v>
      </c>
      <c r="M1309" s="9" t="s">
        <v>49</v>
      </c>
      <c r="N1309" s="9" t="s">
        <v>8508</v>
      </c>
      <c r="O1309" s="9">
        <f>HYPERLINK("https://www.google.com/maps/search/?api=1&amp;query=43.30490868,-2.67832379", "https://www.google.com/maps/search/?api=1&amp;query=43.30490868,-2.67832379")</f>
      </c>
      <c r="P1309" s="9" t="s">
        <v>1203</v>
      </c>
      <c r="Q1309" s="9" t="s">
        <v>3885</v>
      </c>
    </row>
    <row r="1310" spans="1:17" x14ac:dyDescent="0.25">
      <c r="A1310" s="8" t="s">
        <v>9633</v>
      </c>
      <c r="B1310" s="8" t="s">
        <v>9634</v>
      </c>
      <c r="C1310" s="9" t="s">
        <v>9635</v>
      </c>
      <c r="D1310" s="9" t="s">
        <v>1282</v>
      </c>
      <c r="E1310" s="9" t="s">
        <v>9636</v>
      </c>
      <c r="F1310" s="10">
        <v>1.378</v>
      </c>
      <c r="G1310" s="10">
        <v>1.515</v>
      </c>
      <c r="H1310" s="10"/>
      <c r="I1310" s="9" t="s">
        <v>45</v>
      </c>
      <c r="J1310" s="9" t="s">
        <v>9637</v>
      </c>
      <c r="K1310" s="9" t="s">
        <v>9638</v>
      </c>
      <c r="L1310" s="8" t="s">
        <v>9639</v>
      </c>
      <c r="M1310" s="9" t="s">
        <v>36</v>
      </c>
      <c r="N1310" s="9" t="s">
        <v>9640</v>
      </c>
      <c r="O1310" s="9">
        <f>HYPERLINK("https://www.google.com/maps/search/?api=1&amp;query=37.81084285,-2.53263147", "https://www.google.com/maps/search/?api=1&amp;query=37.81084285,-2.53263147")</f>
      </c>
      <c r="P1310" s="9" t="s">
        <v>296</v>
      </c>
      <c r="Q1310" s="9" t="s">
        <v>9641</v>
      </c>
    </row>
    <row r="1311" spans="1:17" x14ac:dyDescent="0.25">
      <c r="A1311" s="8" t="s">
        <v>9642</v>
      </c>
      <c r="B1311" s="8" t="s">
        <v>9643</v>
      </c>
      <c r="C1311" s="9" t="s">
        <v>9644</v>
      </c>
      <c r="D1311" s="9" t="s">
        <v>409</v>
      </c>
      <c r="E1311" s="9" t="s">
        <v>9645</v>
      </c>
      <c r="F1311" s="10">
        <v>1.378</v>
      </c>
      <c r="G1311" s="10">
        <v>1.515</v>
      </c>
      <c r="H1311" s="10"/>
      <c r="I1311" s="9" t="s">
        <v>292</v>
      </c>
      <c r="J1311" s="9" t="s">
        <v>9646</v>
      </c>
      <c r="K1311" s="9" t="s">
        <v>9647</v>
      </c>
      <c r="L1311" s="8" t="s">
        <v>9648</v>
      </c>
      <c r="M1311" s="9" t="s">
        <v>100</v>
      </c>
      <c r="N1311" s="9" t="s">
        <v>88</v>
      </c>
      <c r="O1311" s="9">
        <f>HYPERLINK("https://www.google.com/maps/search/?api=1&amp;query=41.60684665,-0.69112909", "https://www.google.com/maps/search/?api=1&amp;query=41.60684665,-0.69112909")</f>
      </c>
      <c r="P1311" s="9" t="s">
        <v>6210</v>
      </c>
      <c r="Q1311" s="9" t="s">
        <v>9649</v>
      </c>
    </row>
    <row r="1312" spans="1:17" x14ac:dyDescent="0.25">
      <c r="A1312" s="8" t="s">
        <v>9650</v>
      </c>
      <c r="B1312" s="8" t="s">
        <v>9651</v>
      </c>
      <c r="C1312" s="9" t="s">
        <v>9652</v>
      </c>
      <c r="D1312" s="9" t="s">
        <v>138</v>
      </c>
      <c r="E1312" s="9" t="s">
        <v>9653</v>
      </c>
      <c r="F1312" s="10">
        <v>1.378</v>
      </c>
      <c r="G1312" s="10">
        <v>1.515</v>
      </c>
      <c r="H1312" s="10"/>
      <c r="I1312" s="9" t="s">
        <v>140</v>
      </c>
      <c r="J1312" s="9" t="s">
        <v>9654</v>
      </c>
      <c r="K1312" s="9" t="s">
        <v>9655</v>
      </c>
      <c r="L1312" s="8" t="s">
        <v>9656</v>
      </c>
      <c r="M1312" s="9" t="s">
        <v>49</v>
      </c>
      <c r="N1312" s="9" t="s">
        <v>9657</v>
      </c>
      <c r="O1312" s="9">
        <f>HYPERLINK("https://www.google.com/maps/search/?api=1&amp;query=42.51830381,-8.27390579", "https://www.google.com/maps/search/?api=1&amp;query=42.51830381,-8.27390579")</f>
      </c>
      <c r="P1312" s="9" t="s">
        <v>1423</v>
      </c>
      <c r="Q1312" s="9" t="s">
        <v>9658</v>
      </c>
    </row>
    <row r="1313" spans="1:17" x14ac:dyDescent="0.25">
      <c r="A1313" s="8" t="s">
        <v>9659</v>
      </c>
      <c r="B1313" s="8" t="s">
        <v>9660</v>
      </c>
      <c r="C1313" s="9" t="s">
        <v>9661</v>
      </c>
      <c r="D1313" s="9" t="s">
        <v>398</v>
      </c>
      <c r="E1313" s="9" t="s">
        <v>9662</v>
      </c>
      <c r="F1313" s="10">
        <v>1.378</v>
      </c>
      <c r="G1313" s="10">
        <v>1.515</v>
      </c>
      <c r="H1313" s="10"/>
      <c r="I1313" s="9" t="s">
        <v>400</v>
      </c>
      <c r="J1313" s="9" t="s">
        <v>9663</v>
      </c>
      <c r="K1313" s="9" t="s">
        <v>9664</v>
      </c>
      <c r="L1313" s="8" t="s">
        <v>9665</v>
      </c>
      <c r="M1313" s="9" t="s">
        <v>36</v>
      </c>
      <c r="N1313" s="9" t="s">
        <v>88</v>
      </c>
      <c r="O1313" s="9">
        <f>HYPERLINK("https://www.google.com/maps/search/?api=1&amp;query=38.14713624,-0.8892838", "https://www.google.com/maps/search/?api=1&amp;query=38.14713624,-0.8892838")</f>
      </c>
      <c r="P1313" s="9" t="s">
        <v>1010</v>
      </c>
      <c r="Q1313" s="9" t="s">
        <v>9666</v>
      </c>
    </row>
    <row r="1314" spans="1:17" x14ac:dyDescent="0.25">
      <c r="A1314" s="8" t="s">
        <v>9667</v>
      </c>
      <c r="B1314" s="8" t="s">
        <v>9668</v>
      </c>
      <c r="C1314" s="9" t="s">
        <v>9669</v>
      </c>
      <c r="D1314" s="9" t="s">
        <v>138</v>
      </c>
      <c r="E1314" s="9" t="s">
        <v>9670</v>
      </c>
      <c r="F1314" s="10">
        <v>1.378</v>
      </c>
      <c r="G1314" s="10">
        <v>1.515</v>
      </c>
      <c r="H1314" s="10"/>
      <c r="I1314" s="9" t="s">
        <v>140</v>
      </c>
      <c r="J1314" s="9" t="s">
        <v>9671</v>
      </c>
      <c r="K1314" s="9" t="s">
        <v>9672</v>
      </c>
      <c r="L1314" s="8" t="s">
        <v>9673</v>
      </c>
      <c r="M1314" s="9" t="s">
        <v>49</v>
      </c>
      <c r="N1314" s="9" t="s">
        <v>122</v>
      </c>
      <c r="O1314" s="9">
        <f>HYPERLINK("https://www.google.com/maps/search/?api=1&amp;query=42.22403229,-8.47393795", "https://www.google.com/maps/search/?api=1&amp;query=42.22403229,-8.47393795")</f>
      </c>
      <c r="P1314" s="9" t="s">
        <v>521</v>
      </c>
      <c r="Q1314" s="9" t="s">
        <v>7794</v>
      </c>
    </row>
    <row r="1315" spans="1:17" x14ac:dyDescent="0.25">
      <c r="A1315" s="8" t="s">
        <v>9674</v>
      </c>
      <c r="B1315" s="8" t="s">
        <v>9675</v>
      </c>
      <c r="C1315" s="9" t="s">
        <v>9676</v>
      </c>
      <c r="D1315" s="9" t="s">
        <v>1483</v>
      </c>
      <c r="E1315" s="9" t="s">
        <v>7276</v>
      </c>
      <c r="F1315" s="10">
        <v>1.378</v>
      </c>
      <c r="G1315" s="10">
        <v>1.515</v>
      </c>
      <c r="H1315" s="10"/>
      <c r="I1315" s="9" t="s">
        <v>74</v>
      </c>
      <c r="J1315" s="9" t="s">
        <v>9677</v>
      </c>
      <c r="K1315" s="9" t="s">
        <v>9678</v>
      </c>
      <c r="L1315" s="8" t="s">
        <v>7279</v>
      </c>
      <c r="M1315" s="9" t="s">
        <v>36</v>
      </c>
      <c r="N1315" s="9" t="s">
        <v>9679</v>
      </c>
      <c r="O1315" s="9">
        <f>HYPERLINK("https://www.google.com/maps/search/?api=1&amp;query=42.69310272,-2.93801936", "https://www.google.com/maps/search/?api=1&amp;query=42.69310272,-2.93801936")</f>
      </c>
      <c r="P1315" s="9" t="s">
        <v>2442</v>
      </c>
      <c r="Q1315" s="9" t="s">
        <v>1131</v>
      </c>
    </row>
    <row r="1316" spans="1:17" x14ac:dyDescent="0.25">
      <c r="A1316" s="8" t="s">
        <v>9680</v>
      </c>
      <c r="B1316" s="8" t="s">
        <v>9681</v>
      </c>
      <c r="C1316" s="9" t="s">
        <v>9682</v>
      </c>
      <c r="D1316" s="9" t="s">
        <v>253</v>
      </c>
      <c r="E1316" s="9" t="s">
        <v>943</v>
      </c>
      <c r="F1316" s="10">
        <v>1.378</v>
      </c>
      <c r="G1316" s="10">
        <v>1.515</v>
      </c>
      <c r="H1316" s="10"/>
      <c r="I1316" s="9" t="s">
        <v>96</v>
      </c>
      <c r="J1316" s="9" t="s">
        <v>9683</v>
      </c>
      <c r="K1316" s="9" t="s">
        <v>9684</v>
      </c>
      <c r="L1316" s="8" t="s">
        <v>9685</v>
      </c>
      <c r="M1316" s="9" t="s">
        <v>49</v>
      </c>
      <c r="N1316" s="9" t="s">
        <v>9686</v>
      </c>
      <c r="O1316" s="9">
        <f>HYPERLINK("https://www.google.com/maps/search/?api=1&amp;query=41.16111637,1.11746998", "https://www.google.com/maps/search/?api=1&amp;query=41.16111637,1.11746998")</f>
      </c>
      <c r="P1316" s="9" t="s">
        <v>1250</v>
      </c>
      <c r="Q1316" s="9" t="s">
        <v>9687</v>
      </c>
    </row>
    <row r="1317" spans="1:17" x14ac:dyDescent="0.25">
      <c r="A1317" s="8" t="s">
        <v>9688</v>
      </c>
      <c r="B1317" s="8" t="s">
        <v>9689</v>
      </c>
      <c r="C1317" s="9" t="s">
        <v>9690</v>
      </c>
      <c r="D1317" s="9" t="s">
        <v>516</v>
      </c>
      <c r="E1317" s="9" t="s">
        <v>911</v>
      </c>
      <c r="F1317" s="10">
        <v>1.378</v>
      </c>
      <c r="G1317" s="10">
        <v>1.515</v>
      </c>
      <c r="H1317" s="10"/>
      <c r="I1317" s="9" t="s">
        <v>140</v>
      </c>
      <c r="J1317" s="9" t="s">
        <v>9691</v>
      </c>
      <c r="K1317" s="9" t="s">
        <v>9692</v>
      </c>
      <c r="L1317" s="8" t="s">
        <v>914</v>
      </c>
      <c r="M1317" s="9" t="s">
        <v>49</v>
      </c>
      <c r="N1317" s="9" t="s">
        <v>88</v>
      </c>
      <c r="O1317" s="9">
        <f>HYPERLINK("https://www.google.com/maps/search/?api=1&amp;query=43.29415456,-7.67067137", "https://www.google.com/maps/search/?api=1&amp;query=43.29415456,-7.67067137")</f>
      </c>
      <c r="P1317" s="9" t="s">
        <v>771</v>
      </c>
      <c r="Q1317" s="9" t="s">
        <v>9693</v>
      </c>
    </row>
    <row r="1318" spans="1:17" x14ac:dyDescent="0.25">
      <c r="A1318" s="8" t="s">
        <v>2575</v>
      </c>
      <c r="B1318" s="8" t="s">
        <v>9694</v>
      </c>
      <c r="C1318" s="9" t="s">
        <v>9695</v>
      </c>
      <c r="D1318" s="9" t="s">
        <v>1617</v>
      </c>
      <c r="E1318" s="9" t="s">
        <v>9696</v>
      </c>
      <c r="F1318" s="10">
        <v>1.378</v>
      </c>
      <c r="G1318" s="10">
        <v>1.515</v>
      </c>
      <c r="H1318" s="10"/>
      <c r="I1318" s="9" t="s">
        <v>292</v>
      </c>
      <c r="J1318" s="9" t="s">
        <v>9697</v>
      </c>
      <c r="K1318" s="9" t="s">
        <v>9698</v>
      </c>
      <c r="L1318" s="8" t="s">
        <v>9699</v>
      </c>
      <c r="M1318" s="9" t="s">
        <v>49</v>
      </c>
      <c r="N1318" s="9" t="s">
        <v>8958</v>
      </c>
      <c r="O1318" s="9">
        <f>HYPERLINK("https://www.google.com/maps/search/?api=1&amp;query=42.5130099,0.48245267", "https://www.google.com/maps/search/?api=1&amp;query=42.5130099,0.48245267")</f>
      </c>
      <c r="P1318" s="9" t="s">
        <v>992</v>
      </c>
      <c r="Q1318" s="9" t="s">
        <v>1204</v>
      </c>
    </row>
    <row r="1319" spans="1:17" x14ac:dyDescent="0.25">
      <c r="A1319" s="8" t="s">
        <v>9700</v>
      </c>
      <c r="B1319" s="8" t="s">
        <v>9701</v>
      </c>
      <c r="C1319" s="9" t="s">
        <v>9702</v>
      </c>
      <c r="D1319" s="9" t="s">
        <v>658</v>
      </c>
      <c r="E1319" s="9" t="s">
        <v>2266</v>
      </c>
      <c r="F1319" s="10">
        <v>1.378</v>
      </c>
      <c r="G1319" s="10">
        <v>1.515</v>
      </c>
      <c r="H1319" s="10"/>
      <c r="I1319" s="9" t="s">
        <v>45</v>
      </c>
      <c r="J1319" s="9" t="s">
        <v>9703</v>
      </c>
      <c r="K1319" s="9" t="s">
        <v>9704</v>
      </c>
      <c r="L1319" s="8" t="s">
        <v>9705</v>
      </c>
      <c r="M1319" s="9" t="s">
        <v>49</v>
      </c>
      <c r="N1319" s="9" t="s">
        <v>88</v>
      </c>
      <c r="O1319" s="9">
        <f>HYPERLINK("https://www.google.com/maps/search/?api=1&amp;query=36.83931945,-2.44652249", "https://www.google.com/maps/search/?api=1&amp;query=36.83931945,-2.44652249")</f>
      </c>
      <c r="P1319" s="9" t="s">
        <v>663</v>
      </c>
      <c r="Q1319" s="9" t="s">
        <v>9706</v>
      </c>
    </row>
    <row r="1320" spans="1:17" x14ac:dyDescent="0.25">
      <c r="A1320" s="8" t="s">
        <v>9707</v>
      </c>
      <c r="B1320" s="8" t="s">
        <v>9708</v>
      </c>
      <c r="C1320" s="9" t="s">
        <v>9709</v>
      </c>
      <c r="D1320" s="9" t="s">
        <v>226</v>
      </c>
      <c r="E1320" s="9" t="s">
        <v>9710</v>
      </c>
      <c r="F1320" s="10">
        <v>1.378</v>
      </c>
      <c r="G1320" s="10">
        <v>1.515</v>
      </c>
      <c r="H1320" s="10"/>
      <c r="I1320" s="9" t="s">
        <v>168</v>
      </c>
      <c r="J1320" s="9" t="s">
        <v>9711</v>
      </c>
      <c r="K1320" s="9" t="s">
        <v>9712</v>
      </c>
      <c r="L1320" s="8" t="s">
        <v>9713</v>
      </c>
      <c r="M1320" s="9" t="s">
        <v>36</v>
      </c>
      <c r="N1320" s="9" t="s">
        <v>8958</v>
      </c>
      <c r="O1320" s="9">
        <f>HYPERLINK("https://www.google.com/maps/search/?api=1&amp;query=40.01162512,-2.1073985", "https://www.google.com/maps/search/?api=1&amp;query=40.01162512,-2.1073985")</f>
      </c>
      <c r="P1320" s="9" t="s">
        <v>1803</v>
      </c>
      <c r="Q1320" s="9" t="s">
        <v>565</v>
      </c>
    </row>
    <row r="1321" spans="1:17" x14ac:dyDescent="0.25">
      <c r="A1321" s="8" t="s">
        <v>9714</v>
      </c>
      <c r="B1321" s="8" t="s">
        <v>9715</v>
      </c>
      <c r="C1321" s="9" t="s">
        <v>9716</v>
      </c>
      <c r="D1321" s="9" t="s">
        <v>400</v>
      </c>
      <c r="E1321" s="9" t="s">
        <v>9717</v>
      </c>
      <c r="F1321" s="10">
        <v>1.378</v>
      </c>
      <c r="G1321" s="10">
        <v>1.515</v>
      </c>
      <c r="H1321" s="10"/>
      <c r="I1321" s="9" t="s">
        <v>400</v>
      </c>
      <c r="J1321" s="9" t="s">
        <v>9718</v>
      </c>
      <c r="K1321" s="9" t="s">
        <v>9719</v>
      </c>
      <c r="L1321" s="8" t="s">
        <v>9720</v>
      </c>
      <c r="M1321" s="9" t="s">
        <v>49</v>
      </c>
      <c r="N1321" s="9" t="s">
        <v>9721</v>
      </c>
      <c r="O1321" s="9">
        <f>HYPERLINK("https://www.google.com/maps/search/?api=1&amp;query=38.95646176,-0.5884156", "https://www.google.com/maps/search/?api=1&amp;query=38.95646176,-0.5884156")</f>
      </c>
      <c r="P1321" s="9" t="s">
        <v>1287</v>
      </c>
      <c r="Q1321" s="9" t="s">
        <v>512</v>
      </c>
    </row>
    <row r="1322" spans="1:17" x14ac:dyDescent="0.25">
      <c r="A1322" s="8" t="s">
        <v>9722</v>
      </c>
      <c r="B1322" s="8" t="s">
        <v>9723</v>
      </c>
      <c r="C1322" s="9" t="s">
        <v>9724</v>
      </c>
      <c r="D1322" s="9" t="s">
        <v>1192</v>
      </c>
      <c r="E1322" s="9" t="s">
        <v>9725</v>
      </c>
      <c r="F1322" s="10">
        <v>1.378</v>
      </c>
      <c r="G1322" s="10">
        <v>1.515</v>
      </c>
      <c r="H1322" s="10"/>
      <c r="I1322" s="9" t="s">
        <v>168</v>
      </c>
      <c r="J1322" s="9" t="s">
        <v>9726</v>
      </c>
      <c r="K1322" s="9" t="s">
        <v>9727</v>
      </c>
      <c r="L1322" s="8" t="s">
        <v>9728</v>
      </c>
      <c r="M1322" s="9" t="s">
        <v>49</v>
      </c>
      <c r="N1322" s="9" t="s">
        <v>122</v>
      </c>
      <c r="O1322" s="9">
        <f>HYPERLINK("https://www.google.com/maps/search/?api=1&amp;query=38.50845519,-3.49773508", "https://www.google.com/maps/search/?api=1&amp;query=38.50845519,-3.49773508")</f>
      </c>
      <c r="P1322" s="9" t="s">
        <v>172</v>
      </c>
      <c r="Q1322" s="9" t="s">
        <v>9729</v>
      </c>
    </row>
    <row r="1323" spans="1:17" x14ac:dyDescent="0.25">
      <c r="A1323" s="8" t="s">
        <v>9730</v>
      </c>
      <c r="B1323" s="8" t="s">
        <v>9731</v>
      </c>
      <c r="C1323" s="9" t="s">
        <v>9732</v>
      </c>
      <c r="D1323" s="9" t="s">
        <v>344</v>
      </c>
      <c r="E1323" s="9" t="s">
        <v>9733</v>
      </c>
      <c r="F1323" s="10">
        <v>1.378</v>
      </c>
      <c r="G1323" s="10">
        <v>1.515</v>
      </c>
      <c r="H1323" s="10"/>
      <c r="I1323" s="9" t="s">
        <v>140</v>
      </c>
      <c r="J1323" s="9" t="s">
        <v>9734</v>
      </c>
      <c r="K1323" s="9" t="s">
        <v>9735</v>
      </c>
      <c r="L1323" s="8" t="s">
        <v>9736</v>
      </c>
      <c r="M1323" s="9" t="s">
        <v>49</v>
      </c>
      <c r="N1323" s="9" t="s">
        <v>3234</v>
      </c>
      <c r="O1323" s="9">
        <f>HYPERLINK("https://www.google.com/maps/search/?api=1&amp;query=43.02808813,-8.2374074", "https://www.google.com/maps/search/?api=1&amp;query=43.02808813,-8.2374074")</f>
      </c>
      <c r="P1323" s="9" t="s">
        <v>2727</v>
      </c>
      <c r="Q1323" s="9" t="s">
        <v>385</v>
      </c>
    </row>
    <row r="1324" spans="1:17" x14ac:dyDescent="0.25">
      <c r="A1324" s="8" t="s">
        <v>9737</v>
      </c>
      <c r="B1324" s="8" t="s">
        <v>9738</v>
      </c>
      <c r="C1324" s="9" t="s">
        <v>8138</v>
      </c>
      <c r="D1324" s="9" t="s">
        <v>72</v>
      </c>
      <c r="E1324" s="9" t="s">
        <v>9739</v>
      </c>
      <c r="F1324" s="10">
        <v>1.378</v>
      </c>
      <c r="G1324" s="10">
        <v>1.515</v>
      </c>
      <c r="H1324" s="10"/>
      <c r="I1324" s="9" t="s">
        <v>74</v>
      </c>
      <c r="J1324" s="9" t="s">
        <v>9740</v>
      </c>
      <c r="K1324" s="9" t="s">
        <v>9741</v>
      </c>
      <c r="L1324" s="8" t="s">
        <v>9742</v>
      </c>
      <c r="M1324" s="9" t="s">
        <v>49</v>
      </c>
      <c r="N1324" s="9" t="s">
        <v>9743</v>
      </c>
      <c r="O1324" s="9">
        <f>HYPERLINK("https://www.google.com/maps/search/?api=1&amp;query=42.15677224,-4.69233016", "https://www.google.com/maps/search/?api=1&amp;query=42.15677224,-4.69233016")</f>
      </c>
      <c r="P1324" s="9" t="s">
        <v>321</v>
      </c>
      <c r="Q1324" s="9" t="s">
        <v>9744</v>
      </c>
    </row>
    <row r="1325" spans="1:17" x14ac:dyDescent="0.25">
      <c r="A1325" s="8" t="s">
        <v>9745</v>
      </c>
      <c r="B1325" s="8" t="s">
        <v>9746</v>
      </c>
      <c r="C1325" s="9" t="s">
        <v>9747</v>
      </c>
      <c r="D1325" s="9" t="s">
        <v>1434</v>
      </c>
      <c r="E1325" s="9" t="s">
        <v>9748</v>
      </c>
      <c r="F1325" s="10">
        <v>1.378</v>
      </c>
      <c r="G1325" s="10">
        <v>1.515</v>
      </c>
      <c r="H1325" s="10"/>
      <c r="I1325" s="9" t="s">
        <v>1434</v>
      </c>
      <c r="J1325" s="9" t="s">
        <v>9749</v>
      </c>
      <c r="K1325" s="9" t="s">
        <v>9750</v>
      </c>
      <c r="L1325" s="8" t="s">
        <v>9751</v>
      </c>
      <c r="M1325" s="9" t="s">
        <v>49</v>
      </c>
      <c r="N1325" s="9" t="s">
        <v>2856</v>
      </c>
      <c r="O1325" s="9">
        <f>HYPERLINK("https://www.google.com/maps/search/?api=1&amp;query=42.48344241,-2.65252338", "https://www.google.com/maps/search/?api=1&amp;query=42.48344241,-2.65252338")</f>
      </c>
      <c r="P1325" s="9" t="s">
        <v>1927</v>
      </c>
      <c r="Q1325" s="9" t="s">
        <v>9752</v>
      </c>
    </row>
    <row r="1326" spans="1:17" x14ac:dyDescent="0.25">
      <c r="A1326" s="8" t="s">
        <v>9753</v>
      </c>
      <c r="B1326" s="8" t="s">
        <v>9754</v>
      </c>
      <c r="C1326" s="9" t="s">
        <v>9755</v>
      </c>
      <c r="D1326" s="9" t="s">
        <v>631</v>
      </c>
      <c r="E1326" s="9" t="s">
        <v>9756</v>
      </c>
      <c r="F1326" s="10">
        <v>1.378</v>
      </c>
      <c r="G1326" s="10">
        <v>1.515</v>
      </c>
      <c r="H1326" s="10"/>
      <c r="I1326" s="9" t="s">
        <v>45</v>
      </c>
      <c r="J1326" s="9" t="s">
        <v>9757</v>
      </c>
      <c r="K1326" s="9" t="s">
        <v>9758</v>
      </c>
      <c r="L1326" s="8" t="s">
        <v>9759</v>
      </c>
      <c r="M1326" s="9" t="s">
        <v>49</v>
      </c>
      <c r="N1326" s="9" t="s">
        <v>6008</v>
      </c>
      <c r="O1326" s="9">
        <f>HYPERLINK("https://www.google.com/maps/search/?api=1&amp;query=37.94295231,-4.49219291", "https://www.google.com/maps/search/?api=1&amp;query=37.94295231,-4.49219291")</f>
      </c>
      <c r="P1326" s="9" t="s">
        <v>9760</v>
      </c>
      <c r="Q1326" s="9" t="s">
        <v>2056</v>
      </c>
    </row>
    <row r="1327" spans="1:17" x14ac:dyDescent="0.25">
      <c r="A1327" s="8" t="s">
        <v>9761</v>
      </c>
      <c r="B1327" s="8" t="s">
        <v>9762</v>
      </c>
      <c r="C1327" s="9" t="s">
        <v>9763</v>
      </c>
      <c r="D1327" s="9" t="s">
        <v>1617</v>
      </c>
      <c r="E1327" s="9" t="s">
        <v>9764</v>
      </c>
      <c r="F1327" s="10">
        <v>1.378</v>
      </c>
      <c r="G1327" s="10">
        <v>1.515</v>
      </c>
      <c r="H1327" s="10"/>
      <c r="I1327" s="9" t="s">
        <v>292</v>
      </c>
      <c r="J1327" s="9" t="s">
        <v>9765</v>
      </c>
      <c r="K1327" s="9" t="s">
        <v>9766</v>
      </c>
      <c r="L1327" s="8" t="s">
        <v>9767</v>
      </c>
      <c r="M1327" s="9" t="s">
        <v>49</v>
      </c>
      <c r="N1327" s="9" t="s">
        <v>37</v>
      </c>
      <c r="O1327" s="9">
        <f>HYPERLINK("https://www.google.com/maps/search/?api=1&amp;query=41.91109282,0.1968127", "https://www.google.com/maps/search/?api=1&amp;query=41.91109282,0.1968127")</f>
      </c>
      <c r="P1327" s="9" t="s">
        <v>1759</v>
      </c>
      <c r="Q1327" s="9" t="s">
        <v>9768</v>
      </c>
    </row>
    <row r="1328" spans="1:17" x14ac:dyDescent="0.25">
      <c r="A1328" s="8" t="s">
        <v>9769</v>
      </c>
      <c r="B1328" s="8" t="s">
        <v>9770</v>
      </c>
      <c r="C1328" s="9" t="s">
        <v>9771</v>
      </c>
      <c r="D1328" s="9" t="s">
        <v>116</v>
      </c>
      <c r="E1328" s="9" t="s">
        <v>9772</v>
      </c>
      <c r="F1328" s="10">
        <v>1.378</v>
      </c>
      <c r="G1328" s="10">
        <v>1.515</v>
      </c>
      <c r="H1328" s="10"/>
      <c r="I1328" s="9" t="s">
        <v>118</v>
      </c>
      <c r="J1328" s="9" t="s">
        <v>9773</v>
      </c>
      <c r="K1328" s="9" t="s">
        <v>9774</v>
      </c>
      <c r="L1328" s="8" t="s">
        <v>9775</v>
      </c>
      <c r="M1328" s="9" t="s">
        <v>100</v>
      </c>
      <c r="N1328" s="9" t="s">
        <v>88</v>
      </c>
      <c r="O1328" s="9">
        <f>HYPERLINK("https://www.google.com/maps/search/?api=1&amp;query=43.28012559,-2.97884199", "https://www.google.com/maps/search/?api=1&amp;query=43.28012559,-2.97884199")</f>
      </c>
      <c r="P1328" s="9" t="s">
        <v>3165</v>
      </c>
      <c r="Q1328" s="9" t="s">
        <v>5395</v>
      </c>
    </row>
    <row r="1329" spans="1:17" x14ac:dyDescent="0.25">
      <c r="A1329" s="8" t="s">
        <v>9776</v>
      </c>
      <c r="B1329" s="8" t="s">
        <v>9777</v>
      </c>
      <c r="C1329" s="9" t="s">
        <v>9778</v>
      </c>
      <c r="D1329" s="9" t="s">
        <v>217</v>
      </c>
      <c r="E1329" s="9" t="s">
        <v>9779</v>
      </c>
      <c r="F1329" s="10">
        <v>1.378</v>
      </c>
      <c r="G1329" s="10">
        <v>1.515</v>
      </c>
      <c r="H1329" s="10"/>
      <c r="I1329" s="9" t="s">
        <v>45</v>
      </c>
      <c r="J1329" s="9" t="s">
        <v>9780</v>
      </c>
      <c r="K1329" s="9" t="s">
        <v>9781</v>
      </c>
      <c r="L1329" s="8" t="s">
        <v>9782</v>
      </c>
      <c r="M1329" s="9" t="s">
        <v>100</v>
      </c>
      <c r="N1329" s="9" t="s">
        <v>9783</v>
      </c>
      <c r="O1329" s="9">
        <f>HYPERLINK("https://www.google.com/maps/search/?api=1&amp;query=36.91097305,-4.34475936", "https://www.google.com/maps/search/?api=1&amp;query=36.91097305,-4.34475936")</f>
      </c>
      <c r="P1329" s="9" t="s">
        <v>8200</v>
      </c>
      <c r="Q1329" s="9" t="s">
        <v>1204</v>
      </c>
    </row>
    <row r="1330" spans="1:17" x14ac:dyDescent="0.25">
      <c r="A1330" s="8" t="s">
        <v>9784</v>
      </c>
      <c r="B1330" s="8" t="s">
        <v>9785</v>
      </c>
      <c r="C1330" s="9" t="s">
        <v>9112</v>
      </c>
      <c r="D1330" s="9" t="s">
        <v>1560</v>
      </c>
      <c r="E1330" s="9" t="s">
        <v>9786</v>
      </c>
      <c r="F1330" s="10">
        <v>1.378</v>
      </c>
      <c r="G1330" s="10">
        <v>1.515</v>
      </c>
      <c r="H1330" s="10"/>
      <c r="I1330" s="9" t="s">
        <v>400</v>
      </c>
      <c r="J1330" s="9" t="s">
        <v>9787</v>
      </c>
      <c r="K1330" s="9" t="s">
        <v>9788</v>
      </c>
      <c r="L1330" s="8" t="s">
        <v>9789</v>
      </c>
      <c r="M1330" s="9" t="s">
        <v>36</v>
      </c>
      <c r="N1330" s="9" t="s">
        <v>9790</v>
      </c>
      <c r="O1330" s="9">
        <f>HYPERLINK("https://www.google.com/maps/search/?api=1&amp;query=40.07067218,-0.20523751", "https://www.google.com/maps/search/?api=1&amp;query=40.07067218,-0.20523751")</f>
      </c>
      <c r="P1330" s="9" t="s">
        <v>182</v>
      </c>
      <c r="Q1330" s="9" t="s">
        <v>7794</v>
      </c>
    </row>
    <row r="1331" spans="1:17" x14ac:dyDescent="0.25">
      <c r="A1331" s="8" t="s">
        <v>9791</v>
      </c>
      <c r="B1331" s="8" t="s">
        <v>9792</v>
      </c>
      <c r="C1331" s="9" t="s">
        <v>9793</v>
      </c>
      <c r="D1331" s="9" t="s">
        <v>631</v>
      </c>
      <c r="E1331" s="9" t="s">
        <v>1047</v>
      </c>
      <c r="F1331" s="10">
        <v>1.378</v>
      </c>
      <c r="G1331" s="10">
        <v>1.515</v>
      </c>
      <c r="H1331" s="10"/>
      <c r="I1331" s="9" t="s">
        <v>45</v>
      </c>
      <c r="J1331" s="9" t="s">
        <v>6793</v>
      </c>
      <c r="K1331" s="9" t="s">
        <v>9794</v>
      </c>
      <c r="L1331" s="8" t="s">
        <v>6795</v>
      </c>
      <c r="M1331" s="9" t="s">
        <v>36</v>
      </c>
      <c r="N1331" s="9" t="s">
        <v>88</v>
      </c>
      <c r="O1331" s="9">
        <f>HYPERLINK("https://www.google.com/maps/search/?api=1&amp;query=37.79761049,-4.80995948", "https://www.google.com/maps/search/?api=1&amp;query=37.79761049,-4.80995948")</f>
      </c>
      <c r="P1331" s="9" t="s">
        <v>4374</v>
      </c>
      <c r="Q1331" s="9" t="s">
        <v>637</v>
      </c>
    </row>
    <row r="1332" spans="1:17" x14ac:dyDescent="0.25">
      <c r="A1332" s="8" t="s">
        <v>9795</v>
      </c>
      <c r="B1332" s="8" t="s">
        <v>9796</v>
      </c>
      <c r="C1332" s="9" t="s">
        <v>9797</v>
      </c>
      <c r="D1332" s="9" t="s">
        <v>409</v>
      </c>
      <c r="E1332" s="9" t="s">
        <v>9798</v>
      </c>
      <c r="F1332" s="10">
        <v>1.378</v>
      </c>
      <c r="G1332" s="10">
        <v>1.515</v>
      </c>
      <c r="H1332" s="10"/>
      <c r="I1332" s="9" t="s">
        <v>292</v>
      </c>
      <c r="J1332" s="9" t="s">
        <v>9799</v>
      </c>
      <c r="K1332" s="9" t="s">
        <v>9800</v>
      </c>
      <c r="L1332" s="8" t="s">
        <v>9801</v>
      </c>
      <c r="M1332" s="9" t="s">
        <v>36</v>
      </c>
      <c r="N1332" s="9" t="s">
        <v>88</v>
      </c>
      <c r="O1332" s="9">
        <f>HYPERLINK("https://www.google.com/maps/search/?api=1&amp;query=41.68132377,-0.78096578", "https://www.google.com/maps/search/?api=1&amp;query=41.68132377,-0.78096578")</f>
      </c>
      <c r="P1332" s="9" t="s">
        <v>1203</v>
      </c>
      <c r="Q1332" s="9" t="s">
        <v>9802</v>
      </c>
    </row>
    <row r="1333" spans="1:17" x14ac:dyDescent="0.25">
      <c r="A1333" s="8" t="s">
        <v>9803</v>
      </c>
      <c r="B1333" s="8" t="s">
        <v>9804</v>
      </c>
      <c r="C1333" s="9" t="s">
        <v>3263</v>
      </c>
      <c r="D1333" s="9" t="s">
        <v>106</v>
      </c>
      <c r="E1333" s="9" t="s">
        <v>9805</v>
      </c>
      <c r="F1333" s="10">
        <v>1.378</v>
      </c>
      <c r="G1333" s="10">
        <v>1.515</v>
      </c>
      <c r="H1333" s="10"/>
      <c r="I1333" s="9" t="s">
        <v>106</v>
      </c>
      <c r="J1333" s="9" t="s">
        <v>9806</v>
      </c>
      <c r="K1333" s="9" t="s">
        <v>9807</v>
      </c>
      <c r="L1333" s="8" t="s">
        <v>9808</v>
      </c>
      <c r="M1333" s="9" t="s">
        <v>36</v>
      </c>
      <c r="N1333" s="9" t="s">
        <v>88</v>
      </c>
      <c r="O1333" s="9">
        <f>HYPERLINK("https://www.google.com/maps/search/?api=1&amp;query=38.00961924,-1.22253618", "https://www.google.com/maps/search/?api=1&amp;query=38.00961924,-1.22253618")</f>
      </c>
      <c r="P1333" s="9" t="s">
        <v>419</v>
      </c>
      <c r="Q1333" s="9" t="s">
        <v>548</v>
      </c>
    </row>
    <row r="1334" spans="1:17" x14ac:dyDescent="0.25">
      <c r="A1334" s="8" t="s">
        <v>9809</v>
      </c>
      <c r="B1334" s="8" t="s">
        <v>9810</v>
      </c>
      <c r="C1334" s="9" t="s">
        <v>9811</v>
      </c>
      <c r="D1334" s="9" t="s">
        <v>280</v>
      </c>
      <c r="E1334" s="9" t="s">
        <v>685</v>
      </c>
      <c r="F1334" s="10">
        <v>1.378</v>
      </c>
      <c r="G1334" s="10">
        <v>1.515</v>
      </c>
      <c r="H1334" s="10"/>
      <c r="I1334" s="9" t="s">
        <v>118</v>
      </c>
      <c r="J1334" s="9" t="s">
        <v>9812</v>
      </c>
      <c r="K1334" s="9" t="s">
        <v>9813</v>
      </c>
      <c r="L1334" s="8" t="s">
        <v>1597</v>
      </c>
      <c r="M1334" s="9" t="s">
        <v>49</v>
      </c>
      <c r="N1334" s="9" t="s">
        <v>37</v>
      </c>
      <c r="O1334" s="9">
        <f>HYPERLINK("https://www.google.com/maps/search/?api=1&amp;query=43.33885411,-1.75391571", "https://www.google.com/maps/search/?api=1&amp;query=43.33885411,-1.75391571")</f>
      </c>
      <c r="P1334" s="9" t="s">
        <v>384</v>
      </c>
      <c r="Q1334" s="9" t="s">
        <v>9814</v>
      </c>
    </row>
    <row r="1335" spans="1:17" x14ac:dyDescent="0.25">
      <c r="A1335" s="8" t="s">
        <v>9815</v>
      </c>
      <c r="B1335" s="8" t="s">
        <v>9816</v>
      </c>
      <c r="C1335" s="9" t="s">
        <v>9817</v>
      </c>
      <c r="D1335" s="9" t="s">
        <v>469</v>
      </c>
      <c r="E1335" s="9" t="s">
        <v>469</v>
      </c>
      <c r="F1335" s="10">
        <v>1.378</v>
      </c>
      <c r="G1335" s="10">
        <v>1.515</v>
      </c>
      <c r="H1335" s="10"/>
      <c r="I1335" s="9" t="s">
        <v>74</v>
      </c>
      <c r="J1335" s="9" t="s">
        <v>9818</v>
      </c>
      <c r="K1335" s="9" t="s">
        <v>9819</v>
      </c>
      <c r="L1335" s="8" t="s">
        <v>2522</v>
      </c>
      <c r="M1335" s="9" t="s">
        <v>49</v>
      </c>
      <c r="N1335" s="9" t="s">
        <v>211</v>
      </c>
      <c r="O1335" s="9">
        <f>HYPERLINK("https://www.google.com/maps/search/?api=1&amp;query=40.97015098,-5.66292896", "https://www.google.com/maps/search/?api=1&amp;query=40.97015098,-5.66292896")</f>
      </c>
      <c r="P1335" s="9" t="s">
        <v>8200</v>
      </c>
      <c r="Q1335" s="9" t="s">
        <v>1131</v>
      </c>
    </row>
    <row r="1336" spans="1:17" x14ac:dyDescent="0.25">
      <c r="A1336" s="8" t="s">
        <v>9820</v>
      </c>
      <c r="B1336" s="8" t="s">
        <v>9821</v>
      </c>
      <c r="C1336" s="9" t="s">
        <v>9822</v>
      </c>
      <c r="D1336" s="9" t="s">
        <v>116</v>
      </c>
      <c r="E1336" s="9" t="s">
        <v>9823</v>
      </c>
      <c r="F1336" s="10">
        <v>1.378</v>
      </c>
      <c r="G1336" s="10">
        <v>1.515</v>
      </c>
      <c r="H1336" s="10"/>
      <c r="I1336" s="9" t="s">
        <v>118</v>
      </c>
      <c r="J1336" s="9" t="s">
        <v>9824</v>
      </c>
      <c r="K1336" s="9" t="s">
        <v>9825</v>
      </c>
      <c r="L1336" s="8" t="s">
        <v>9826</v>
      </c>
      <c r="M1336" s="9" t="s">
        <v>49</v>
      </c>
      <c r="N1336" s="9" t="s">
        <v>483</v>
      </c>
      <c r="O1336" s="9">
        <f>HYPERLINK("https://www.google.com/maps/search/?api=1&amp;query=43.39032459,-2.94358243", "https://www.google.com/maps/search/?api=1&amp;query=43.39032459,-2.94358243")</f>
      </c>
      <c r="P1336" s="9" t="s">
        <v>493</v>
      </c>
      <c r="Q1336" s="9" t="s">
        <v>2554</v>
      </c>
    </row>
    <row r="1337" spans="1:17" x14ac:dyDescent="0.25">
      <c r="A1337" s="8" t="s">
        <v>9827</v>
      </c>
      <c r="B1337" s="8" t="s">
        <v>9828</v>
      </c>
      <c r="C1337" s="9" t="s">
        <v>9829</v>
      </c>
      <c r="D1337" s="9" t="s">
        <v>128</v>
      </c>
      <c r="E1337" s="9" t="s">
        <v>129</v>
      </c>
      <c r="F1337" s="10">
        <v>1.378</v>
      </c>
      <c r="G1337" s="10">
        <v>1.515</v>
      </c>
      <c r="H1337" s="10"/>
      <c r="I1337" s="9" t="s">
        <v>45</v>
      </c>
      <c r="J1337" s="9" t="s">
        <v>9830</v>
      </c>
      <c r="K1337" s="9" t="s">
        <v>9831</v>
      </c>
      <c r="L1337" s="8" t="s">
        <v>132</v>
      </c>
      <c r="M1337" s="9" t="s">
        <v>49</v>
      </c>
      <c r="N1337" s="9" t="s">
        <v>88</v>
      </c>
      <c r="O1337" s="9">
        <f>HYPERLINK("https://www.google.com/maps/search/?api=1&amp;query=36.68112925,-6.1252464", "https://www.google.com/maps/search/?api=1&amp;query=36.68112925,-6.1252464")</f>
      </c>
      <c r="P1337" s="9" t="s">
        <v>321</v>
      </c>
      <c r="Q1337" s="9" t="s">
        <v>5514</v>
      </c>
    </row>
    <row r="1338" spans="1:17" x14ac:dyDescent="0.25">
      <c r="A1338" s="8" t="s">
        <v>9832</v>
      </c>
      <c r="B1338" s="8" t="s">
        <v>9833</v>
      </c>
      <c r="C1338" s="9" t="s">
        <v>9834</v>
      </c>
      <c r="D1338" s="9" t="s">
        <v>2288</v>
      </c>
      <c r="E1338" s="9" t="s">
        <v>9835</v>
      </c>
      <c r="F1338" s="10">
        <v>1.378</v>
      </c>
      <c r="G1338" s="10">
        <v>1.515</v>
      </c>
      <c r="H1338" s="10"/>
      <c r="I1338" s="9" t="s">
        <v>168</v>
      </c>
      <c r="J1338" s="9" t="s">
        <v>9836</v>
      </c>
      <c r="K1338" s="9" t="s">
        <v>9837</v>
      </c>
      <c r="L1338" s="8" t="s">
        <v>9838</v>
      </c>
      <c r="M1338" s="9" t="s">
        <v>36</v>
      </c>
      <c r="N1338" s="9" t="s">
        <v>9839</v>
      </c>
      <c r="O1338" s="9">
        <f>HYPERLINK("https://www.google.com/maps/search/?api=1&amp;query=38.80822333,-2.32762316", "https://www.google.com/maps/search/?api=1&amp;query=38.80822333,-2.32762316")</f>
      </c>
      <c r="P1338" s="9" t="s">
        <v>9840</v>
      </c>
      <c r="Q1338" s="9" t="s">
        <v>3657</v>
      </c>
    </row>
    <row r="1339" spans="1:17" x14ac:dyDescent="0.25">
      <c r="A1339" s="8" t="s">
        <v>9841</v>
      </c>
      <c r="B1339" s="8" t="s">
        <v>9842</v>
      </c>
      <c r="C1339" s="9" t="s">
        <v>9843</v>
      </c>
      <c r="D1339" s="9" t="s">
        <v>379</v>
      </c>
      <c r="E1339" s="9" t="s">
        <v>9844</v>
      </c>
      <c r="F1339" s="10">
        <v>1.378</v>
      </c>
      <c r="G1339" s="10">
        <v>1.515</v>
      </c>
      <c r="H1339" s="10"/>
      <c r="I1339" s="9" t="s">
        <v>379</v>
      </c>
      <c r="J1339" s="9" t="s">
        <v>9845</v>
      </c>
      <c r="K1339" s="9" t="s">
        <v>9846</v>
      </c>
      <c r="L1339" s="8" t="s">
        <v>383</v>
      </c>
      <c r="M1339" s="9" t="s">
        <v>36</v>
      </c>
      <c r="N1339" s="9" t="s">
        <v>9847</v>
      </c>
      <c r="O1339" s="9">
        <f>HYPERLINK("https://www.google.com/maps/search/?api=1&amp;query=43.27256348,-1.68784376", "https://www.google.com/maps/search/?api=1&amp;query=43.27256348,-1.68784376")</f>
      </c>
      <c r="P1339" s="9" t="s">
        <v>547</v>
      </c>
      <c r="Q1339" s="9" t="s">
        <v>6703</v>
      </c>
    </row>
    <row r="1340" spans="1:17" x14ac:dyDescent="0.25">
      <c r="A1340" s="8" t="s">
        <v>9848</v>
      </c>
      <c r="B1340" s="8" t="s">
        <v>9849</v>
      </c>
      <c r="C1340" s="9" t="s">
        <v>9850</v>
      </c>
      <c r="D1340" s="9" t="s">
        <v>424</v>
      </c>
      <c r="E1340" s="9" t="s">
        <v>9851</v>
      </c>
      <c r="F1340" s="10">
        <v>1.378</v>
      </c>
      <c r="G1340" s="10">
        <v>1.515</v>
      </c>
      <c r="H1340" s="10"/>
      <c r="I1340" s="9" t="s">
        <v>96</v>
      </c>
      <c r="J1340" s="9" t="s">
        <v>9852</v>
      </c>
      <c r="K1340" s="9" t="s">
        <v>9853</v>
      </c>
      <c r="L1340" s="8" t="s">
        <v>9854</v>
      </c>
      <c r="M1340" s="9" t="s">
        <v>100</v>
      </c>
      <c r="N1340" s="9" t="s">
        <v>88</v>
      </c>
      <c r="O1340" s="9">
        <f>HYPERLINK("https://www.google.com/maps/search/?api=1&amp;query=41.5444942,0.47560547", "https://www.google.com/maps/search/?api=1&amp;query=41.5444942,0.47560547")</f>
      </c>
      <c r="P1340" s="9" t="s">
        <v>9291</v>
      </c>
      <c r="Q1340" s="9" t="s">
        <v>9855</v>
      </c>
    </row>
    <row r="1341" spans="1:17" x14ac:dyDescent="0.25">
      <c r="A1341" s="8" t="s">
        <v>9856</v>
      </c>
      <c r="B1341" s="8" t="s">
        <v>9857</v>
      </c>
      <c r="C1341" s="9" t="s">
        <v>9858</v>
      </c>
      <c r="D1341" s="9" t="s">
        <v>128</v>
      </c>
      <c r="E1341" s="9" t="s">
        <v>2876</v>
      </c>
      <c r="F1341" s="10">
        <v>1.378</v>
      </c>
      <c r="G1341" s="10">
        <v>1.515</v>
      </c>
      <c r="H1341" s="10"/>
      <c r="I1341" s="9" t="s">
        <v>45</v>
      </c>
      <c r="J1341" s="9" t="s">
        <v>9859</v>
      </c>
      <c r="K1341" s="9" t="s">
        <v>9860</v>
      </c>
      <c r="L1341" s="8" t="s">
        <v>9861</v>
      </c>
      <c r="M1341" s="9" t="s">
        <v>36</v>
      </c>
      <c r="N1341" s="9" t="s">
        <v>9862</v>
      </c>
      <c r="O1341" s="9">
        <f>HYPERLINK("https://www.google.com/maps/search/?api=1&amp;query=36.11816979,-5.45326176", "https://www.google.com/maps/search/?api=1&amp;query=36.11816979,-5.45326176")</f>
      </c>
      <c r="P1341" s="9" t="s">
        <v>1287</v>
      </c>
      <c r="Q1341" s="9" t="s">
        <v>1131</v>
      </c>
    </row>
    <row r="1342" spans="1:17" x14ac:dyDescent="0.25">
      <c r="A1342" s="8" t="s">
        <v>9863</v>
      </c>
      <c r="B1342" s="8" t="s">
        <v>9864</v>
      </c>
      <c r="C1342" s="9" t="s">
        <v>9865</v>
      </c>
      <c r="D1342" s="9" t="s">
        <v>1282</v>
      </c>
      <c r="E1342" s="9" t="s">
        <v>9337</v>
      </c>
      <c r="F1342" s="10">
        <v>1.378</v>
      </c>
      <c r="G1342" s="10">
        <v>1.515</v>
      </c>
      <c r="H1342" s="10"/>
      <c r="I1342" s="9" t="s">
        <v>45</v>
      </c>
      <c r="J1342" s="9" t="s">
        <v>9866</v>
      </c>
      <c r="K1342" s="9" t="s">
        <v>9867</v>
      </c>
      <c r="L1342" s="8" t="s">
        <v>9340</v>
      </c>
      <c r="M1342" s="9" t="s">
        <v>49</v>
      </c>
      <c r="N1342" s="9" t="s">
        <v>211</v>
      </c>
      <c r="O1342" s="9">
        <f>HYPERLINK("https://www.google.com/maps/search/?api=1&amp;query=37.29819194,-3.12938826", "https://www.google.com/maps/search/?api=1&amp;query=37.29819194,-3.12938826")</f>
      </c>
      <c r="P1342" s="9" t="s">
        <v>831</v>
      </c>
      <c r="Q1342" s="9" t="s">
        <v>9868</v>
      </c>
    </row>
    <row r="1343" spans="1:17" x14ac:dyDescent="0.25">
      <c r="A1343" s="8" t="s">
        <v>9869</v>
      </c>
      <c r="B1343" s="8" t="s">
        <v>9870</v>
      </c>
      <c r="C1343" s="9" t="s">
        <v>9871</v>
      </c>
      <c r="D1343" s="9" t="s">
        <v>187</v>
      </c>
      <c r="E1343" s="9" t="s">
        <v>9872</v>
      </c>
      <c r="F1343" s="10">
        <v>1.378</v>
      </c>
      <c r="G1343" s="10">
        <v>1.515</v>
      </c>
      <c r="H1343" s="10"/>
      <c r="I1343" s="9" t="s">
        <v>74</v>
      </c>
      <c r="J1343" s="9" t="s">
        <v>9873</v>
      </c>
      <c r="K1343" s="9" t="s">
        <v>9874</v>
      </c>
      <c r="L1343" s="8" t="s">
        <v>9875</v>
      </c>
      <c r="M1343" s="9" t="s">
        <v>49</v>
      </c>
      <c r="N1343" s="9" t="s">
        <v>211</v>
      </c>
      <c r="O1343" s="9">
        <f>HYPERLINK("https://www.google.com/maps/search/?api=1&amp;query=42.66058217,-6.92164911", "https://www.google.com/maps/search/?api=1&amp;query=42.66058217,-6.92164911")</f>
      </c>
      <c r="P1343" s="9" t="s">
        <v>880</v>
      </c>
      <c r="Q1343" s="9" t="s">
        <v>3771</v>
      </c>
    </row>
    <row r="1344" spans="1:17" x14ac:dyDescent="0.25">
      <c r="A1344" s="8" t="s">
        <v>9876</v>
      </c>
      <c r="B1344" s="8" t="s">
        <v>9877</v>
      </c>
      <c r="C1344" s="9" t="s">
        <v>9878</v>
      </c>
      <c r="D1344" s="9" t="s">
        <v>3841</v>
      </c>
      <c r="E1344" s="9" t="s">
        <v>9879</v>
      </c>
      <c r="F1344" s="10">
        <v>1.378</v>
      </c>
      <c r="G1344" s="10">
        <v>1.515</v>
      </c>
      <c r="H1344" s="10"/>
      <c r="I1344" s="9" t="s">
        <v>74</v>
      </c>
      <c r="J1344" s="9" t="s">
        <v>9880</v>
      </c>
      <c r="K1344" s="9" t="s">
        <v>9881</v>
      </c>
      <c r="L1344" s="8" t="s">
        <v>9882</v>
      </c>
      <c r="M1344" s="9" t="s">
        <v>36</v>
      </c>
      <c r="N1344" s="9" t="s">
        <v>1130</v>
      </c>
      <c r="O1344" s="9">
        <f>HYPERLINK("https://www.google.com/maps/search/?api=1&amp;query=41.85387235,-1.92631034", "https://www.google.com/maps/search/?api=1&amp;query=41.85387235,-1.92631034")</f>
      </c>
      <c r="P1344" s="9" t="s">
        <v>1203</v>
      </c>
      <c r="Q1344" s="9" t="s">
        <v>102</v>
      </c>
    </row>
    <row r="1345" spans="1:17" x14ac:dyDescent="0.25">
      <c r="A1345" s="8" t="s">
        <v>9883</v>
      </c>
      <c r="B1345" s="8" t="s">
        <v>9884</v>
      </c>
      <c r="C1345" s="9" t="s">
        <v>9885</v>
      </c>
      <c r="D1345" s="9" t="s">
        <v>217</v>
      </c>
      <c r="E1345" s="9" t="s">
        <v>9886</v>
      </c>
      <c r="F1345" s="10">
        <v>1.378</v>
      </c>
      <c r="G1345" s="10">
        <v>1.515</v>
      </c>
      <c r="H1345" s="10"/>
      <c r="I1345" s="9" t="s">
        <v>45</v>
      </c>
      <c r="J1345" s="9" t="s">
        <v>9887</v>
      </c>
      <c r="K1345" s="9" t="s">
        <v>9888</v>
      </c>
      <c r="L1345" s="8" t="s">
        <v>9889</v>
      </c>
      <c r="M1345" s="9" t="s">
        <v>49</v>
      </c>
      <c r="N1345" s="9" t="s">
        <v>37</v>
      </c>
      <c r="O1345" s="9">
        <f>HYPERLINK("https://www.google.com/maps/search/?api=1&amp;query=37.02252331,-4.39135067", "https://www.google.com/maps/search/?api=1&amp;query=37.02252331,-4.39135067")</f>
      </c>
      <c r="P1345" s="9" t="s">
        <v>182</v>
      </c>
      <c r="Q1345" s="9" t="s">
        <v>9890</v>
      </c>
    </row>
    <row r="1346" spans="1:17" x14ac:dyDescent="0.25">
      <c r="A1346" s="8" t="s">
        <v>9891</v>
      </c>
      <c r="B1346" s="8" t="s">
        <v>9892</v>
      </c>
      <c r="C1346" s="9" t="s">
        <v>9893</v>
      </c>
      <c r="D1346" s="9" t="s">
        <v>106</v>
      </c>
      <c r="E1346" s="9" t="s">
        <v>9894</v>
      </c>
      <c r="F1346" s="10">
        <v>1.378</v>
      </c>
      <c r="G1346" s="10">
        <v>1.515</v>
      </c>
      <c r="H1346" s="10"/>
      <c r="I1346" s="9" t="s">
        <v>106</v>
      </c>
      <c r="J1346" s="9" t="s">
        <v>9895</v>
      </c>
      <c r="K1346" s="9" t="s">
        <v>9896</v>
      </c>
      <c r="L1346" s="8" t="s">
        <v>9897</v>
      </c>
      <c r="M1346" s="9" t="s">
        <v>36</v>
      </c>
      <c r="N1346" s="9" t="s">
        <v>9898</v>
      </c>
      <c r="O1346" s="9">
        <f>HYPERLINK("https://www.google.com/maps/search/?api=1&amp;query=38.50573375,-1.31829689", "https://www.google.com/maps/search/?api=1&amp;query=38.50573375,-1.31829689")</f>
      </c>
      <c r="P1346" s="9" t="s">
        <v>4917</v>
      </c>
      <c r="Q1346" s="9" t="s">
        <v>9899</v>
      </c>
    </row>
    <row r="1347" spans="1:17" x14ac:dyDescent="0.25">
      <c r="A1347" s="8" t="s">
        <v>9900</v>
      </c>
      <c r="B1347" s="8" t="s">
        <v>9901</v>
      </c>
      <c r="C1347" s="9" t="s">
        <v>9902</v>
      </c>
      <c r="D1347" s="9" t="s">
        <v>1560</v>
      </c>
      <c r="E1347" s="9" t="s">
        <v>9903</v>
      </c>
      <c r="F1347" s="10">
        <v>1.378</v>
      </c>
      <c r="G1347" s="10">
        <v>1.515</v>
      </c>
      <c r="H1347" s="10"/>
      <c r="I1347" s="9" t="s">
        <v>400</v>
      </c>
      <c r="J1347" s="9" t="s">
        <v>9904</v>
      </c>
      <c r="K1347" s="9" t="s">
        <v>9905</v>
      </c>
      <c r="L1347" s="8" t="s">
        <v>9906</v>
      </c>
      <c r="M1347" s="9" t="s">
        <v>49</v>
      </c>
      <c r="N1347" s="9" t="s">
        <v>88</v>
      </c>
      <c r="O1347" s="9">
        <f>HYPERLINK("https://www.google.com/maps/search/?api=1&amp;query=39.898141,-0.1240572", "https://www.google.com/maps/search/?api=1&amp;query=39.898141,-0.1240572")</f>
      </c>
      <c r="P1347" s="9" t="s">
        <v>9907</v>
      </c>
      <c r="Q1347" s="9" t="s">
        <v>9908</v>
      </c>
    </row>
    <row r="1348" spans="1:17" x14ac:dyDescent="0.25">
      <c r="A1348" s="8" t="s">
        <v>9909</v>
      </c>
      <c r="B1348" s="8" t="s">
        <v>9910</v>
      </c>
      <c r="C1348" s="9" t="s">
        <v>9911</v>
      </c>
      <c r="D1348" s="9" t="s">
        <v>424</v>
      </c>
      <c r="E1348" s="9" t="s">
        <v>9912</v>
      </c>
      <c r="F1348" s="10">
        <v>1.378</v>
      </c>
      <c r="G1348" s="10">
        <v>1.515</v>
      </c>
      <c r="H1348" s="10"/>
      <c r="I1348" s="9" t="s">
        <v>96</v>
      </c>
      <c r="J1348" s="9" t="s">
        <v>9913</v>
      </c>
      <c r="K1348" s="9" t="s">
        <v>9914</v>
      </c>
      <c r="L1348" s="8" t="s">
        <v>9915</v>
      </c>
      <c r="M1348" s="9" t="s">
        <v>49</v>
      </c>
      <c r="N1348" s="9" t="s">
        <v>88</v>
      </c>
      <c r="O1348" s="9">
        <f>HYPERLINK("https://www.google.com/maps/search/?api=1&amp;query=41.6491944,0.6863055", "https://www.google.com/maps/search/?api=1&amp;query=41.6491944,0.6863055")</f>
      </c>
      <c r="P1348" s="9" t="s">
        <v>965</v>
      </c>
      <c r="Q1348" s="9" t="s">
        <v>9916</v>
      </c>
    </row>
    <row r="1349" spans="1:17" x14ac:dyDescent="0.25">
      <c r="A1349" s="8" t="s">
        <v>9917</v>
      </c>
      <c r="B1349" s="8" t="s">
        <v>9918</v>
      </c>
      <c r="C1349" s="9" t="s">
        <v>8434</v>
      </c>
      <c r="D1349" s="9" t="s">
        <v>631</v>
      </c>
      <c r="E1349" s="9" t="s">
        <v>9919</v>
      </c>
      <c r="F1349" s="10">
        <v>1.378</v>
      </c>
      <c r="G1349" s="10">
        <v>1.515</v>
      </c>
      <c r="H1349" s="10"/>
      <c r="I1349" s="9" t="s">
        <v>45</v>
      </c>
      <c r="J1349" s="9" t="s">
        <v>9920</v>
      </c>
      <c r="K1349" s="9" t="s">
        <v>9921</v>
      </c>
      <c r="L1349" s="8" t="s">
        <v>9922</v>
      </c>
      <c r="M1349" s="9" t="s">
        <v>36</v>
      </c>
      <c r="N1349" s="9" t="s">
        <v>9923</v>
      </c>
      <c r="O1349" s="9">
        <f>HYPERLINK("https://www.google.com/maps/search/?api=1&amp;query=37.67849885,-4.92812789", "https://www.google.com/maps/search/?api=1&amp;query=37.67849885,-4.92812789")</f>
      </c>
      <c r="P1349" s="9" t="s">
        <v>5365</v>
      </c>
      <c r="Q1349" s="9" t="s">
        <v>9924</v>
      </c>
    </row>
    <row r="1350" spans="1:17" x14ac:dyDescent="0.25">
      <c r="A1350" s="8" t="s">
        <v>9925</v>
      </c>
      <c r="B1350" s="8" t="s">
        <v>9926</v>
      </c>
      <c r="C1350" s="9" t="s">
        <v>9927</v>
      </c>
      <c r="D1350" s="9" t="s">
        <v>197</v>
      </c>
      <c r="E1350" s="9" t="s">
        <v>9928</v>
      </c>
      <c r="F1350" s="10">
        <v>1.378</v>
      </c>
      <c r="G1350" s="10">
        <v>1.515</v>
      </c>
      <c r="H1350" s="10"/>
      <c r="I1350" s="9" t="s">
        <v>168</v>
      </c>
      <c r="J1350" s="9" t="s">
        <v>9929</v>
      </c>
      <c r="K1350" s="9" t="s">
        <v>9930</v>
      </c>
      <c r="L1350" s="8" t="s">
        <v>9931</v>
      </c>
      <c r="M1350" s="9" t="s">
        <v>36</v>
      </c>
      <c r="N1350" s="9" t="s">
        <v>88</v>
      </c>
      <c r="O1350" s="9">
        <f>HYPERLINK("https://www.google.com/maps/search/?api=1&amp;query=39.86889021,-3.4770895", "https://www.google.com/maps/search/?api=1&amp;query=39.86889021,-3.4770895")</f>
      </c>
      <c r="P1350" s="9" t="s">
        <v>38</v>
      </c>
      <c r="Q1350" s="9" t="s">
        <v>7556</v>
      </c>
    </row>
    <row r="1351" spans="1:17" x14ac:dyDescent="0.25">
      <c r="A1351" s="8" t="s">
        <v>9932</v>
      </c>
      <c r="B1351" s="8" t="s">
        <v>9933</v>
      </c>
      <c r="C1351" s="9" t="s">
        <v>9934</v>
      </c>
      <c r="D1351" s="9" t="s">
        <v>280</v>
      </c>
      <c r="E1351" s="9" t="s">
        <v>685</v>
      </c>
      <c r="F1351" s="10">
        <v>1.378</v>
      </c>
      <c r="G1351" s="10">
        <v>1.515</v>
      </c>
      <c r="H1351" s="10"/>
      <c r="I1351" s="9" t="s">
        <v>118</v>
      </c>
      <c r="J1351" s="9" t="s">
        <v>9935</v>
      </c>
      <c r="K1351" s="9" t="s">
        <v>9936</v>
      </c>
      <c r="L1351" s="8" t="s">
        <v>1597</v>
      </c>
      <c r="M1351" s="9" t="s">
        <v>49</v>
      </c>
      <c r="N1351" s="9" t="s">
        <v>37</v>
      </c>
      <c r="O1351" s="9">
        <f>HYPERLINK("https://www.google.com/maps/search/?api=1&amp;query=43.34119337,-1.75427953", "https://www.google.com/maps/search/?api=1&amp;query=43.34119337,-1.75427953")</f>
      </c>
      <c r="P1351" s="9" t="s">
        <v>9937</v>
      </c>
      <c r="Q1351" s="9" t="s">
        <v>9938</v>
      </c>
    </row>
    <row r="1352" spans="1:17" x14ac:dyDescent="0.25">
      <c r="A1352" s="8" t="s">
        <v>9939</v>
      </c>
      <c r="B1352" s="8" t="s">
        <v>9940</v>
      </c>
      <c r="C1352" s="9" t="s">
        <v>9941</v>
      </c>
      <c r="D1352" s="9" t="s">
        <v>1560</v>
      </c>
      <c r="E1352" s="9" t="s">
        <v>9942</v>
      </c>
      <c r="F1352" s="10">
        <v>1.378</v>
      </c>
      <c r="G1352" s="10">
        <v>1.515</v>
      </c>
      <c r="H1352" s="10"/>
      <c r="I1352" s="9" t="s">
        <v>400</v>
      </c>
      <c r="J1352" s="9" t="s">
        <v>9943</v>
      </c>
      <c r="K1352" s="9" t="s">
        <v>9944</v>
      </c>
      <c r="L1352" s="8" t="s">
        <v>9945</v>
      </c>
      <c r="M1352" s="9" t="s">
        <v>49</v>
      </c>
      <c r="N1352" s="9" t="s">
        <v>88</v>
      </c>
      <c r="O1352" s="9">
        <f>HYPERLINK("https://www.google.com/maps/search/?api=1&amp;query=39.95206405,-0.18618283", "https://www.google.com/maps/search/?api=1&amp;query=39.95206405,-0.18618283")</f>
      </c>
      <c r="P1352" s="9" t="s">
        <v>8735</v>
      </c>
      <c r="Q1352" s="9" t="s">
        <v>102</v>
      </c>
    </row>
    <row r="1353" spans="1:17" x14ac:dyDescent="0.25">
      <c r="A1353" s="8" t="s">
        <v>9946</v>
      </c>
      <c r="B1353" s="8" t="s">
        <v>9947</v>
      </c>
      <c r="C1353" s="9" t="s">
        <v>9948</v>
      </c>
      <c r="D1353" s="9" t="s">
        <v>1282</v>
      </c>
      <c r="E1353" s="9" t="s">
        <v>9949</v>
      </c>
      <c r="F1353" s="10">
        <v>1.378</v>
      </c>
      <c r="G1353" s="10">
        <v>1.515</v>
      </c>
      <c r="H1353" s="10"/>
      <c r="I1353" s="9" t="s">
        <v>45</v>
      </c>
      <c r="J1353" s="9" t="s">
        <v>9950</v>
      </c>
      <c r="K1353" s="9" t="s">
        <v>9951</v>
      </c>
      <c r="L1353" s="8" t="s">
        <v>9952</v>
      </c>
      <c r="M1353" s="9" t="s">
        <v>49</v>
      </c>
      <c r="N1353" s="9" t="s">
        <v>1719</v>
      </c>
      <c r="O1353" s="9">
        <f>HYPERLINK("https://www.google.com/maps/search/?api=1&amp;query=37.81755352,-2.75640567", "https://www.google.com/maps/search/?api=1&amp;query=37.81755352,-2.75640567")</f>
      </c>
      <c r="P1353" s="9" t="s">
        <v>2786</v>
      </c>
      <c r="Q1353" s="9" t="s">
        <v>9953</v>
      </c>
    </row>
    <row r="1354" spans="1:17" x14ac:dyDescent="0.25">
      <c r="A1354" s="8" t="s">
        <v>9954</v>
      </c>
      <c r="B1354" s="8" t="s">
        <v>9955</v>
      </c>
      <c r="C1354" s="9" t="s">
        <v>9956</v>
      </c>
      <c r="D1354" s="9" t="s">
        <v>892</v>
      </c>
      <c r="E1354" s="9" t="s">
        <v>9957</v>
      </c>
      <c r="F1354" s="10">
        <v>1.378</v>
      </c>
      <c r="G1354" s="10">
        <v>1.515</v>
      </c>
      <c r="H1354" s="10"/>
      <c r="I1354" s="9" t="s">
        <v>32</v>
      </c>
      <c r="J1354" s="9" t="s">
        <v>9958</v>
      </c>
      <c r="K1354" s="9" t="s">
        <v>9959</v>
      </c>
      <c r="L1354" s="8" t="s">
        <v>9960</v>
      </c>
      <c r="M1354" s="9" t="s">
        <v>49</v>
      </c>
      <c r="N1354" s="9" t="s">
        <v>645</v>
      </c>
      <c r="O1354" s="9">
        <f>HYPERLINK("https://www.google.com/maps/search/?api=1&amp;query=39.26016471,-6.10524344", "https://www.google.com/maps/search/?api=1&amp;query=39.26016471,-6.10524344")</f>
      </c>
      <c r="P1354" s="9" t="s">
        <v>6210</v>
      </c>
      <c r="Q1354" s="9" t="s">
        <v>9961</v>
      </c>
    </row>
    <row r="1355" spans="1:17" x14ac:dyDescent="0.25">
      <c r="A1355" s="8" t="s">
        <v>9962</v>
      </c>
      <c r="B1355" s="8" t="s">
        <v>9963</v>
      </c>
      <c r="C1355" s="9" t="s">
        <v>9964</v>
      </c>
      <c r="D1355" s="9" t="s">
        <v>253</v>
      </c>
      <c r="E1355" s="9" t="s">
        <v>9965</v>
      </c>
      <c r="F1355" s="10">
        <v>1.378</v>
      </c>
      <c r="G1355" s="10">
        <v>1.515</v>
      </c>
      <c r="H1355" s="10"/>
      <c r="I1355" s="9" t="s">
        <v>96</v>
      </c>
      <c r="J1355" s="9" t="s">
        <v>9966</v>
      </c>
      <c r="K1355" s="9" t="s">
        <v>9967</v>
      </c>
      <c r="L1355" s="8" t="s">
        <v>9968</v>
      </c>
      <c r="M1355" s="9" t="s">
        <v>49</v>
      </c>
      <c r="N1355" s="9" t="s">
        <v>7375</v>
      </c>
      <c r="O1355" s="9">
        <f>HYPERLINK("https://www.google.com/maps/search/?api=1&amp;query=40.58780763,0.44273696", "https://www.google.com/maps/search/?api=1&amp;query=40.58780763,0.44273696")</f>
      </c>
      <c r="P1355" s="9" t="s">
        <v>1203</v>
      </c>
      <c r="Q1355" s="9" t="s">
        <v>9969</v>
      </c>
    </row>
    <row r="1356" spans="1:17" x14ac:dyDescent="0.25">
      <c r="A1356" s="8" t="s">
        <v>9970</v>
      </c>
      <c r="B1356" s="8" t="s">
        <v>9971</v>
      </c>
      <c r="C1356" s="9" t="s">
        <v>9972</v>
      </c>
      <c r="D1356" s="9" t="s">
        <v>106</v>
      </c>
      <c r="E1356" s="9" t="s">
        <v>4840</v>
      </c>
      <c r="F1356" s="10">
        <v>1.378</v>
      </c>
      <c r="G1356" s="10">
        <v>1.515</v>
      </c>
      <c r="H1356" s="10"/>
      <c r="I1356" s="9" t="s">
        <v>106</v>
      </c>
      <c r="J1356" s="9" t="s">
        <v>9973</v>
      </c>
      <c r="K1356" s="9" t="s">
        <v>9974</v>
      </c>
      <c r="L1356" s="8" t="s">
        <v>4843</v>
      </c>
      <c r="M1356" s="9" t="s">
        <v>49</v>
      </c>
      <c r="N1356" s="9" t="s">
        <v>9975</v>
      </c>
      <c r="O1356" s="9">
        <f>HYPERLINK("https://www.google.com/maps/search/?api=1&amp;query=37.64336731,-1.68261477", "https://www.google.com/maps/search/?api=1&amp;query=37.64336731,-1.68261477")</f>
      </c>
      <c r="P1356" s="9" t="s">
        <v>3656</v>
      </c>
      <c r="Q1356" s="9" t="s">
        <v>9976</v>
      </c>
    </row>
    <row r="1357" spans="1:17" x14ac:dyDescent="0.25">
      <c r="A1357" s="8" t="s">
        <v>9977</v>
      </c>
      <c r="B1357" s="8" t="s">
        <v>9978</v>
      </c>
      <c r="C1357" s="9" t="s">
        <v>7621</v>
      </c>
      <c r="D1357" s="9" t="s">
        <v>398</v>
      </c>
      <c r="E1357" s="9" t="s">
        <v>9979</v>
      </c>
      <c r="F1357" s="10">
        <v>1.378</v>
      </c>
      <c r="G1357" s="10">
        <v>1.515</v>
      </c>
      <c r="H1357" s="10"/>
      <c r="I1357" s="9" t="s">
        <v>400</v>
      </c>
      <c r="J1357" s="9" t="s">
        <v>9980</v>
      </c>
      <c r="K1357" s="9" t="s">
        <v>9981</v>
      </c>
      <c r="L1357" s="8" t="s">
        <v>9982</v>
      </c>
      <c r="M1357" s="9" t="s">
        <v>100</v>
      </c>
      <c r="N1357" s="9" t="s">
        <v>9983</v>
      </c>
      <c r="O1357" s="9">
        <f>HYPERLINK("https://www.google.com/maps/search/?api=1&amp;query=38.14317061,-0.92759025", "https://www.google.com/maps/search/?api=1&amp;query=38.14317061,-0.92759025")</f>
      </c>
      <c r="P1357" s="9" t="s">
        <v>3530</v>
      </c>
      <c r="Q1357" s="9" t="s">
        <v>3073</v>
      </c>
    </row>
    <row r="1358" spans="1:17" x14ac:dyDescent="0.25">
      <c r="A1358" s="8" t="s">
        <v>9984</v>
      </c>
      <c r="B1358" s="8" t="s">
        <v>9985</v>
      </c>
      <c r="C1358" s="9" t="s">
        <v>9986</v>
      </c>
      <c r="D1358" s="9" t="s">
        <v>488</v>
      </c>
      <c r="E1358" s="9" t="s">
        <v>9987</v>
      </c>
      <c r="F1358" s="10">
        <v>1.378</v>
      </c>
      <c r="G1358" s="10">
        <v>1.515</v>
      </c>
      <c r="H1358" s="10"/>
      <c r="I1358" s="9" t="s">
        <v>45</v>
      </c>
      <c r="J1358" s="9" t="s">
        <v>9988</v>
      </c>
      <c r="K1358" s="9" t="s">
        <v>9989</v>
      </c>
      <c r="L1358" s="8" t="s">
        <v>9990</v>
      </c>
      <c r="M1358" s="9" t="s">
        <v>49</v>
      </c>
      <c r="N1358" s="9" t="s">
        <v>9991</v>
      </c>
      <c r="O1358" s="9">
        <f>HYPERLINK("https://www.google.com/maps/search/?api=1&amp;query=38.18372295,-3.32186112", "https://www.google.com/maps/search/?api=1&amp;query=38.18372295,-3.32186112")</f>
      </c>
      <c r="P1358" s="9" t="s">
        <v>493</v>
      </c>
      <c r="Q1358" s="9" t="s">
        <v>9992</v>
      </c>
    </row>
    <row r="1359" spans="1:17" x14ac:dyDescent="0.25">
      <c r="A1359" s="8" t="s">
        <v>9993</v>
      </c>
      <c r="B1359" s="8" t="s">
        <v>9994</v>
      </c>
      <c r="C1359" s="9" t="s">
        <v>9995</v>
      </c>
      <c r="D1359" s="9" t="s">
        <v>400</v>
      </c>
      <c r="E1359" s="9" t="s">
        <v>3857</v>
      </c>
      <c r="F1359" s="10">
        <v>1.378</v>
      </c>
      <c r="G1359" s="10">
        <v>1.515</v>
      </c>
      <c r="H1359" s="10"/>
      <c r="I1359" s="9" t="s">
        <v>400</v>
      </c>
      <c r="J1359" s="9" t="s">
        <v>9996</v>
      </c>
      <c r="K1359" s="9" t="s">
        <v>9997</v>
      </c>
      <c r="L1359" s="8" t="s">
        <v>3860</v>
      </c>
      <c r="M1359" s="9" t="s">
        <v>36</v>
      </c>
      <c r="N1359" s="9" t="s">
        <v>88</v>
      </c>
      <c r="O1359" s="9">
        <f>HYPERLINK("https://www.google.com/maps/search/?api=1&amp;query=39.44497727,-0.75520427", "https://www.google.com/maps/search/?api=1&amp;query=39.44497727,-0.75520427")</f>
      </c>
      <c r="P1359" s="9" t="s">
        <v>1148</v>
      </c>
      <c r="Q1359" s="9" t="s">
        <v>394</v>
      </c>
    </row>
    <row r="1360" spans="1:17" x14ac:dyDescent="0.25">
      <c r="A1360" s="8" t="s">
        <v>9998</v>
      </c>
      <c r="B1360" s="8" t="s">
        <v>9999</v>
      </c>
      <c r="C1360" s="9" t="s">
        <v>10000</v>
      </c>
      <c r="D1360" s="9" t="s">
        <v>1617</v>
      </c>
      <c r="E1360" s="9" t="s">
        <v>9764</v>
      </c>
      <c r="F1360" s="10">
        <v>1.378</v>
      </c>
      <c r="G1360" s="10">
        <v>1.515</v>
      </c>
      <c r="H1360" s="10"/>
      <c r="I1360" s="9" t="s">
        <v>292</v>
      </c>
      <c r="J1360" s="9" t="s">
        <v>10001</v>
      </c>
      <c r="K1360" s="9" t="s">
        <v>10002</v>
      </c>
      <c r="L1360" s="8" t="s">
        <v>9767</v>
      </c>
      <c r="M1360" s="9" t="s">
        <v>36</v>
      </c>
      <c r="N1360" s="9" t="s">
        <v>10003</v>
      </c>
      <c r="O1360" s="9">
        <f>HYPERLINK("https://www.google.com/maps/search/?api=1&amp;query=41.9009501,0.20597655", "https://www.google.com/maps/search/?api=1&amp;query=41.9009501,0.20597655")</f>
      </c>
      <c r="P1360" s="9" t="s">
        <v>992</v>
      </c>
      <c r="Q1360" s="9" t="s">
        <v>8959</v>
      </c>
    </row>
    <row r="1361" spans="1:17" x14ac:dyDescent="0.25">
      <c r="A1361" s="8" t="s">
        <v>10004</v>
      </c>
      <c r="B1361" s="8" t="s">
        <v>10005</v>
      </c>
      <c r="C1361" s="9" t="s">
        <v>10006</v>
      </c>
      <c r="D1361" s="9" t="s">
        <v>488</v>
      </c>
      <c r="E1361" s="9" t="s">
        <v>10007</v>
      </c>
      <c r="F1361" s="10">
        <v>1.378</v>
      </c>
      <c r="G1361" s="10">
        <v>1.515</v>
      </c>
      <c r="H1361" s="10"/>
      <c r="I1361" s="9" t="s">
        <v>45</v>
      </c>
      <c r="J1361" s="9" t="s">
        <v>10008</v>
      </c>
      <c r="K1361" s="9" t="s">
        <v>10009</v>
      </c>
      <c r="L1361" s="8" t="s">
        <v>10010</v>
      </c>
      <c r="M1361" s="9" t="s">
        <v>49</v>
      </c>
      <c r="N1361" s="9" t="s">
        <v>770</v>
      </c>
      <c r="O1361" s="9">
        <f>HYPERLINK("https://www.google.com/maps/search/?api=1&amp;query=37.91576303,-3.13186876", "https://www.google.com/maps/search/?api=1&amp;query=37.91576303,-3.13186876")</f>
      </c>
      <c r="P1361" s="9" t="s">
        <v>172</v>
      </c>
      <c r="Q1361" s="9" t="s">
        <v>10011</v>
      </c>
    </row>
    <row r="1362" spans="1:17" x14ac:dyDescent="0.25">
      <c r="A1362" s="8" t="s">
        <v>10012</v>
      </c>
      <c r="B1362" s="8" t="s">
        <v>10013</v>
      </c>
      <c r="C1362" s="9" t="s">
        <v>10014</v>
      </c>
      <c r="D1362" s="9" t="s">
        <v>197</v>
      </c>
      <c r="E1362" s="9" t="s">
        <v>8673</v>
      </c>
      <c r="F1362" s="10">
        <v>1.378</v>
      </c>
      <c r="G1362" s="10">
        <v>1.515</v>
      </c>
      <c r="H1362" s="10"/>
      <c r="I1362" s="9" t="s">
        <v>168</v>
      </c>
      <c r="J1362" s="9" t="s">
        <v>10015</v>
      </c>
      <c r="K1362" s="9" t="s">
        <v>10016</v>
      </c>
      <c r="L1362" s="8" t="s">
        <v>8676</v>
      </c>
      <c r="M1362" s="9" t="s">
        <v>49</v>
      </c>
      <c r="N1362" s="9" t="s">
        <v>211</v>
      </c>
      <c r="O1362" s="9">
        <f>HYPERLINK("https://www.google.com/maps/search/?api=1&amp;query=39.57295896,-3.51650691", "https://www.google.com/maps/search/?api=1&amp;query=39.57295896,-3.51650691")</f>
      </c>
      <c r="P1362" s="9" t="s">
        <v>38</v>
      </c>
      <c r="Q1362" s="9" t="s">
        <v>7556</v>
      </c>
    </row>
    <row r="1363" spans="1:17" x14ac:dyDescent="0.25">
      <c r="A1363" s="8" t="s">
        <v>10017</v>
      </c>
      <c r="B1363" s="8" t="s">
        <v>10018</v>
      </c>
      <c r="C1363" s="9" t="s">
        <v>10019</v>
      </c>
      <c r="D1363" s="9" t="s">
        <v>253</v>
      </c>
      <c r="E1363" s="9" t="s">
        <v>2097</v>
      </c>
      <c r="F1363" s="10">
        <v>1.378</v>
      </c>
      <c r="G1363" s="10">
        <v>1.515</v>
      </c>
      <c r="H1363" s="10"/>
      <c r="I1363" s="9" t="s">
        <v>96</v>
      </c>
      <c r="J1363" s="9" t="s">
        <v>10020</v>
      </c>
      <c r="K1363" s="9" t="s">
        <v>10021</v>
      </c>
      <c r="L1363" s="8" t="s">
        <v>2100</v>
      </c>
      <c r="M1363" s="9" t="s">
        <v>49</v>
      </c>
      <c r="N1363" s="9" t="s">
        <v>556</v>
      </c>
      <c r="O1363" s="9">
        <f>HYPERLINK("https://www.google.com/maps/search/?api=1&amp;query=41.27891008,1.24653323", "https://www.google.com/maps/search/?api=1&amp;query=41.27891008,1.24653323")</f>
      </c>
      <c r="P1363" s="9" t="s">
        <v>10022</v>
      </c>
      <c r="Q1363" s="9" t="s">
        <v>3459</v>
      </c>
    </row>
    <row r="1364" spans="1:17" x14ac:dyDescent="0.25">
      <c r="A1364" s="8" t="s">
        <v>10023</v>
      </c>
      <c r="B1364" s="8" t="s">
        <v>10024</v>
      </c>
      <c r="C1364" s="9" t="s">
        <v>10025</v>
      </c>
      <c r="D1364" s="9" t="s">
        <v>1282</v>
      </c>
      <c r="E1364" s="9" t="s">
        <v>10026</v>
      </c>
      <c r="F1364" s="10">
        <v>1.378</v>
      </c>
      <c r="G1364" s="10">
        <v>1.515</v>
      </c>
      <c r="H1364" s="10"/>
      <c r="I1364" s="9" t="s">
        <v>45</v>
      </c>
      <c r="J1364" s="9" t="s">
        <v>10027</v>
      </c>
      <c r="K1364" s="9" t="s">
        <v>10028</v>
      </c>
      <c r="L1364" s="8" t="s">
        <v>10029</v>
      </c>
      <c r="M1364" s="9" t="s">
        <v>36</v>
      </c>
      <c r="N1364" s="9" t="s">
        <v>7163</v>
      </c>
      <c r="O1364" s="9">
        <f>HYPERLINK("https://www.google.com/maps/search/?api=1&amp;query=37.95732484,-2.4344197", "https://www.google.com/maps/search/?api=1&amp;query=37.95732484,-2.4344197")</f>
      </c>
      <c r="P1364" s="9" t="s">
        <v>3165</v>
      </c>
      <c r="Q1364" s="9" t="s">
        <v>10030</v>
      </c>
    </row>
    <row r="1365" spans="1:17" x14ac:dyDescent="0.25">
      <c r="A1365" s="8" t="s">
        <v>10031</v>
      </c>
      <c r="B1365" s="8" t="s">
        <v>10032</v>
      </c>
      <c r="C1365" s="9" t="s">
        <v>10033</v>
      </c>
      <c r="D1365" s="9" t="s">
        <v>1560</v>
      </c>
      <c r="E1365" s="9" t="s">
        <v>10034</v>
      </c>
      <c r="F1365" s="10">
        <v>1.378</v>
      </c>
      <c r="G1365" s="10">
        <v>1.515</v>
      </c>
      <c r="H1365" s="10"/>
      <c r="I1365" s="9" t="s">
        <v>400</v>
      </c>
      <c r="J1365" s="9" t="s">
        <v>10035</v>
      </c>
      <c r="K1365" s="9" t="s">
        <v>10036</v>
      </c>
      <c r="L1365" s="8" t="s">
        <v>495</v>
      </c>
      <c r="M1365" s="9" t="s">
        <v>49</v>
      </c>
      <c r="N1365" s="9" t="s">
        <v>483</v>
      </c>
      <c r="O1365" s="9">
        <f>HYPERLINK("https://www.google.com/maps/search/?api=1&amp;query=39.84113775,-0.4755597", "https://www.google.com/maps/search/?api=1&amp;query=39.84113775,-0.4755597")</f>
      </c>
      <c r="P1365" s="9" t="s">
        <v>680</v>
      </c>
      <c r="Q1365" s="9" t="s">
        <v>10037</v>
      </c>
    </row>
    <row r="1366" spans="1:17" x14ac:dyDescent="0.25">
      <c r="A1366" s="8" t="s">
        <v>10038</v>
      </c>
      <c r="B1366" s="8" t="s">
        <v>10039</v>
      </c>
      <c r="C1366" s="9" t="s">
        <v>10040</v>
      </c>
      <c r="D1366" s="9" t="s">
        <v>400</v>
      </c>
      <c r="E1366" s="9" t="s">
        <v>10041</v>
      </c>
      <c r="F1366" s="10">
        <v>1.378</v>
      </c>
      <c r="G1366" s="10">
        <v>1.515</v>
      </c>
      <c r="H1366" s="10"/>
      <c r="I1366" s="9" t="s">
        <v>400</v>
      </c>
      <c r="J1366" s="9" t="s">
        <v>10042</v>
      </c>
      <c r="K1366" s="9" t="s">
        <v>10043</v>
      </c>
      <c r="L1366" s="8" t="s">
        <v>10044</v>
      </c>
      <c r="M1366" s="9" t="s">
        <v>36</v>
      </c>
      <c r="N1366" s="9" t="s">
        <v>88</v>
      </c>
      <c r="O1366" s="9">
        <f>HYPERLINK("https://www.google.com/maps/search/?api=1&amp;query=39.36187466,-0.45634203", "https://www.google.com/maps/search/?api=1&amp;query=39.36187466,-0.45634203")</f>
      </c>
      <c r="P1366" s="9" t="s">
        <v>10045</v>
      </c>
      <c r="Q1366" s="9" t="s">
        <v>102</v>
      </c>
    </row>
    <row r="1367" spans="1:17" x14ac:dyDescent="0.25">
      <c r="A1367" s="8" t="s">
        <v>10046</v>
      </c>
      <c r="B1367" s="8" t="s">
        <v>10047</v>
      </c>
      <c r="C1367" s="9" t="s">
        <v>4056</v>
      </c>
      <c r="D1367" s="9" t="s">
        <v>1617</v>
      </c>
      <c r="E1367" s="9" t="s">
        <v>10048</v>
      </c>
      <c r="F1367" s="10">
        <v>1.378</v>
      </c>
      <c r="G1367" s="10">
        <v>1.515</v>
      </c>
      <c r="H1367" s="10"/>
      <c r="I1367" s="9" t="s">
        <v>292</v>
      </c>
      <c r="J1367" s="9" t="s">
        <v>10049</v>
      </c>
      <c r="K1367" s="9" t="s">
        <v>10050</v>
      </c>
      <c r="L1367" s="8" t="s">
        <v>10051</v>
      </c>
      <c r="M1367" s="9" t="s">
        <v>49</v>
      </c>
      <c r="N1367" s="9" t="s">
        <v>37</v>
      </c>
      <c r="O1367" s="9">
        <f>HYPERLINK("https://www.google.com/maps/search/?api=1&amp;query=41.72184014,0.14662795", "https://www.google.com/maps/search/?api=1&amp;query=41.72184014,0.14662795")</f>
      </c>
      <c r="P1367" s="9" t="s">
        <v>1423</v>
      </c>
      <c r="Q1367" s="9" t="s">
        <v>1131</v>
      </c>
    </row>
    <row r="1368" spans="1:17" x14ac:dyDescent="0.25">
      <c r="A1368" s="8" t="s">
        <v>10052</v>
      </c>
      <c r="B1368" s="8" t="s">
        <v>10053</v>
      </c>
      <c r="C1368" s="9" t="s">
        <v>10054</v>
      </c>
      <c r="D1368" s="9" t="s">
        <v>61</v>
      </c>
      <c r="E1368" s="9" t="s">
        <v>10055</v>
      </c>
      <c r="F1368" s="10">
        <v>1.378</v>
      </c>
      <c r="G1368" s="10">
        <v>1.515</v>
      </c>
      <c r="H1368" s="10"/>
      <c r="I1368" s="9" t="s">
        <v>45</v>
      </c>
      <c r="J1368" s="9" t="s">
        <v>10056</v>
      </c>
      <c r="K1368" s="9" t="s">
        <v>10057</v>
      </c>
      <c r="L1368" s="8" t="s">
        <v>10058</v>
      </c>
      <c r="M1368" s="9" t="s">
        <v>49</v>
      </c>
      <c r="N1368" s="9" t="s">
        <v>1695</v>
      </c>
      <c r="O1368" s="9">
        <f>HYPERLINK("https://www.google.com/maps/search/?api=1&amp;query=37.12121946,-5.46682072", "https://www.google.com/maps/search/?api=1&amp;query=37.12121946,-5.46682072")</f>
      </c>
      <c r="P1368" s="9" t="s">
        <v>880</v>
      </c>
      <c r="Q1368" s="9" t="s">
        <v>6854</v>
      </c>
    </row>
    <row r="1369" spans="1:17" x14ac:dyDescent="0.25">
      <c r="A1369" s="8" t="s">
        <v>10059</v>
      </c>
      <c r="B1369" s="8" t="s">
        <v>10060</v>
      </c>
      <c r="C1369" s="9" t="s">
        <v>10061</v>
      </c>
      <c r="D1369" s="9" t="s">
        <v>83</v>
      </c>
      <c r="E1369" s="9" t="s">
        <v>3085</v>
      </c>
      <c r="F1369" s="10">
        <v>1.378</v>
      </c>
      <c r="G1369" s="10">
        <v>1.515</v>
      </c>
      <c r="H1369" s="10"/>
      <c r="I1369" s="9" t="s">
        <v>83</v>
      </c>
      <c r="J1369" s="9" t="s">
        <v>10062</v>
      </c>
      <c r="K1369" s="9" t="s">
        <v>10063</v>
      </c>
      <c r="L1369" s="8" t="s">
        <v>3088</v>
      </c>
      <c r="M1369" s="9" t="s">
        <v>49</v>
      </c>
      <c r="N1369" s="9" t="s">
        <v>873</v>
      </c>
      <c r="O1369" s="9">
        <f>HYPERLINK("https://www.google.com/maps/search/?api=1&amp;query=40.25076894,-3.7219923", "https://www.google.com/maps/search/?api=1&amp;query=40.25076894,-3.7219923")</f>
      </c>
      <c r="P1369" s="9" t="s">
        <v>38</v>
      </c>
      <c r="Q1369" s="9" t="s">
        <v>10064</v>
      </c>
    </row>
    <row r="1370" spans="1:17" x14ac:dyDescent="0.25">
      <c r="A1370" s="8" t="s">
        <v>10065</v>
      </c>
      <c r="B1370" s="8" t="s">
        <v>10066</v>
      </c>
      <c r="C1370" s="9" t="s">
        <v>10067</v>
      </c>
      <c r="D1370" s="9" t="s">
        <v>106</v>
      </c>
      <c r="E1370" s="9" t="s">
        <v>10068</v>
      </c>
      <c r="F1370" s="10">
        <v>1.378</v>
      </c>
      <c r="G1370" s="10">
        <v>1.515</v>
      </c>
      <c r="H1370" s="10"/>
      <c r="I1370" s="9" t="s">
        <v>106</v>
      </c>
      <c r="J1370" s="9" t="s">
        <v>10069</v>
      </c>
      <c r="K1370" s="9" t="s">
        <v>10070</v>
      </c>
      <c r="L1370" s="8" t="s">
        <v>8281</v>
      </c>
      <c r="M1370" s="9" t="s">
        <v>36</v>
      </c>
      <c r="N1370" s="9" t="s">
        <v>88</v>
      </c>
      <c r="O1370" s="9">
        <f>HYPERLINK("https://www.google.com/maps/search/?api=1&amp;query=37.63932123,-0.98824651", "https://www.google.com/maps/search/?api=1&amp;query=37.63932123,-0.98824651")</f>
      </c>
      <c r="P1370" s="9" t="s">
        <v>780</v>
      </c>
      <c r="Q1370" s="9" t="s">
        <v>1242</v>
      </c>
    </row>
    <row r="1371" spans="1:17" x14ac:dyDescent="0.25">
      <c r="A1371" s="8" t="s">
        <v>10071</v>
      </c>
      <c r="B1371" s="8" t="s">
        <v>10072</v>
      </c>
      <c r="C1371" s="9" t="s">
        <v>10073</v>
      </c>
      <c r="D1371" s="9" t="s">
        <v>1282</v>
      </c>
      <c r="E1371" s="9" t="s">
        <v>10074</v>
      </c>
      <c r="F1371" s="10">
        <v>1.378</v>
      </c>
      <c r="G1371" s="10">
        <v>1.515</v>
      </c>
      <c r="H1371" s="10"/>
      <c r="I1371" s="9" t="s">
        <v>45</v>
      </c>
      <c r="J1371" s="9" t="s">
        <v>10075</v>
      </c>
      <c r="K1371" s="9" t="s">
        <v>10076</v>
      </c>
      <c r="L1371" s="8" t="s">
        <v>10077</v>
      </c>
      <c r="M1371" s="9" t="s">
        <v>49</v>
      </c>
      <c r="N1371" s="9" t="s">
        <v>88</v>
      </c>
      <c r="O1371" s="9">
        <f>HYPERLINK("https://www.google.com/maps/search/?api=1&amp;query=37.33299912,-3.83219658", "https://www.google.com/maps/search/?api=1&amp;query=37.33299912,-3.83219658")</f>
      </c>
      <c r="P1371" s="9" t="s">
        <v>493</v>
      </c>
      <c r="Q1371" s="9" t="s">
        <v>2466</v>
      </c>
    </row>
    <row r="1372" spans="1:17" x14ac:dyDescent="0.25">
      <c r="A1372" s="8" t="s">
        <v>10078</v>
      </c>
      <c r="B1372" s="8" t="s">
        <v>10079</v>
      </c>
      <c r="C1372" s="9" t="s">
        <v>10080</v>
      </c>
      <c r="D1372" s="9" t="s">
        <v>1192</v>
      </c>
      <c r="E1372" s="9" t="s">
        <v>10081</v>
      </c>
      <c r="F1372" s="10">
        <v>1.378</v>
      </c>
      <c r="G1372" s="10">
        <v>1.515</v>
      </c>
      <c r="H1372" s="10"/>
      <c r="I1372" s="9" t="s">
        <v>168</v>
      </c>
      <c r="J1372" s="9" t="s">
        <v>10082</v>
      </c>
      <c r="K1372" s="9" t="s">
        <v>10083</v>
      </c>
      <c r="L1372" s="8" t="s">
        <v>10084</v>
      </c>
      <c r="M1372" s="9" t="s">
        <v>36</v>
      </c>
      <c r="N1372" s="9" t="s">
        <v>122</v>
      </c>
      <c r="O1372" s="9">
        <f>HYPERLINK("https://www.google.com/maps/search/?api=1&amp;query=39.4067896,-2.95084605", "https://www.google.com/maps/search/?api=1&amp;query=39.4067896,-2.95084605")</f>
      </c>
      <c r="P1372" s="9" t="s">
        <v>7335</v>
      </c>
      <c r="Q1372" s="9" t="s">
        <v>9899</v>
      </c>
    </row>
    <row r="1373" spans="1:17" x14ac:dyDescent="0.25">
      <c r="A1373" s="8" t="s">
        <v>10085</v>
      </c>
      <c r="B1373" s="8" t="s">
        <v>10086</v>
      </c>
      <c r="C1373" s="9" t="s">
        <v>10087</v>
      </c>
      <c r="D1373" s="9" t="s">
        <v>400</v>
      </c>
      <c r="E1373" s="9" t="s">
        <v>1394</v>
      </c>
      <c r="F1373" s="10">
        <v>1.378</v>
      </c>
      <c r="G1373" s="10">
        <v>1.515</v>
      </c>
      <c r="H1373" s="10"/>
      <c r="I1373" s="9" t="s">
        <v>400</v>
      </c>
      <c r="J1373" s="9" t="s">
        <v>10088</v>
      </c>
      <c r="K1373" s="9" t="s">
        <v>10089</v>
      </c>
      <c r="L1373" s="8" t="s">
        <v>1397</v>
      </c>
      <c r="M1373" s="9" t="s">
        <v>49</v>
      </c>
      <c r="N1373" s="9" t="s">
        <v>37</v>
      </c>
      <c r="O1373" s="9">
        <f>HYPERLINK("https://www.google.com/maps/search/?api=1&amp;query=39.42103384,-0.50476223", "https://www.google.com/maps/search/?api=1&amp;query=39.42103384,-0.50476223")</f>
      </c>
      <c r="P1373" s="9" t="s">
        <v>10090</v>
      </c>
      <c r="Q1373" s="9" t="s">
        <v>10091</v>
      </c>
    </row>
    <row r="1374" spans="1:17" x14ac:dyDescent="0.25">
      <c r="A1374" s="8" t="s">
        <v>10092</v>
      </c>
      <c r="B1374" s="8" t="s">
        <v>10093</v>
      </c>
      <c r="C1374" s="9" t="s">
        <v>10094</v>
      </c>
      <c r="D1374" s="9" t="s">
        <v>469</v>
      </c>
      <c r="E1374" s="9" t="s">
        <v>469</v>
      </c>
      <c r="F1374" s="10">
        <v>1.378</v>
      </c>
      <c r="G1374" s="10">
        <v>1.515</v>
      </c>
      <c r="H1374" s="10"/>
      <c r="I1374" s="9" t="s">
        <v>74</v>
      </c>
      <c r="J1374" s="9" t="s">
        <v>10095</v>
      </c>
      <c r="K1374" s="9" t="s">
        <v>10096</v>
      </c>
      <c r="L1374" s="8" t="s">
        <v>1732</v>
      </c>
      <c r="M1374" s="9" t="s">
        <v>49</v>
      </c>
      <c r="N1374" s="9" t="s">
        <v>3234</v>
      </c>
      <c r="O1374" s="9">
        <f>HYPERLINK("https://www.google.com/maps/search/?api=1&amp;query=40.95510527,-5.69336393", "https://www.google.com/maps/search/?api=1&amp;query=40.95510527,-5.69336393")</f>
      </c>
      <c r="P1374" s="9" t="s">
        <v>880</v>
      </c>
      <c r="Q1374" s="9" t="s">
        <v>10097</v>
      </c>
    </row>
    <row r="1375" spans="1:17" x14ac:dyDescent="0.25">
      <c r="A1375" s="8" t="s">
        <v>10098</v>
      </c>
      <c r="B1375" s="8" t="s">
        <v>10099</v>
      </c>
      <c r="C1375" s="9" t="s">
        <v>10100</v>
      </c>
      <c r="D1375" s="9" t="s">
        <v>344</v>
      </c>
      <c r="E1375" s="9" t="s">
        <v>10101</v>
      </c>
      <c r="F1375" s="10">
        <v>1.378</v>
      </c>
      <c r="G1375" s="10">
        <v>1.515</v>
      </c>
      <c r="H1375" s="10"/>
      <c r="I1375" s="9" t="s">
        <v>140</v>
      </c>
      <c r="J1375" s="9" t="s">
        <v>10102</v>
      </c>
      <c r="K1375" s="9" t="s">
        <v>10103</v>
      </c>
      <c r="L1375" s="8" t="s">
        <v>10104</v>
      </c>
      <c r="M1375" s="9" t="s">
        <v>49</v>
      </c>
      <c r="N1375" s="9" t="s">
        <v>37</v>
      </c>
      <c r="O1375" s="9">
        <f>HYPERLINK("https://www.google.com/maps/search/?api=1&amp;query=43.19317177,-8.72864067", "https://www.google.com/maps/search/?api=1&amp;query=43.19317177,-8.72864067")</f>
      </c>
      <c r="P1375" s="9" t="s">
        <v>384</v>
      </c>
      <c r="Q1375" s="9" t="s">
        <v>112</v>
      </c>
    </row>
    <row r="1376" spans="1:17" x14ac:dyDescent="0.25">
      <c r="A1376" s="8" t="s">
        <v>10105</v>
      </c>
      <c r="B1376" s="8" t="s">
        <v>10106</v>
      </c>
      <c r="C1376" s="9" t="s">
        <v>10107</v>
      </c>
      <c r="D1376" s="9" t="s">
        <v>94</v>
      </c>
      <c r="E1376" s="9" t="s">
        <v>10108</v>
      </c>
      <c r="F1376" s="10">
        <v>1.378</v>
      </c>
      <c r="G1376" s="10">
        <v>1.515</v>
      </c>
      <c r="H1376" s="10"/>
      <c r="I1376" s="9" t="s">
        <v>96</v>
      </c>
      <c r="J1376" s="9" t="s">
        <v>10109</v>
      </c>
      <c r="K1376" s="9" t="s">
        <v>10110</v>
      </c>
      <c r="L1376" s="8" t="s">
        <v>10111</v>
      </c>
      <c r="M1376" s="9" t="s">
        <v>36</v>
      </c>
      <c r="N1376" s="9" t="s">
        <v>88</v>
      </c>
      <c r="O1376" s="9">
        <f>HYPERLINK("https://www.google.com/maps/search/?api=1&amp;query=41.41388483,1.96291386", "https://www.google.com/maps/search/?api=1&amp;query=41.41388483,1.96291386")</f>
      </c>
      <c r="P1376" s="9" t="s">
        <v>705</v>
      </c>
      <c r="Q1376" s="9" t="s">
        <v>2159</v>
      </c>
    </row>
    <row r="1377" spans="1:17" x14ac:dyDescent="0.25">
      <c r="A1377" s="8" t="s">
        <v>10112</v>
      </c>
      <c r="B1377" s="8" t="s">
        <v>10113</v>
      </c>
      <c r="C1377" s="9" t="s">
        <v>10114</v>
      </c>
      <c r="D1377" s="9" t="s">
        <v>94</v>
      </c>
      <c r="E1377" s="9" t="s">
        <v>10115</v>
      </c>
      <c r="F1377" s="10">
        <v>1.378</v>
      </c>
      <c r="G1377" s="10">
        <v>1.515</v>
      </c>
      <c r="H1377" s="10"/>
      <c r="I1377" s="9" t="s">
        <v>96</v>
      </c>
      <c r="J1377" s="9" t="s">
        <v>10116</v>
      </c>
      <c r="K1377" s="9" t="s">
        <v>10117</v>
      </c>
      <c r="L1377" s="8" t="s">
        <v>10118</v>
      </c>
      <c r="M1377" s="9" t="s">
        <v>36</v>
      </c>
      <c r="N1377" s="9" t="s">
        <v>88</v>
      </c>
      <c r="O1377" s="9">
        <f>HYPERLINK("https://www.google.com/maps/search/?api=1&amp;query=41.82733417,1.75594393", "https://www.google.com/maps/search/?api=1&amp;query=41.82733417,1.75594393")</f>
      </c>
      <c r="P1377" s="9" t="s">
        <v>880</v>
      </c>
      <c r="Q1377" s="9" t="s">
        <v>10119</v>
      </c>
    </row>
    <row r="1378" spans="1:17" x14ac:dyDescent="0.25">
      <c r="A1378" s="8" t="s">
        <v>10120</v>
      </c>
      <c r="B1378" s="8" t="s">
        <v>10121</v>
      </c>
      <c r="C1378" s="9" t="s">
        <v>10122</v>
      </c>
      <c r="D1378" s="9" t="s">
        <v>344</v>
      </c>
      <c r="E1378" s="9" t="s">
        <v>10123</v>
      </c>
      <c r="F1378" s="10">
        <v>1.378</v>
      </c>
      <c r="G1378" s="10">
        <v>1.515</v>
      </c>
      <c r="H1378" s="10"/>
      <c r="I1378" s="9" t="s">
        <v>140</v>
      </c>
      <c r="J1378" s="9" t="s">
        <v>10124</v>
      </c>
      <c r="K1378" s="9" t="s">
        <v>10125</v>
      </c>
      <c r="L1378" s="8" t="s">
        <v>3155</v>
      </c>
      <c r="M1378" s="9" t="s">
        <v>36</v>
      </c>
      <c r="N1378" s="9" t="s">
        <v>211</v>
      </c>
      <c r="O1378" s="9">
        <f>HYPERLINK("https://www.google.com/maps/search/?api=1&amp;query=43.336528,-8.416333", "https://www.google.com/maps/search/?api=1&amp;query=43.336528,-8.416333")</f>
      </c>
      <c r="P1378" s="9" t="s">
        <v>3400</v>
      </c>
      <c r="Q1378" s="9" t="s">
        <v>1733</v>
      </c>
    </row>
    <row r="1379" spans="1:17" x14ac:dyDescent="0.25">
      <c r="A1379" s="8" t="s">
        <v>10126</v>
      </c>
      <c r="B1379" s="8" t="s">
        <v>10127</v>
      </c>
      <c r="C1379" s="9" t="s">
        <v>10128</v>
      </c>
      <c r="D1379" s="9" t="s">
        <v>187</v>
      </c>
      <c r="E1379" s="9" t="s">
        <v>10129</v>
      </c>
      <c r="F1379" s="10">
        <v>1.378</v>
      </c>
      <c r="G1379" s="10">
        <v>1.515</v>
      </c>
      <c r="H1379" s="10"/>
      <c r="I1379" s="9" t="s">
        <v>74</v>
      </c>
      <c r="J1379" s="9" t="s">
        <v>10130</v>
      </c>
      <c r="K1379" s="9" t="s">
        <v>10131</v>
      </c>
      <c r="L1379" s="8" t="s">
        <v>10132</v>
      </c>
      <c r="M1379" s="9" t="s">
        <v>49</v>
      </c>
      <c r="N1379" s="9" t="s">
        <v>1130</v>
      </c>
      <c r="O1379" s="9">
        <f>HYPERLINK("https://www.google.com/maps/search/?api=1&amp;query=42.59486296,-6.72004376", "https://www.google.com/maps/search/?api=1&amp;query=42.59486296,-6.72004376")</f>
      </c>
      <c r="P1379" s="9" t="s">
        <v>7785</v>
      </c>
      <c r="Q1379" s="9" t="s">
        <v>1092</v>
      </c>
    </row>
    <row r="1380" spans="1:17" x14ac:dyDescent="0.25">
      <c r="A1380" s="8" t="s">
        <v>10133</v>
      </c>
      <c r="B1380" s="8" t="s">
        <v>10134</v>
      </c>
      <c r="C1380" s="9" t="s">
        <v>10135</v>
      </c>
      <c r="D1380" s="9" t="s">
        <v>290</v>
      </c>
      <c r="E1380" s="9" t="s">
        <v>10136</v>
      </c>
      <c r="F1380" s="10">
        <v>1.378</v>
      </c>
      <c r="G1380" s="10">
        <v>1.515</v>
      </c>
      <c r="H1380" s="10"/>
      <c r="I1380" s="9" t="s">
        <v>292</v>
      </c>
      <c r="J1380" s="9" t="s">
        <v>10137</v>
      </c>
      <c r="K1380" s="9" t="s">
        <v>10138</v>
      </c>
      <c r="L1380" s="8" t="s">
        <v>10139</v>
      </c>
      <c r="M1380" s="9" t="s">
        <v>36</v>
      </c>
      <c r="N1380" s="9" t="s">
        <v>7871</v>
      </c>
      <c r="O1380" s="9">
        <f>HYPERLINK("https://www.google.com/maps/search/?api=1&amp;query=40.52430866,-0.40514496", "https://www.google.com/maps/search/?api=1&amp;query=40.52430866,-0.40514496")</f>
      </c>
      <c r="P1380" s="9" t="s">
        <v>7311</v>
      </c>
      <c r="Q1380" s="9" t="s">
        <v>10140</v>
      </c>
    </row>
    <row r="1381" spans="1:17" x14ac:dyDescent="0.25">
      <c r="A1381" s="8" t="s">
        <v>10141</v>
      </c>
      <c r="B1381" s="8" t="s">
        <v>10142</v>
      </c>
      <c r="C1381" s="9" t="s">
        <v>10143</v>
      </c>
      <c r="D1381" s="9" t="s">
        <v>30</v>
      </c>
      <c r="E1381" s="9" t="s">
        <v>10144</v>
      </c>
      <c r="F1381" s="10">
        <v>1.378</v>
      </c>
      <c r="G1381" s="10">
        <v>1.515</v>
      </c>
      <c r="H1381" s="10"/>
      <c r="I1381" s="9" t="s">
        <v>32</v>
      </c>
      <c r="J1381" s="9" t="s">
        <v>10145</v>
      </c>
      <c r="K1381" s="9" t="s">
        <v>10146</v>
      </c>
      <c r="L1381" s="8" t="s">
        <v>10147</v>
      </c>
      <c r="M1381" s="9" t="s">
        <v>49</v>
      </c>
      <c r="N1381" s="9" t="s">
        <v>88</v>
      </c>
      <c r="O1381" s="9">
        <f>HYPERLINK("https://www.google.com/maps/search/?api=1&amp;query=38.89121914,-6.62390481", "https://www.google.com/maps/search/?api=1&amp;query=38.89121914,-6.62390481")</f>
      </c>
      <c r="P1381" s="9" t="s">
        <v>3474</v>
      </c>
      <c r="Q1381" s="9" t="s">
        <v>1204</v>
      </c>
    </row>
    <row r="1382" spans="1:17" x14ac:dyDescent="0.25">
      <c r="A1382" s="8" t="s">
        <v>10148</v>
      </c>
      <c r="B1382" s="8" t="s">
        <v>10149</v>
      </c>
      <c r="C1382" s="9" t="s">
        <v>10150</v>
      </c>
      <c r="D1382" s="9" t="s">
        <v>516</v>
      </c>
      <c r="E1382" s="9" t="s">
        <v>10151</v>
      </c>
      <c r="F1382" s="10">
        <v>1.378</v>
      </c>
      <c r="G1382" s="10">
        <v>1.515</v>
      </c>
      <c r="H1382" s="10"/>
      <c r="I1382" s="9" t="s">
        <v>140</v>
      </c>
      <c r="J1382" s="9" t="s">
        <v>10152</v>
      </c>
      <c r="K1382" s="9" t="s">
        <v>10153</v>
      </c>
      <c r="L1382" s="8" t="s">
        <v>10154</v>
      </c>
      <c r="M1382" s="9" t="s">
        <v>49</v>
      </c>
      <c r="N1382" s="9" t="s">
        <v>211</v>
      </c>
      <c r="O1382" s="9">
        <f>HYPERLINK("https://www.google.com/maps/search/?api=1&amp;query=43.17930904,-7.88004594", "https://www.google.com/maps/search/?api=1&amp;query=43.17930904,-7.88004594")</f>
      </c>
      <c r="P1382" s="9" t="s">
        <v>771</v>
      </c>
      <c r="Q1382" s="9" t="s">
        <v>8447</v>
      </c>
    </row>
    <row r="1383" spans="1:17" x14ac:dyDescent="0.25">
      <c r="A1383" s="8" t="s">
        <v>10155</v>
      </c>
      <c r="B1383" s="8" t="s">
        <v>10156</v>
      </c>
      <c r="C1383" s="9" t="s">
        <v>10157</v>
      </c>
      <c r="D1383" s="9" t="s">
        <v>1617</v>
      </c>
      <c r="E1383" s="9" t="s">
        <v>1617</v>
      </c>
      <c r="F1383" s="10">
        <v>1.378</v>
      </c>
      <c r="G1383" s="10">
        <v>1.515</v>
      </c>
      <c r="H1383" s="10"/>
      <c r="I1383" s="9" t="s">
        <v>292</v>
      </c>
      <c r="J1383" s="9" t="s">
        <v>10158</v>
      </c>
      <c r="K1383" s="9" t="s">
        <v>10159</v>
      </c>
      <c r="L1383" s="8" t="s">
        <v>2283</v>
      </c>
      <c r="M1383" s="9" t="s">
        <v>36</v>
      </c>
      <c r="N1383" s="9" t="s">
        <v>88</v>
      </c>
      <c r="O1383" s="9">
        <f>HYPERLINK("https://www.google.com/maps/search/?api=1&amp;query=42.13078778,-0.41934995", "https://www.google.com/maps/search/?api=1&amp;query=42.13078778,-0.41934995")</f>
      </c>
      <c r="P1383" s="9" t="s">
        <v>1139</v>
      </c>
      <c r="Q1383" s="9" t="s">
        <v>10160</v>
      </c>
    </row>
    <row r="1384" spans="1:17" x14ac:dyDescent="0.25">
      <c r="A1384" s="8" t="s">
        <v>10161</v>
      </c>
      <c r="B1384" s="8" t="s">
        <v>10162</v>
      </c>
      <c r="C1384" s="9" t="s">
        <v>10163</v>
      </c>
      <c r="D1384" s="9" t="s">
        <v>226</v>
      </c>
      <c r="E1384" s="9" t="s">
        <v>10164</v>
      </c>
      <c r="F1384" s="10">
        <v>1.378</v>
      </c>
      <c r="G1384" s="10">
        <v>1.515</v>
      </c>
      <c r="H1384" s="10"/>
      <c r="I1384" s="9" t="s">
        <v>168</v>
      </c>
      <c r="J1384" s="9" t="s">
        <v>10165</v>
      </c>
      <c r="K1384" s="9" t="s">
        <v>10166</v>
      </c>
      <c r="L1384" s="8" t="s">
        <v>10167</v>
      </c>
      <c r="M1384" s="9" t="s">
        <v>36</v>
      </c>
      <c r="N1384" s="9" t="s">
        <v>66</v>
      </c>
      <c r="O1384" s="9">
        <f>HYPERLINK("https://www.google.com/maps/search/?api=1&amp;query=39.36161583,-2.20097699", "https://www.google.com/maps/search/?api=1&amp;query=39.36161583,-2.20097699")</f>
      </c>
      <c r="P1384" s="9" t="s">
        <v>321</v>
      </c>
      <c r="Q1384" s="9" t="s">
        <v>7038</v>
      </c>
    </row>
    <row r="1385" spans="1:17" x14ac:dyDescent="0.25">
      <c r="A1385" s="8" t="s">
        <v>10168</v>
      </c>
      <c r="B1385" s="8" t="s">
        <v>10169</v>
      </c>
      <c r="C1385" s="9" t="s">
        <v>10170</v>
      </c>
      <c r="D1385" s="9" t="s">
        <v>2288</v>
      </c>
      <c r="E1385" s="9" t="s">
        <v>10171</v>
      </c>
      <c r="F1385" s="10">
        <v>1.378</v>
      </c>
      <c r="G1385" s="10">
        <v>1.515</v>
      </c>
      <c r="H1385" s="10"/>
      <c r="I1385" s="9" t="s">
        <v>168</v>
      </c>
      <c r="J1385" s="9" t="s">
        <v>10172</v>
      </c>
      <c r="K1385" s="9" t="s">
        <v>10173</v>
      </c>
      <c r="L1385" s="8" t="s">
        <v>10174</v>
      </c>
      <c r="M1385" s="9" t="s">
        <v>49</v>
      </c>
      <c r="N1385" s="9" t="s">
        <v>7777</v>
      </c>
      <c r="O1385" s="9">
        <f>HYPERLINK("https://www.google.com/maps/search/?api=1&amp;query=39.36665522,-1.59263155", "https://www.google.com/maps/search/?api=1&amp;query=39.36665522,-1.59263155")</f>
      </c>
      <c r="P1385" s="9" t="s">
        <v>2480</v>
      </c>
      <c r="Q1385" s="9" t="s">
        <v>10175</v>
      </c>
    </row>
    <row r="1386" spans="1:17" x14ac:dyDescent="0.25">
      <c r="A1386" s="8" t="s">
        <v>10176</v>
      </c>
      <c r="B1386" s="8" t="s">
        <v>10177</v>
      </c>
      <c r="C1386" s="9" t="s">
        <v>10178</v>
      </c>
      <c r="D1386" s="9" t="s">
        <v>344</v>
      </c>
      <c r="E1386" s="9" t="s">
        <v>1931</v>
      </c>
      <c r="F1386" s="10">
        <v>1.378</v>
      </c>
      <c r="G1386" s="10">
        <v>1.515</v>
      </c>
      <c r="H1386" s="10"/>
      <c r="I1386" s="9" t="s">
        <v>140</v>
      </c>
      <c r="J1386" s="9" t="s">
        <v>10179</v>
      </c>
      <c r="K1386" s="9" t="s">
        <v>10180</v>
      </c>
      <c r="L1386" s="8" t="s">
        <v>10181</v>
      </c>
      <c r="M1386" s="9" t="s">
        <v>49</v>
      </c>
      <c r="N1386" s="9" t="s">
        <v>10182</v>
      </c>
      <c r="O1386" s="9">
        <f>HYPERLINK("https://www.google.com/maps/search/?api=1&amp;query=43.36828077,-8.4147743", "https://www.google.com/maps/search/?api=1&amp;query=43.36828077,-8.4147743")</f>
      </c>
      <c r="P1386" s="9" t="s">
        <v>3685</v>
      </c>
      <c r="Q1386" s="9" t="s">
        <v>1131</v>
      </c>
    </row>
    <row r="1387" spans="1:17" x14ac:dyDescent="0.25">
      <c r="A1387" s="8" t="s">
        <v>10183</v>
      </c>
      <c r="B1387" s="8" t="s">
        <v>10184</v>
      </c>
      <c r="C1387" s="9" t="s">
        <v>10185</v>
      </c>
      <c r="D1387" s="9" t="s">
        <v>400</v>
      </c>
      <c r="E1387" s="9" t="s">
        <v>10186</v>
      </c>
      <c r="F1387" s="10">
        <v>1.378</v>
      </c>
      <c r="G1387" s="10">
        <v>1.515</v>
      </c>
      <c r="H1387" s="10"/>
      <c r="I1387" s="9" t="s">
        <v>400</v>
      </c>
      <c r="J1387" s="9" t="s">
        <v>10187</v>
      </c>
      <c r="K1387" s="9" t="s">
        <v>10188</v>
      </c>
      <c r="L1387" s="8" t="s">
        <v>10189</v>
      </c>
      <c r="M1387" s="9" t="s">
        <v>49</v>
      </c>
      <c r="N1387" s="9" t="s">
        <v>88</v>
      </c>
      <c r="O1387" s="9">
        <f>HYPERLINK("https://www.google.com/maps/search/?api=1&amp;query=39.46940434,-0.4586685", "https://www.google.com/maps/search/?api=1&amp;query=39.46940434,-0.4586685")</f>
      </c>
      <c r="P1387" s="9" t="s">
        <v>144</v>
      </c>
      <c r="Q1387" s="9" t="s">
        <v>10190</v>
      </c>
    </row>
    <row r="1388" spans="1:17" x14ac:dyDescent="0.25">
      <c r="A1388" s="8" t="s">
        <v>10191</v>
      </c>
      <c r="B1388" s="8" t="s">
        <v>10192</v>
      </c>
      <c r="C1388" s="9" t="s">
        <v>10193</v>
      </c>
      <c r="D1388" s="9" t="s">
        <v>1434</v>
      </c>
      <c r="E1388" s="9" t="s">
        <v>10194</v>
      </c>
      <c r="F1388" s="10">
        <v>1.378</v>
      </c>
      <c r="G1388" s="10">
        <v>1.515</v>
      </c>
      <c r="H1388" s="10"/>
      <c r="I1388" s="9" t="s">
        <v>1434</v>
      </c>
      <c r="J1388" s="9" t="s">
        <v>10195</v>
      </c>
      <c r="K1388" s="9" t="s">
        <v>10196</v>
      </c>
      <c r="L1388" s="8" t="s">
        <v>10197</v>
      </c>
      <c r="M1388" s="9" t="s">
        <v>49</v>
      </c>
      <c r="N1388" s="9" t="s">
        <v>10198</v>
      </c>
      <c r="O1388" s="9">
        <f>HYPERLINK("https://www.google.com/maps/search/?api=1&amp;query=42.21366502,-1.9904925", "https://www.google.com/maps/search/?api=1&amp;query=42.21366502,-1.9904925")</f>
      </c>
      <c r="P1388" s="9" t="s">
        <v>1927</v>
      </c>
      <c r="Q1388" s="9" t="s">
        <v>8959</v>
      </c>
    </row>
    <row r="1389" spans="1:17" x14ac:dyDescent="0.25">
      <c r="A1389" s="8" t="s">
        <v>10199</v>
      </c>
      <c r="B1389" s="8" t="s">
        <v>10200</v>
      </c>
      <c r="C1389" s="9" t="s">
        <v>10201</v>
      </c>
      <c r="D1389" s="9" t="s">
        <v>379</v>
      </c>
      <c r="E1389" s="9" t="s">
        <v>7340</v>
      </c>
      <c r="F1389" s="10">
        <v>1.378</v>
      </c>
      <c r="G1389" s="10">
        <v>1.515</v>
      </c>
      <c r="H1389" s="10"/>
      <c r="I1389" s="9" t="s">
        <v>379</v>
      </c>
      <c r="J1389" s="9" t="s">
        <v>7341</v>
      </c>
      <c r="K1389" s="9" t="s">
        <v>10202</v>
      </c>
      <c r="L1389" s="8" t="s">
        <v>7343</v>
      </c>
      <c r="M1389" s="9" t="s">
        <v>36</v>
      </c>
      <c r="N1389" s="9" t="s">
        <v>88</v>
      </c>
      <c r="O1389" s="9">
        <f>HYPERLINK("https://www.google.com/maps/search/?api=1&amp;query=42.77634419,-1.634673", "https://www.google.com/maps/search/?api=1&amp;query=42.77634419,-1.634673")</f>
      </c>
      <c r="P1389" s="9" t="s">
        <v>4374</v>
      </c>
      <c r="Q1389" s="9" t="s">
        <v>10203</v>
      </c>
    </row>
    <row r="1390" spans="1:17" x14ac:dyDescent="0.25">
      <c r="A1390" s="8" t="s">
        <v>10204</v>
      </c>
      <c r="B1390" s="8" t="s">
        <v>10205</v>
      </c>
      <c r="C1390" s="9" t="s">
        <v>10206</v>
      </c>
      <c r="D1390" s="9" t="s">
        <v>253</v>
      </c>
      <c r="E1390" s="9" t="s">
        <v>254</v>
      </c>
      <c r="F1390" s="10">
        <v>1.378</v>
      </c>
      <c r="G1390" s="10">
        <v>1.515</v>
      </c>
      <c r="H1390" s="10"/>
      <c r="I1390" s="9" t="s">
        <v>96</v>
      </c>
      <c r="J1390" s="9" t="s">
        <v>10207</v>
      </c>
      <c r="K1390" s="9" t="s">
        <v>10208</v>
      </c>
      <c r="L1390" s="8" t="s">
        <v>257</v>
      </c>
      <c r="M1390" s="9" t="s">
        <v>49</v>
      </c>
      <c r="N1390" s="9" t="s">
        <v>88</v>
      </c>
      <c r="O1390" s="9">
        <f>HYPERLINK("https://www.google.com/maps/search/?api=1&amp;query=40.80816798,0.52265082", "https://www.google.com/maps/search/?api=1&amp;query=40.80816798,0.52265082")</f>
      </c>
      <c r="P1390" s="9" t="s">
        <v>321</v>
      </c>
      <c r="Q1390" s="9" t="s">
        <v>1131</v>
      </c>
    </row>
    <row r="1391" spans="1:17" x14ac:dyDescent="0.25">
      <c r="A1391" s="8" t="s">
        <v>10209</v>
      </c>
      <c r="B1391" s="8" t="s">
        <v>10210</v>
      </c>
      <c r="C1391" s="9" t="s">
        <v>10211</v>
      </c>
      <c r="D1391" s="9" t="s">
        <v>226</v>
      </c>
      <c r="E1391" s="9" t="s">
        <v>10212</v>
      </c>
      <c r="F1391" s="10">
        <v>1.378</v>
      </c>
      <c r="G1391" s="10">
        <v>1.515</v>
      </c>
      <c r="H1391" s="10"/>
      <c r="I1391" s="9" t="s">
        <v>168</v>
      </c>
      <c r="J1391" s="9" t="s">
        <v>10213</v>
      </c>
      <c r="K1391" s="9" t="s">
        <v>10214</v>
      </c>
      <c r="L1391" s="8" t="s">
        <v>10215</v>
      </c>
      <c r="M1391" s="9" t="s">
        <v>36</v>
      </c>
      <c r="N1391" s="9" t="s">
        <v>10216</v>
      </c>
      <c r="O1391" s="9">
        <f>HYPERLINK("https://www.google.com/maps/search/?api=1&amp;query=39.520639,-2.487694", "https://www.google.com/maps/search/?api=1&amp;query=39.520639,-2.487694")</f>
      </c>
      <c r="P1391" s="9" t="s">
        <v>2158</v>
      </c>
      <c r="Q1391" s="9" t="s">
        <v>881</v>
      </c>
    </row>
    <row r="1392" spans="1:17" x14ac:dyDescent="0.25">
      <c r="A1392" s="8" t="s">
        <v>10217</v>
      </c>
      <c r="B1392" s="8" t="s">
        <v>10218</v>
      </c>
      <c r="C1392" s="9" t="s">
        <v>10219</v>
      </c>
      <c r="D1392" s="9" t="s">
        <v>434</v>
      </c>
      <c r="E1392" s="9" t="s">
        <v>3585</v>
      </c>
      <c r="F1392" s="10">
        <v>1.378</v>
      </c>
      <c r="G1392" s="10">
        <v>1.515</v>
      </c>
      <c r="H1392" s="10"/>
      <c r="I1392" s="9" t="s">
        <v>96</v>
      </c>
      <c r="J1392" s="9" t="s">
        <v>10220</v>
      </c>
      <c r="K1392" s="9" t="s">
        <v>10221</v>
      </c>
      <c r="L1392" s="8" t="s">
        <v>3588</v>
      </c>
      <c r="M1392" s="9" t="s">
        <v>36</v>
      </c>
      <c r="N1392" s="9" t="s">
        <v>5450</v>
      </c>
      <c r="O1392" s="9">
        <f>HYPERLINK("https://www.google.com/maps/search/?api=1&amp;query=42.26755991,2.99505382", "https://www.google.com/maps/search/?api=1&amp;query=42.26755991,2.99505382")</f>
      </c>
      <c r="P1392" s="9" t="s">
        <v>1250</v>
      </c>
      <c r="Q1392" s="9" t="s">
        <v>3771</v>
      </c>
    </row>
    <row r="1393" spans="1:17" x14ac:dyDescent="0.25">
      <c r="A1393" s="8" t="s">
        <v>10222</v>
      </c>
      <c r="B1393" s="8" t="s">
        <v>10223</v>
      </c>
      <c r="C1393" s="9" t="s">
        <v>10224</v>
      </c>
      <c r="D1393" s="9" t="s">
        <v>658</v>
      </c>
      <c r="E1393" s="9" t="s">
        <v>10225</v>
      </c>
      <c r="F1393" s="10">
        <v>1.378</v>
      </c>
      <c r="G1393" s="10">
        <v>1.515</v>
      </c>
      <c r="H1393" s="10"/>
      <c r="I1393" s="9" t="s">
        <v>45</v>
      </c>
      <c r="J1393" s="9" t="s">
        <v>10226</v>
      </c>
      <c r="K1393" s="9" t="s">
        <v>10227</v>
      </c>
      <c r="L1393" s="8" t="s">
        <v>10228</v>
      </c>
      <c r="M1393" s="9" t="s">
        <v>36</v>
      </c>
      <c r="N1393" s="9" t="s">
        <v>88</v>
      </c>
      <c r="O1393" s="9">
        <f>HYPERLINK("https://www.google.com/maps/search/?api=1&amp;query=37.11262257,-2.61837901", "https://www.google.com/maps/search/?api=1&amp;query=37.11262257,-2.61837901")</f>
      </c>
      <c r="P1393" s="9" t="s">
        <v>880</v>
      </c>
      <c r="Q1393" s="9" t="s">
        <v>4192</v>
      </c>
    </row>
    <row r="1394" spans="1:17" x14ac:dyDescent="0.25">
      <c r="A1394" s="8" t="s">
        <v>10229</v>
      </c>
      <c r="B1394" s="8" t="s">
        <v>10230</v>
      </c>
      <c r="C1394" s="9" t="s">
        <v>10231</v>
      </c>
      <c r="D1394" s="9" t="s">
        <v>469</v>
      </c>
      <c r="E1394" s="9" t="s">
        <v>10232</v>
      </c>
      <c r="F1394" s="10">
        <v>1.378</v>
      </c>
      <c r="G1394" s="10">
        <v>1.515</v>
      </c>
      <c r="H1394" s="10"/>
      <c r="I1394" s="9" t="s">
        <v>74</v>
      </c>
      <c r="J1394" s="9" t="s">
        <v>10233</v>
      </c>
      <c r="K1394" s="9" t="s">
        <v>10234</v>
      </c>
      <c r="L1394" s="8" t="s">
        <v>10235</v>
      </c>
      <c r="M1394" s="9" t="s">
        <v>49</v>
      </c>
      <c r="N1394" s="9" t="s">
        <v>211</v>
      </c>
      <c r="O1394" s="9">
        <f>HYPERLINK("https://www.google.com/maps/search/?api=1&amp;query=40.98977415,-5.68763002", "https://www.google.com/maps/search/?api=1&amp;query=40.98977415,-5.68763002")</f>
      </c>
      <c r="P1394" s="9" t="s">
        <v>258</v>
      </c>
      <c r="Q1394" s="9" t="s">
        <v>1843</v>
      </c>
    </row>
    <row r="1395" spans="1:17" x14ac:dyDescent="0.25">
      <c r="A1395" s="8" t="s">
        <v>6225</v>
      </c>
      <c r="B1395" s="8" t="s">
        <v>10236</v>
      </c>
      <c r="C1395" s="9" t="s">
        <v>8471</v>
      </c>
      <c r="D1395" s="9" t="s">
        <v>1282</v>
      </c>
      <c r="E1395" s="9" t="s">
        <v>1283</v>
      </c>
      <c r="F1395" s="10">
        <v>1.378</v>
      </c>
      <c r="G1395" s="10">
        <v>1.515</v>
      </c>
      <c r="H1395" s="10"/>
      <c r="I1395" s="9" t="s">
        <v>45</v>
      </c>
      <c r="J1395" s="9" t="s">
        <v>10237</v>
      </c>
      <c r="K1395" s="9" t="s">
        <v>10238</v>
      </c>
      <c r="L1395" s="8" t="s">
        <v>1286</v>
      </c>
      <c r="M1395" s="9" t="s">
        <v>100</v>
      </c>
      <c r="N1395" s="9" t="s">
        <v>88</v>
      </c>
      <c r="O1395" s="9">
        <f>HYPERLINK("https://www.google.com/maps/search/?api=1&amp;query=37.23558579,-3.6434377", "https://www.google.com/maps/search/?api=1&amp;query=37.23558579,-3.6434377")</f>
      </c>
      <c r="P1395" s="9" t="s">
        <v>321</v>
      </c>
      <c r="Q1395" s="9" t="s">
        <v>10239</v>
      </c>
    </row>
    <row r="1396" spans="1:17" x14ac:dyDescent="0.25">
      <c r="A1396" s="8" t="s">
        <v>10240</v>
      </c>
      <c r="B1396" s="8" t="s">
        <v>10241</v>
      </c>
      <c r="C1396" s="9" t="s">
        <v>10242</v>
      </c>
      <c r="D1396" s="9" t="s">
        <v>400</v>
      </c>
      <c r="E1396" s="9" t="s">
        <v>10243</v>
      </c>
      <c r="F1396" s="10">
        <v>1.378</v>
      </c>
      <c r="G1396" s="10">
        <v>1.515</v>
      </c>
      <c r="H1396" s="10"/>
      <c r="I1396" s="9" t="s">
        <v>400</v>
      </c>
      <c r="J1396" s="9" t="s">
        <v>10244</v>
      </c>
      <c r="K1396" s="9" t="s">
        <v>10245</v>
      </c>
      <c r="L1396" s="8" t="s">
        <v>10246</v>
      </c>
      <c r="M1396" s="9" t="s">
        <v>36</v>
      </c>
      <c r="N1396" s="9" t="s">
        <v>592</v>
      </c>
      <c r="O1396" s="9">
        <f>HYPERLINK("https://www.google.com/maps/search/?api=1&amp;query=39.05963204,-1.05333946", "https://www.google.com/maps/search/?api=1&amp;query=39.05963204,-1.05333946")</f>
      </c>
      <c r="P1396" s="9" t="s">
        <v>880</v>
      </c>
      <c r="Q1396" s="9" t="s">
        <v>10247</v>
      </c>
    </row>
    <row r="1397" spans="1:17" x14ac:dyDescent="0.25">
      <c r="A1397" s="8" t="s">
        <v>10248</v>
      </c>
      <c r="B1397" s="8" t="s">
        <v>10249</v>
      </c>
      <c r="C1397" s="9" t="s">
        <v>10250</v>
      </c>
      <c r="D1397" s="9" t="s">
        <v>424</v>
      </c>
      <c r="E1397" s="9" t="s">
        <v>10251</v>
      </c>
      <c r="F1397" s="10">
        <v>1.378</v>
      </c>
      <c r="G1397" s="10">
        <v>1.515</v>
      </c>
      <c r="H1397" s="10"/>
      <c r="I1397" s="9" t="s">
        <v>96</v>
      </c>
      <c r="J1397" s="9" t="s">
        <v>10252</v>
      </c>
      <c r="K1397" s="9" t="s">
        <v>10253</v>
      </c>
      <c r="L1397" s="8" t="s">
        <v>10254</v>
      </c>
      <c r="M1397" s="9" t="s">
        <v>49</v>
      </c>
      <c r="N1397" s="9" t="s">
        <v>7923</v>
      </c>
      <c r="O1397" s="9">
        <f>HYPERLINK("https://www.google.com/maps/search/?api=1&amp;query=42.13410733,1.59345202", "https://www.google.com/maps/search/?api=1&amp;query=42.13410733,1.59345202")</f>
      </c>
      <c r="P1397" s="9" t="s">
        <v>4183</v>
      </c>
      <c r="Q1397" s="9" t="s">
        <v>1374</v>
      </c>
    </row>
    <row r="1398" spans="1:17" x14ac:dyDescent="0.25">
      <c r="A1398" s="8" t="s">
        <v>10255</v>
      </c>
      <c r="B1398" s="8" t="s">
        <v>10256</v>
      </c>
      <c r="C1398" s="9" t="s">
        <v>10257</v>
      </c>
      <c r="D1398" s="9" t="s">
        <v>400</v>
      </c>
      <c r="E1398" s="9" t="s">
        <v>10258</v>
      </c>
      <c r="F1398" s="10">
        <v>1.378</v>
      </c>
      <c r="G1398" s="10">
        <v>1.515</v>
      </c>
      <c r="H1398" s="10"/>
      <c r="I1398" s="9" t="s">
        <v>400</v>
      </c>
      <c r="J1398" s="9" t="s">
        <v>10259</v>
      </c>
      <c r="K1398" s="9" t="s">
        <v>10260</v>
      </c>
      <c r="L1398" s="8" t="s">
        <v>10261</v>
      </c>
      <c r="M1398" s="9" t="s">
        <v>100</v>
      </c>
      <c r="N1398" s="9" t="s">
        <v>37</v>
      </c>
      <c r="O1398" s="9">
        <f>HYPERLINK("https://www.google.com/maps/search/?api=1&amp;query=38.92943363,-0.6626579", "https://www.google.com/maps/search/?api=1&amp;query=38.92943363,-0.6626579")</f>
      </c>
      <c r="P1398" s="9" t="s">
        <v>617</v>
      </c>
      <c r="Q1398" s="9" t="s">
        <v>7641</v>
      </c>
    </row>
    <row r="1399" spans="1:17" x14ac:dyDescent="0.25">
      <c r="A1399" s="8" t="s">
        <v>10262</v>
      </c>
      <c r="B1399" s="8" t="s">
        <v>10263</v>
      </c>
      <c r="C1399" s="9" t="s">
        <v>10264</v>
      </c>
      <c r="D1399" s="9" t="s">
        <v>398</v>
      </c>
      <c r="E1399" s="9" t="s">
        <v>10265</v>
      </c>
      <c r="F1399" s="10">
        <v>1.378</v>
      </c>
      <c r="G1399" s="10">
        <v>1.515</v>
      </c>
      <c r="H1399" s="10"/>
      <c r="I1399" s="9" t="s">
        <v>400</v>
      </c>
      <c r="J1399" s="9" t="s">
        <v>10266</v>
      </c>
      <c r="K1399" s="9" t="s">
        <v>10267</v>
      </c>
      <c r="L1399" s="8" t="s">
        <v>10268</v>
      </c>
      <c r="M1399" s="9" t="s">
        <v>49</v>
      </c>
      <c r="N1399" s="9" t="s">
        <v>88</v>
      </c>
      <c r="O1399" s="9">
        <f>HYPERLINK("https://www.google.com/maps/search/?api=1&amp;query=38.53500624,-0.81072145", "https://www.google.com/maps/search/?api=1&amp;query=38.53500624,-0.81072145")</f>
      </c>
      <c r="P1399" s="9" t="s">
        <v>1010</v>
      </c>
      <c r="Q1399" s="9" t="s">
        <v>1179</v>
      </c>
    </row>
    <row r="1400" spans="1:17" x14ac:dyDescent="0.25">
      <c r="A1400" s="8" t="s">
        <v>10269</v>
      </c>
      <c r="B1400" s="8" t="s">
        <v>10270</v>
      </c>
      <c r="C1400" s="9" t="s">
        <v>10271</v>
      </c>
      <c r="D1400" s="9" t="s">
        <v>253</v>
      </c>
      <c r="E1400" s="9" t="s">
        <v>253</v>
      </c>
      <c r="F1400" s="10">
        <v>1.378</v>
      </c>
      <c r="G1400" s="10">
        <v>1.515</v>
      </c>
      <c r="H1400" s="10"/>
      <c r="I1400" s="9" t="s">
        <v>96</v>
      </c>
      <c r="J1400" s="9" t="s">
        <v>10272</v>
      </c>
      <c r="K1400" s="9" t="s">
        <v>10273</v>
      </c>
      <c r="L1400" s="8" t="s">
        <v>373</v>
      </c>
      <c r="M1400" s="9" t="s">
        <v>36</v>
      </c>
      <c r="N1400" s="9" t="s">
        <v>88</v>
      </c>
      <c r="O1400" s="9">
        <f>HYPERLINK("https://www.google.com/maps/search/?api=1&amp;query=41.12889507,1.29698628", "https://www.google.com/maps/search/?api=1&amp;query=41.12889507,1.29698628")</f>
      </c>
      <c r="P1400" s="9" t="s">
        <v>1364</v>
      </c>
      <c r="Q1400" s="9" t="s">
        <v>10274</v>
      </c>
    </row>
    <row r="1401" spans="1:17" x14ac:dyDescent="0.25">
      <c r="A1401" s="8" t="s">
        <v>10275</v>
      </c>
      <c r="B1401" s="8" t="s">
        <v>10276</v>
      </c>
      <c r="C1401" s="9" t="s">
        <v>10277</v>
      </c>
      <c r="D1401" s="9" t="s">
        <v>61</v>
      </c>
      <c r="E1401" s="9" t="s">
        <v>10278</v>
      </c>
      <c r="F1401" s="10">
        <v>1.378</v>
      </c>
      <c r="G1401" s="10">
        <v>1.515</v>
      </c>
      <c r="H1401" s="10"/>
      <c r="I1401" s="9" t="s">
        <v>45</v>
      </c>
      <c r="J1401" s="9" t="s">
        <v>10279</v>
      </c>
      <c r="K1401" s="9" t="s">
        <v>10280</v>
      </c>
      <c r="L1401" s="8" t="s">
        <v>10281</v>
      </c>
      <c r="M1401" s="9" t="s">
        <v>36</v>
      </c>
      <c r="N1401" s="9" t="s">
        <v>10282</v>
      </c>
      <c r="O1401" s="9">
        <f>HYPERLINK("https://www.google.com/maps/search/?api=1&amp;query=36.85219708,-6.0416046", "https://www.google.com/maps/search/?api=1&amp;query=36.85219708,-6.0416046")</f>
      </c>
      <c r="P1401" s="9" t="s">
        <v>1439</v>
      </c>
      <c r="Q1401" s="9" t="s">
        <v>1131</v>
      </c>
    </row>
    <row r="1402" spans="1:17" x14ac:dyDescent="0.25">
      <c r="A1402" s="8" t="s">
        <v>10283</v>
      </c>
      <c r="B1402" s="8" t="s">
        <v>10284</v>
      </c>
      <c r="C1402" s="9" t="s">
        <v>10285</v>
      </c>
      <c r="D1402" s="9" t="s">
        <v>128</v>
      </c>
      <c r="E1402" s="9" t="s">
        <v>10286</v>
      </c>
      <c r="F1402" s="10">
        <v>1.378</v>
      </c>
      <c r="G1402" s="10">
        <v>1.515</v>
      </c>
      <c r="H1402" s="10"/>
      <c r="I1402" s="9" t="s">
        <v>45</v>
      </c>
      <c r="J1402" s="9" t="s">
        <v>10287</v>
      </c>
      <c r="K1402" s="9" t="s">
        <v>10288</v>
      </c>
      <c r="L1402" s="8" t="s">
        <v>3837</v>
      </c>
      <c r="M1402" s="9" t="s">
        <v>36</v>
      </c>
      <c r="N1402" s="9" t="s">
        <v>357</v>
      </c>
      <c r="O1402" s="9">
        <f>HYPERLINK("https://www.google.com/maps/search/?api=1&amp;query=36.41545128,-6.14302892", "https://www.google.com/maps/search/?api=1&amp;query=36.41545128,-6.14302892")</f>
      </c>
      <c r="P1402" s="9" t="s">
        <v>7062</v>
      </c>
      <c r="Q1402" s="9" t="s">
        <v>10289</v>
      </c>
    </row>
    <row r="1403" spans="1:17" x14ac:dyDescent="0.25">
      <c r="A1403" s="8" t="s">
        <v>10290</v>
      </c>
      <c r="B1403" s="8" t="s">
        <v>10291</v>
      </c>
      <c r="C1403" s="9" t="s">
        <v>10292</v>
      </c>
      <c r="D1403" s="9" t="s">
        <v>94</v>
      </c>
      <c r="E1403" s="9" t="s">
        <v>10293</v>
      </c>
      <c r="F1403" s="10">
        <v>1.378</v>
      </c>
      <c r="G1403" s="10">
        <v>1.515</v>
      </c>
      <c r="H1403" s="10"/>
      <c r="I1403" s="9" t="s">
        <v>96</v>
      </c>
      <c r="J1403" s="9" t="s">
        <v>10294</v>
      </c>
      <c r="K1403" s="9" t="s">
        <v>10295</v>
      </c>
      <c r="L1403" s="8" t="s">
        <v>872</v>
      </c>
      <c r="M1403" s="9" t="s">
        <v>49</v>
      </c>
      <c r="N1403" s="9" t="s">
        <v>88</v>
      </c>
      <c r="O1403" s="9">
        <f>HYPERLINK("https://www.google.com/maps/search/?api=1&amp;query=41.77305124,1.88148263", "https://www.google.com/maps/search/?api=1&amp;query=41.77305124,1.88148263")</f>
      </c>
      <c r="P1403" s="9" t="s">
        <v>880</v>
      </c>
      <c r="Q1403" s="9" t="s">
        <v>874</v>
      </c>
    </row>
    <row r="1404" spans="1:17" x14ac:dyDescent="0.25">
      <c r="A1404" s="8" t="s">
        <v>10296</v>
      </c>
      <c r="B1404" s="8" t="s">
        <v>10297</v>
      </c>
      <c r="C1404" s="9" t="s">
        <v>10298</v>
      </c>
      <c r="D1404" s="9" t="s">
        <v>3841</v>
      </c>
      <c r="E1404" s="9" t="s">
        <v>3841</v>
      </c>
      <c r="F1404" s="10">
        <v>1.378</v>
      </c>
      <c r="G1404" s="10">
        <v>1.515</v>
      </c>
      <c r="H1404" s="10"/>
      <c r="I1404" s="9" t="s">
        <v>74</v>
      </c>
      <c r="J1404" s="9" t="s">
        <v>10299</v>
      </c>
      <c r="K1404" s="9" t="s">
        <v>10300</v>
      </c>
      <c r="L1404" s="8" t="s">
        <v>10301</v>
      </c>
      <c r="M1404" s="9" t="s">
        <v>100</v>
      </c>
      <c r="N1404" s="9" t="s">
        <v>10302</v>
      </c>
      <c r="O1404" s="9">
        <f>HYPERLINK("https://www.google.com/maps/search/?api=1&amp;query=41.76270966,-2.40505037", "https://www.google.com/maps/search/?api=1&amp;query=41.76270966,-2.40505037")</f>
      </c>
      <c r="P1404" s="9" t="s">
        <v>2111</v>
      </c>
      <c r="Q1404" s="9" t="s">
        <v>2818</v>
      </c>
    </row>
    <row r="1405" spans="1:17" x14ac:dyDescent="0.25">
      <c r="A1405" s="8" t="s">
        <v>10303</v>
      </c>
      <c r="B1405" s="8" t="s">
        <v>10304</v>
      </c>
      <c r="C1405" s="9" t="s">
        <v>10305</v>
      </c>
      <c r="D1405" s="9" t="s">
        <v>177</v>
      </c>
      <c r="E1405" s="9" t="s">
        <v>10306</v>
      </c>
      <c r="F1405" s="10">
        <v>1.378</v>
      </c>
      <c r="G1405" s="10">
        <v>1.515</v>
      </c>
      <c r="H1405" s="10"/>
      <c r="I1405" s="9" t="s">
        <v>74</v>
      </c>
      <c r="J1405" s="9" t="s">
        <v>10307</v>
      </c>
      <c r="K1405" s="9" t="s">
        <v>10308</v>
      </c>
      <c r="L1405" s="8" t="s">
        <v>10309</v>
      </c>
      <c r="M1405" s="9" t="s">
        <v>36</v>
      </c>
      <c r="N1405" s="9" t="s">
        <v>37</v>
      </c>
      <c r="O1405" s="9">
        <f>HYPERLINK("https://www.google.com/maps/search/?api=1&amp;query=41.50105294,-5.00457035", "https://www.google.com/maps/search/?api=1&amp;query=41.50105294,-5.00457035")</f>
      </c>
      <c r="P1405" s="9" t="s">
        <v>10310</v>
      </c>
      <c r="Q1405" s="9" t="s">
        <v>297</v>
      </c>
    </row>
    <row r="1406" spans="1:17" x14ac:dyDescent="0.25">
      <c r="A1406" s="8" t="s">
        <v>10311</v>
      </c>
      <c r="B1406" s="8" t="s">
        <v>10312</v>
      </c>
      <c r="C1406" s="9" t="s">
        <v>7239</v>
      </c>
      <c r="D1406" s="9" t="s">
        <v>138</v>
      </c>
      <c r="E1406" s="9" t="s">
        <v>10313</v>
      </c>
      <c r="F1406" s="10">
        <v>1.378</v>
      </c>
      <c r="G1406" s="10">
        <v>1.515</v>
      </c>
      <c r="H1406" s="10"/>
      <c r="I1406" s="9" t="s">
        <v>140</v>
      </c>
      <c r="J1406" s="9" t="s">
        <v>10314</v>
      </c>
      <c r="K1406" s="9" t="s">
        <v>10315</v>
      </c>
      <c r="L1406" s="8" t="s">
        <v>10316</v>
      </c>
      <c r="M1406" s="9" t="s">
        <v>100</v>
      </c>
      <c r="N1406" s="9" t="s">
        <v>7244</v>
      </c>
      <c r="O1406" s="9">
        <f>HYPERLINK("https://www.google.com/maps/search/?api=1&amp;query=42.50188098,-8.65644529", "https://www.google.com/maps/search/?api=1&amp;query=42.50188098,-8.65644529")</f>
      </c>
      <c r="P1406" s="9" t="s">
        <v>4045</v>
      </c>
      <c r="Q1406" s="9" t="s">
        <v>10317</v>
      </c>
    </row>
    <row r="1407" spans="1:17" x14ac:dyDescent="0.25">
      <c r="A1407" s="8" t="s">
        <v>10318</v>
      </c>
      <c r="B1407" s="8" t="s">
        <v>10319</v>
      </c>
      <c r="C1407" s="9" t="s">
        <v>10320</v>
      </c>
      <c r="D1407" s="9" t="s">
        <v>488</v>
      </c>
      <c r="E1407" s="9" t="s">
        <v>10321</v>
      </c>
      <c r="F1407" s="10">
        <v>1.378</v>
      </c>
      <c r="G1407" s="10">
        <v>1.515</v>
      </c>
      <c r="H1407" s="10"/>
      <c r="I1407" s="9" t="s">
        <v>45</v>
      </c>
      <c r="J1407" s="9" t="s">
        <v>10322</v>
      </c>
      <c r="K1407" s="9" t="s">
        <v>10323</v>
      </c>
      <c r="L1407" s="8" t="s">
        <v>10324</v>
      </c>
      <c r="M1407" s="9" t="s">
        <v>49</v>
      </c>
      <c r="N1407" s="9" t="s">
        <v>10325</v>
      </c>
      <c r="O1407" s="9">
        <f>HYPERLINK("https://www.google.com/maps/search/?api=1&amp;query=38.11927262,-3.0780492", "https://www.google.com/maps/search/?api=1&amp;query=38.11927262,-3.0780492")</f>
      </c>
      <c r="P1407" s="9" t="s">
        <v>1439</v>
      </c>
      <c r="Q1407" s="9" t="s">
        <v>1131</v>
      </c>
    </row>
    <row r="1408" spans="1:17" x14ac:dyDescent="0.25">
      <c r="A1408" s="8" t="s">
        <v>10326</v>
      </c>
      <c r="B1408" s="8" t="s">
        <v>10327</v>
      </c>
      <c r="C1408" s="9" t="s">
        <v>10328</v>
      </c>
      <c r="D1408" s="9" t="s">
        <v>83</v>
      </c>
      <c r="E1408" s="9" t="s">
        <v>10329</v>
      </c>
      <c r="F1408" s="10">
        <v>1.378</v>
      </c>
      <c r="G1408" s="10">
        <v>1.515</v>
      </c>
      <c r="H1408" s="10"/>
      <c r="I1408" s="9" t="s">
        <v>83</v>
      </c>
      <c r="J1408" s="9" t="s">
        <v>10330</v>
      </c>
      <c r="K1408" s="9" t="s">
        <v>10331</v>
      </c>
      <c r="L1408" s="8" t="s">
        <v>10332</v>
      </c>
      <c r="M1408" s="9" t="s">
        <v>49</v>
      </c>
      <c r="N1408" s="9" t="s">
        <v>88</v>
      </c>
      <c r="O1408" s="9">
        <f>HYPERLINK("https://www.google.com/maps/search/?api=1&amp;query=40.11210335,-3.39123988", "https://www.google.com/maps/search/?api=1&amp;query=40.11210335,-3.39123988")</f>
      </c>
      <c r="P1408" s="9" t="s">
        <v>2786</v>
      </c>
      <c r="Q1408" s="9" t="s">
        <v>1204</v>
      </c>
    </row>
    <row r="1409" spans="1:17" x14ac:dyDescent="0.25">
      <c r="A1409" s="8" t="s">
        <v>10333</v>
      </c>
      <c r="B1409" s="8" t="s">
        <v>10334</v>
      </c>
      <c r="C1409" s="9" t="s">
        <v>10335</v>
      </c>
      <c r="D1409" s="9" t="s">
        <v>253</v>
      </c>
      <c r="E1409" s="9" t="s">
        <v>10336</v>
      </c>
      <c r="F1409" s="10">
        <v>1.378</v>
      </c>
      <c r="G1409" s="10">
        <v>1.515</v>
      </c>
      <c r="H1409" s="10"/>
      <c r="I1409" s="9" t="s">
        <v>96</v>
      </c>
      <c r="J1409" s="9" t="s">
        <v>10337</v>
      </c>
      <c r="K1409" s="9" t="s">
        <v>10338</v>
      </c>
      <c r="L1409" s="8" t="s">
        <v>10339</v>
      </c>
      <c r="M1409" s="9" t="s">
        <v>49</v>
      </c>
      <c r="N1409" s="9" t="s">
        <v>10340</v>
      </c>
      <c r="O1409" s="9">
        <f>HYPERLINK("https://www.google.com/maps/search/?api=1&amp;query=41.18905838,1.24284294", "https://www.google.com/maps/search/?api=1&amp;query=41.18905838,1.24284294")</f>
      </c>
      <c r="P1409" s="9" t="s">
        <v>10341</v>
      </c>
      <c r="Q1409" s="9" t="s">
        <v>3073</v>
      </c>
    </row>
    <row r="1410" spans="1:17" x14ac:dyDescent="0.25">
      <c r="A1410" s="8" t="s">
        <v>10342</v>
      </c>
      <c r="B1410" s="8" t="s">
        <v>10343</v>
      </c>
      <c r="C1410" s="9" t="s">
        <v>10344</v>
      </c>
      <c r="D1410" s="9" t="s">
        <v>398</v>
      </c>
      <c r="E1410" s="9" t="s">
        <v>2534</v>
      </c>
      <c r="F1410" s="10">
        <v>1.378</v>
      </c>
      <c r="G1410" s="10">
        <v>1.515</v>
      </c>
      <c r="H1410" s="10"/>
      <c r="I1410" s="9" t="s">
        <v>400</v>
      </c>
      <c r="J1410" s="9" t="s">
        <v>10345</v>
      </c>
      <c r="K1410" s="9" t="s">
        <v>10346</v>
      </c>
      <c r="L1410" s="8" t="s">
        <v>6767</v>
      </c>
      <c r="M1410" s="9" t="s">
        <v>49</v>
      </c>
      <c r="N1410" s="9" t="s">
        <v>954</v>
      </c>
      <c r="O1410" s="9">
        <f>HYPERLINK("https://www.google.com/maps/search/?api=1&amp;query=38.688639,-0.479611", "https://www.google.com/maps/search/?api=1&amp;query=38.688639,-0.479611")</f>
      </c>
      <c r="P1410" s="9" t="s">
        <v>1250</v>
      </c>
      <c r="Q1410" s="9" t="s">
        <v>1131</v>
      </c>
    </row>
    <row r="1411" spans="1:17" x14ac:dyDescent="0.25">
      <c r="A1411" s="8" t="s">
        <v>10347</v>
      </c>
      <c r="B1411" s="8" t="s">
        <v>10348</v>
      </c>
      <c r="C1411" s="9" t="s">
        <v>10349</v>
      </c>
      <c r="D1411" s="9" t="s">
        <v>106</v>
      </c>
      <c r="E1411" s="9" t="s">
        <v>2424</v>
      </c>
      <c r="F1411" s="10">
        <v>1.378</v>
      </c>
      <c r="G1411" s="10">
        <v>1.515</v>
      </c>
      <c r="H1411" s="10"/>
      <c r="I1411" s="9" t="s">
        <v>106</v>
      </c>
      <c r="J1411" s="9" t="s">
        <v>10350</v>
      </c>
      <c r="K1411" s="9" t="s">
        <v>10351</v>
      </c>
      <c r="L1411" s="8" t="s">
        <v>10352</v>
      </c>
      <c r="M1411" s="9" t="s">
        <v>49</v>
      </c>
      <c r="N1411" s="9" t="s">
        <v>66</v>
      </c>
      <c r="O1411" s="9">
        <f>HYPERLINK("https://www.google.com/maps/search/?api=1&amp;query=37.60765023,-0.97190096", "https://www.google.com/maps/search/?api=1&amp;query=37.60765023,-0.97190096")</f>
      </c>
      <c r="P1411" s="9" t="s">
        <v>1582</v>
      </c>
      <c r="Q1411" s="9" t="s">
        <v>10353</v>
      </c>
    </row>
    <row r="1412" spans="1:17" x14ac:dyDescent="0.25">
      <c r="A1412" s="8" t="s">
        <v>10354</v>
      </c>
      <c r="B1412" s="8" t="s">
        <v>10355</v>
      </c>
      <c r="C1412" s="9" t="s">
        <v>10356</v>
      </c>
      <c r="D1412" s="9" t="s">
        <v>253</v>
      </c>
      <c r="E1412" s="9" t="s">
        <v>10357</v>
      </c>
      <c r="F1412" s="10">
        <v>1.378</v>
      </c>
      <c r="G1412" s="10">
        <v>1.515</v>
      </c>
      <c r="H1412" s="10"/>
      <c r="I1412" s="9" t="s">
        <v>96</v>
      </c>
      <c r="J1412" s="9" t="s">
        <v>10358</v>
      </c>
      <c r="K1412" s="9" t="s">
        <v>10359</v>
      </c>
      <c r="L1412" s="8" t="s">
        <v>10360</v>
      </c>
      <c r="M1412" s="9" t="s">
        <v>49</v>
      </c>
      <c r="N1412" s="9" t="s">
        <v>10361</v>
      </c>
      <c r="O1412" s="9">
        <f>HYPERLINK("https://www.google.com/maps/search/?api=1&amp;query=41.18618459,1.21981647", "https://www.google.com/maps/search/?api=1&amp;query=41.18618459,1.21981647")</f>
      </c>
      <c r="P1412" s="9" t="s">
        <v>1514</v>
      </c>
      <c r="Q1412" s="9" t="s">
        <v>10362</v>
      </c>
    </row>
    <row r="1413" spans="1:17" x14ac:dyDescent="0.25">
      <c r="A1413" s="8" t="s">
        <v>10363</v>
      </c>
      <c r="B1413" s="8" t="s">
        <v>10364</v>
      </c>
      <c r="C1413" s="9" t="s">
        <v>10365</v>
      </c>
      <c r="D1413" s="9" t="s">
        <v>1434</v>
      </c>
      <c r="E1413" s="9" t="s">
        <v>10366</v>
      </c>
      <c r="F1413" s="10">
        <v>1.378</v>
      </c>
      <c r="G1413" s="10">
        <v>1.515</v>
      </c>
      <c r="H1413" s="10"/>
      <c r="I1413" s="9" t="s">
        <v>1434</v>
      </c>
      <c r="J1413" s="9" t="s">
        <v>10367</v>
      </c>
      <c r="K1413" s="9" t="s">
        <v>10368</v>
      </c>
      <c r="L1413" s="8" t="s">
        <v>10369</v>
      </c>
      <c r="M1413" s="9" t="s">
        <v>49</v>
      </c>
      <c r="N1413" s="9" t="s">
        <v>2856</v>
      </c>
      <c r="O1413" s="9">
        <f>HYPERLINK("https://www.google.com/maps/search/?api=1&amp;query=42.3254592,-2.05041926", "https://www.google.com/maps/search/?api=1&amp;query=42.3254592,-2.05041926")</f>
      </c>
      <c r="P1413" s="9" t="s">
        <v>493</v>
      </c>
      <c r="Q1413" s="9" t="s">
        <v>3744</v>
      </c>
    </row>
    <row r="1414" spans="1:17" x14ac:dyDescent="0.25">
      <c r="A1414" s="8" t="s">
        <v>10370</v>
      </c>
      <c r="B1414" s="8" t="s">
        <v>10371</v>
      </c>
      <c r="C1414" s="9" t="s">
        <v>10372</v>
      </c>
      <c r="D1414" s="9" t="s">
        <v>1282</v>
      </c>
      <c r="E1414" s="9" t="s">
        <v>1282</v>
      </c>
      <c r="F1414" s="10">
        <v>1.378</v>
      </c>
      <c r="G1414" s="10">
        <v>1.515</v>
      </c>
      <c r="H1414" s="10"/>
      <c r="I1414" s="9" t="s">
        <v>45</v>
      </c>
      <c r="J1414" s="9" t="s">
        <v>10373</v>
      </c>
      <c r="K1414" s="9" t="s">
        <v>10374</v>
      </c>
      <c r="L1414" s="8" t="s">
        <v>10375</v>
      </c>
      <c r="M1414" s="9" t="s">
        <v>49</v>
      </c>
      <c r="N1414" s="9" t="s">
        <v>66</v>
      </c>
      <c r="O1414" s="9">
        <f>HYPERLINK("https://www.google.com/maps/search/?api=1&amp;query=37.19076265,-3.63640701", "https://www.google.com/maps/search/?api=1&amp;query=37.19076265,-3.63640701")</f>
      </c>
      <c r="P1414" s="9" t="s">
        <v>10376</v>
      </c>
      <c r="Q1414" s="9" t="s">
        <v>10377</v>
      </c>
    </row>
    <row r="1415" spans="1:17" x14ac:dyDescent="0.25">
      <c r="A1415" s="8" t="s">
        <v>10378</v>
      </c>
      <c r="B1415" s="8" t="s">
        <v>10379</v>
      </c>
      <c r="C1415" s="9" t="s">
        <v>10380</v>
      </c>
      <c r="D1415" s="9" t="s">
        <v>344</v>
      </c>
      <c r="E1415" s="9" t="s">
        <v>10381</v>
      </c>
      <c r="F1415" s="10">
        <v>1.378</v>
      </c>
      <c r="G1415" s="10">
        <v>1.515</v>
      </c>
      <c r="H1415" s="10"/>
      <c r="I1415" s="9" t="s">
        <v>140</v>
      </c>
      <c r="J1415" s="9" t="s">
        <v>10382</v>
      </c>
      <c r="K1415" s="9" t="s">
        <v>10383</v>
      </c>
      <c r="L1415" s="8" t="s">
        <v>10384</v>
      </c>
      <c r="M1415" s="9" t="s">
        <v>36</v>
      </c>
      <c r="N1415" s="9" t="s">
        <v>211</v>
      </c>
      <c r="O1415" s="9">
        <f>HYPERLINK("https://www.google.com/maps/search/?api=1&amp;query=43.1303049,-8.53346074", "https://www.google.com/maps/search/?api=1&amp;query=43.1303049,-8.53346074")</f>
      </c>
      <c r="P1415" s="9" t="s">
        <v>617</v>
      </c>
      <c r="Q1415" s="9" t="s">
        <v>6936</v>
      </c>
    </row>
    <row r="1416" spans="1:17" x14ac:dyDescent="0.25">
      <c r="A1416" s="8" t="s">
        <v>10385</v>
      </c>
      <c r="B1416" s="8" t="s">
        <v>10386</v>
      </c>
      <c r="C1416" s="9" t="s">
        <v>10387</v>
      </c>
      <c r="D1416" s="9" t="s">
        <v>106</v>
      </c>
      <c r="E1416" s="9" t="s">
        <v>106</v>
      </c>
      <c r="F1416" s="10">
        <v>1.378</v>
      </c>
      <c r="G1416" s="10">
        <v>1.515</v>
      </c>
      <c r="H1416" s="10"/>
      <c r="I1416" s="9" t="s">
        <v>106</v>
      </c>
      <c r="J1416" s="9" t="s">
        <v>10388</v>
      </c>
      <c r="K1416" s="9" t="s">
        <v>10389</v>
      </c>
      <c r="L1416" s="8" t="s">
        <v>10390</v>
      </c>
      <c r="M1416" s="9" t="s">
        <v>49</v>
      </c>
      <c r="N1416" s="9" t="s">
        <v>37</v>
      </c>
      <c r="O1416" s="9">
        <f>HYPERLINK("https://www.google.com/maps/search/?api=1&amp;query=37.97658015,-1.1334752", "https://www.google.com/maps/search/?api=1&amp;query=37.97658015,-1.1334752")</f>
      </c>
      <c r="P1416" s="9" t="s">
        <v>1250</v>
      </c>
      <c r="Q1416" s="9" t="s">
        <v>1131</v>
      </c>
    </row>
    <row r="1417" spans="1:17" x14ac:dyDescent="0.25">
      <c r="A1417" s="8" t="s">
        <v>10391</v>
      </c>
      <c r="B1417" s="8" t="s">
        <v>10392</v>
      </c>
      <c r="C1417" s="9" t="s">
        <v>10393</v>
      </c>
      <c r="D1417" s="9" t="s">
        <v>177</v>
      </c>
      <c r="E1417" s="9" t="s">
        <v>10394</v>
      </c>
      <c r="F1417" s="10">
        <v>1.378</v>
      </c>
      <c r="G1417" s="10">
        <v>1.515</v>
      </c>
      <c r="H1417" s="10"/>
      <c r="I1417" s="9" t="s">
        <v>74</v>
      </c>
      <c r="J1417" s="9" t="s">
        <v>10395</v>
      </c>
      <c r="K1417" s="9" t="s">
        <v>10396</v>
      </c>
      <c r="L1417" s="8" t="s">
        <v>10397</v>
      </c>
      <c r="M1417" s="9" t="s">
        <v>36</v>
      </c>
      <c r="N1417" s="9" t="s">
        <v>7851</v>
      </c>
      <c r="O1417" s="9">
        <f>HYPERLINK("https://www.google.com/maps/search/?api=1&amp;query=41.28789173,-4.68134729", "https://www.google.com/maps/search/?api=1&amp;query=41.28789173,-4.68134729")</f>
      </c>
      <c r="P1417" s="9" t="s">
        <v>1439</v>
      </c>
      <c r="Q1417" s="9" t="s">
        <v>9899</v>
      </c>
    </row>
    <row r="1418" spans="1:17" x14ac:dyDescent="0.25">
      <c r="A1418" s="8" t="s">
        <v>10398</v>
      </c>
      <c r="B1418" s="8" t="s">
        <v>10399</v>
      </c>
      <c r="C1418" s="9" t="s">
        <v>10400</v>
      </c>
      <c r="D1418" s="9" t="s">
        <v>469</v>
      </c>
      <c r="E1418" s="9" t="s">
        <v>10401</v>
      </c>
      <c r="F1418" s="10">
        <v>1.378</v>
      </c>
      <c r="G1418" s="10">
        <v>1.515</v>
      </c>
      <c r="H1418" s="10"/>
      <c r="I1418" s="9" t="s">
        <v>74</v>
      </c>
      <c r="J1418" s="9" t="s">
        <v>10402</v>
      </c>
      <c r="K1418" s="9" t="s">
        <v>10403</v>
      </c>
      <c r="L1418" s="8" t="s">
        <v>10404</v>
      </c>
      <c r="M1418" s="9" t="s">
        <v>49</v>
      </c>
      <c r="N1418" s="9" t="s">
        <v>211</v>
      </c>
      <c r="O1418" s="9">
        <f>HYPERLINK("https://www.google.com/maps/search/?api=1&amp;query=41.1380127,-5.48864138", "https://www.google.com/maps/search/?api=1&amp;query=41.1380127,-5.48864138")</f>
      </c>
      <c r="P1418" s="9" t="s">
        <v>2594</v>
      </c>
      <c r="Q1418" s="9" t="s">
        <v>2818</v>
      </c>
    </row>
    <row r="1419" spans="1:17" x14ac:dyDescent="0.25">
      <c r="A1419" s="8" t="s">
        <v>10405</v>
      </c>
      <c r="B1419" s="8" t="s">
        <v>10406</v>
      </c>
      <c r="C1419" s="9" t="s">
        <v>10407</v>
      </c>
      <c r="D1419" s="9" t="s">
        <v>444</v>
      </c>
      <c r="E1419" s="9" t="s">
        <v>10408</v>
      </c>
      <c r="F1419" s="10">
        <v>1.378</v>
      </c>
      <c r="G1419" s="10">
        <v>1.515</v>
      </c>
      <c r="H1419" s="10"/>
      <c r="I1419" s="9" t="s">
        <v>444</v>
      </c>
      <c r="J1419" s="9" t="s">
        <v>10409</v>
      </c>
      <c r="K1419" s="9" t="s">
        <v>10410</v>
      </c>
      <c r="L1419" s="8" t="s">
        <v>10411</v>
      </c>
      <c r="M1419" s="9" t="s">
        <v>49</v>
      </c>
      <c r="N1419" s="9" t="s">
        <v>7851</v>
      </c>
      <c r="O1419" s="9">
        <f>HYPERLINK("https://www.google.com/maps/search/?api=1&amp;query=43.33757769,-6.41619505", "https://www.google.com/maps/search/?api=1&amp;query=43.33757769,-6.41619505")</f>
      </c>
      <c r="P1419" s="9" t="s">
        <v>1439</v>
      </c>
      <c r="Q1419" s="9" t="s">
        <v>1131</v>
      </c>
    </row>
    <row r="1420" spans="1:17" x14ac:dyDescent="0.25">
      <c r="A1420" s="8" t="s">
        <v>10412</v>
      </c>
      <c r="B1420" s="8" t="s">
        <v>10413</v>
      </c>
      <c r="C1420" s="9" t="s">
        <v>10414</v>
      </c>
      <c r="D1420" s="9" t="s">
        <v>1617</v>
      </c>
      <c r="E1420" s="9" t="s">
        <v>5878</v>
      </c>
      <c r="F1420" s="10">
        <v>1.378</v>
      </c>
      <c r="G1420" s="10">
        <v>1.515</v>
      </c>
      <c r="H1420" s="10"/>
      <c r="I1420" s="9" t="s">
        <v>292</v>
      </c>
      <c r="J1420" s="9" t="s">
        <v>10415</v>
      </c>
      <c r="K1420" s="9" t="s">
        <v>10416</v>
      </c>
      <c r="L1420" s="8" t="s">
        <v>5881</v>
      </c>
      <c r="M1420" s="9" t="s">
        <v>36</v>
      </c>
      <c r="N1420" s="9" t="s">
        <v>88</v>
      </c>
      <c r="O1420" s="9">
        <f>HYPERLINK("https://www.google.com/maps/search/?api=1&amp;query=42.0339449,0.10556611", "https://www.google.com/maps/search/?api=1&amp;query=42.0339449,0.10556611")</f>
      </c>
      <c r="P1420" s="9" t="s">
        <v>493</v>
      </c>
      <c r="Q1420" s="9" t="s">
        <v>1131</v>
      </c>
    </row>
    <row r="1421" spans="1:17" x14ac:dyDescent="0.25">
      <c r="A1421" s="8" t="s">
        <v>10417</v>
      </c>
      <c r="B1421" s="8" t="s">
        <v>10418</v>
      </c>
      <c r="C1421" s="9" t="s">
        <v>10419</v>
      </c>
      <c r="D1421" s="9" t="s">
        <v>177</v>
      </c>
      <c r="E1421" s="9" t="s">
        <v>10420</v>
      </c>
      <c r="F1421" s="10">
        <v>1.378</v>
      </c>
      <c r="G1421" s="10">
        <v>1.515</v>
      </c>
      <c r="H1421" s="10"/>
      <c r="I1421" s="9" t="s">
        <v>74</v>
      </c>
      <c r="J1421" s="9" t="s">
        <v>10421</v>
      </c>
      <c r="K1421" s="9" t="s">
        <v>10422</v>
      </c>
      <c r="L1421" s="8" t="s">
        <v>10423</v>
      </c>
      <c r="M1421" s="9" t="s">
        <v>36</v>
      </c>
      <c r="N1421" s="9" t="s">
        <v>211</v>
      </c>
      <c r="O1421" s="9">
        <f>HYPERLINK("https://www.google.com/maps/search/?api=1&amp;query=41.50857541,-4.69045642", "https://www.google.com/maps/search/?api=1&amp;query=41.50857541,-4.69045642")</f>
      </c>
      <c r="P1421" s="9" t="s">
        <v>880</v>
      </c>
      <c r="Q1421" s="9" t="s">
        <v>10424</v>
      </c>
    </row>
    <row r="1422" spans="1:17" x14ac:dyDescent="0.25">
      <c r="A1422" s="8" t="s">
        <v>10425</v>
      </c>
      <c r="B1422" s="8" t="s">
        <v>10426</v>
      </c>
      <c r="C1422" s="9" t="s">
        <v>10427</v>
      </c>
      <c r="D1422" s="9" t="s">
        <v>106</v>
      </c>
      <c r="E1422" s="9" t="s">
        <v>2424</v>
      </c>
      <c r="F1422" s="10">
        <v>1.378</v>
      </c>
      <c r="G1422" s="10">
        <v>1.515</v>
      </c>
      <c r="H1422" s="10"/>
      <c r="I1422" s="9" t="s">
        <v>106</v>
      </c>
      <c r="J1422" s="9" t="s">
        <v>10428</v>
      </c>
      <c r="K1422" s="9" t="s">
        <v>10429</v>
      </c>
      <c r="L1422" s="8" t="s">
        <v>10430</v>
      </c>
      <c r="M1422" s="9" t="s">
        <v>100</v>
      </c>
      <c r="N1422" s="9" t="s">
        <v>645</v>
      </c>
      <c r="O1422" s="9">
        <f>HYPERLINK("https://www.google.com/maps/search/?api=1&amp;query=37.62198279,-0.99869044", "https://www.google.com/maps/search/?api=1&amp;query=37.62198279,-0.99869044")</f>
      </c>
      <c r="P1422" s="9" t="s">
        <v>1178</v>
      </c>
      <c r="Q1422" s="9" t="s">
        <v>9438</v>
      </c>
    </row>
    <row r="1423" spans="1:17" x14ac:dyDescent="0.25">
      <c r="A1423" s="8" t="s">
        <v>10431</v>
      </c>
      <c r="B1423" s="8" t="s">
        <v>10432</v>
      </c>
      <c r="C1423" s="9" t="s">
        <v>10433</v>
      </c>
      <c r="D1423" s="9" t="s">
        <v>280</v>
      </c>
      <c r="E1423" s="9" t="s">
        <v>3541</v>
      </c>
      <c r="F1423" s="10">
        <v>1.378</v>
      </c>
      <c r="G1423" s="10">
        <v>1.515</v>
      </c>
      <c r="H1423" s="10"/>
      <c r="I1423" s="9" t="s">
        <v>118</v>
      </c>
      <c r="J1423" s="9" t="s">
        <v>10434</v>
      </c>
      <c r="K1423" s="9" t="s">
        <v>10435</v>
      </c>
      <c r="L1423" s="8" t="s">
        <v>10436</v>
      </c>
      <c r="M1423" s="9" t="s">
        <v>49</v>
      </c>
      <c r="N1423" s="9" t="s">
        <v>37</v>
      </c>
      <c r="O1423" s="9">
        <f>HYPERLINK("https://www.google.com/maps/search/?api=1&amp;query=43.28603434,-1.98413233", "https://www.google.com/maps/search/?api=1&amp;query=43.28603434,-1.98413233")</f>
      </c>
      <c r="P1423" s="9" t="s">
        <v>10437</v>
      </c>
      <c r="Q1423" s="9" t="s">
        <v>10438</v>
      </c>
    </row>
    <row r="1424" spans="1:17" x14ac:dyDescent="0.25">
      <c r="A1424" s="8" t="s">
        <v>10439</v>
      </c>
      <c r="B1424" s="8" t="s">
        <v>10440</v>
      </c>
      <c r="C1424" s="9" t="s">
        <v>10441</v>
      </c>
      <c r="D1424" s="9" t="s">
        <v>280</v>
      </c>
      <c r="E1424" s="9" t="s">
        <v>10442</v>
      </c>
      <c r="F1424" s="10">
        <v>1.378</v>
      </c>
      <c r="G1424" s="10">
        <v>1.515</v>
      </c>
      <c r="H1424" s="10"/>
      <c r="I1424" s="9" t="s">
        <v>118</v>
      </c>
      <c r="J1424" s="9" t="s">
        <v>10443</v>
      </c>
      <c r="K1424" s="9" t="s">
        <v>10444</v>
      </c>
      <c r="L1424" s="8" t="s">
        <v>10445</v>
      </c>
      <c r="M1424" s="9" t="s">
        <v>49</v>
      </c>
      <c r="N1424" s="9" t="s">
        <v>8406</v>
      </c>
      <c r="O1424" s="9">
        <f>HYPERLINK("https://www.google.com/maps/search/?api=1&amp;query=43.0544782,-2.43341772", "https://www.google.com/maps/search/?api=1&amp;query=43.0544782,-2.43341772")</f>
      </c>
      <c r="P1424" s="9" t="s">
        <v>906</v>
      </c>
      <c r="Q1424" s="9" t="s">
        <v>10446</v>
      </c>
    </row>
    <row r="1425" spans="1:17" x14ac:dyDescent="0.25">
      <c r="A1425" s="8" t="s">
        <v>10447</v>
      </c>
      <c r="B1425" s="8" t="s">
        <v>10448</v>
      </c>
      <c r="C1425" s="9" t="s">
        <v>10449</v>
      </c>
      <c r="D1425" s="9" t="s">
        <v>344</v>
      </c>
      <c r="E1425" s="9" t="s">
        <v>4108</v>
      </c>
      <c r="F1425" s="10">
        <v>1.378</v>
      </c>
      <c r="G1425" s="10">
        <v>1.515</v>
      </c>
      <c r="H1425" s="10"/>
      <c r="I1425" s="9" t="s">
        <v>140</v>
      </c>
      <c r="J1425" s="9" t="s">
        <v>10450</v>
      </c>
      <c r="K1425" s="9" t="s">
        <v>10451</v>
      </c>
      <c r="L1425" s="8" t="s">
        <v>4111</v>
      </c>
      <c r="M1425" s="9" t="s">
        <v>49</v>
      </c>
      <c r="N1425" s="9" t="s">
        <v>211</v>
      </c>
      <c r="O1425" s="9">
        <f>HYPERLINK("https://www.google.com/maps/search/?api=1&amp;query=43.51216998,-8.21963315", "https://www.google.com/maps/search/?api=1&amp;query=43.51216998,-8.21963315")</f>
      </c>
      <c r="P1425" s="9" t="s">
        <v>3400</v>
      </c>
      <c r="Q1425" s="9" t="s">
        <v>7319</v>
      </c>
    </row>
    <row r="1426" spans="1:17" x14ac:dyDescent="0.25">
      <c r="A1426" s="8" t="s">
        <v>10452</v>
      </c>
      <c r="B1426" s="8" t="s">
        <v>10453</v>
      </c>
      <c r="C1426" s="9" t="s">
        <v>10454</v>
      </c>
      <c r="D1426" s="9" t="s">
        <v>61</v>
      </c>
      <c r="E1426" s="9" t="s">
        <v>10455</v>
      </c>
      <c r="F1426" s="10">
        <v>1.378</v>
      </c>
      <c r="G1426" s="10">
        <v>1.515</v>
      </c>
      <c r="H1426" s="10"/>
      <c r="I1426" s="9" t="s">
        <v>45</v>
      </c>
      <c r="J1426" s="9" t="s">
        <v>10456</v>
      </c>
      <c r="K1426" s="9" t="s">
        <v>10457</v>
      </c>
      <c r="L1426" s="8" t="s">
        <v>10458</v>
      </c>
      <c r="M1426" s="9" t="s">
        <v>49</v>
      </c>
      <c r="N1426" s="9" t="s">
        <v>10459</v>
      </c>
      <c r="O1426" s="9">
        <f>HYPERLINK("https://www.google.com/maps/search/?api=1&amp;query=37.66991408,-5.98823245", "https://www.google.com/maps/search/?api=1&amp;query=37.66991408,-5.98823245")</f>
      </c>
      <c r="P1426" s="9" t="s">
        <v>7991</v>
      </c>
      <c r="Q1426" s="9" t="s">
        <v>1092</v>
      </c>
    </row>
    <row r="1427" spans="1:17" x14ac:dyDescent="0.25">
      <c r="A1427" s="8" t="s">
        <v>10460</v>
      </c>
      <c r="B1427" s="8" t="s">
        <v>10461</v>
      </c>
      <c r="C1427" s="9" t="s">
        <v>10462</v>
      </c>
      <c r="D1427" s="9" t="s">
        <v>631</v>
      </c>
      <c r="E1427" s="9" t="s">
        <v>10463</v>
      </c>
      <c r="F1427" s="10">
        <v>1.378</v>
      </c>
      <c r="G1427" s="10">
        <v>1.515</v>
      </c>
      <c r="H1427" s="10"/>
      <c r="I1427" s="9" t="s">
        <v>45</v>
      </c>
      <c r="J1427" s="9" t="s">
        <v>10464</v>
      </c>
      <c r="K1427" s="9" t="s">
        <v>10465</v>
      </c>
      <c r="L1427" s="8" t="s">
        <v>10466</v>
      </c>
      <c r="M1427" s="9" t="s">
        <v>49</v>
      </c>
      <c r="N1427" s="9" t="s">
        <v>37</v>
      </c>
      <c r="O1427" s="9">
        <f>HYPERLINK("https://www.google.com/maps/search/?api=1&amp;query=37.64336328,-4.73774932", "https://www.google.com/maps/search/?api=1&amp;query=37.64336328,-4.73774932")</f>
      </c>
      <c r="P1427" s="9" t="s">
        <v>50</v>
      </c>
      <c r="Q1427" s="9" t="s">
        <v>7794</v>
      </c>
    </row>
    <row r="1428" spans="1:17" x14ac:dyDescent="0.25">
      <c r="A1428" s="8" t="s">
        <v>10467</v>
      </c>
      <c r="B1428" s="8" t="s">
        <v>10468</v>
      </c>
      <c r="C1428" s="9" t="s">
        <v>10469</v>
      </c>
      <c r="D1428" s="9" t="s">
        <v>307</v>
      </c>
      <c r="E1428" s="9" t="s">
        <v>10470</v>
      </c>
      <c r="F1428" s="10">
        <v>1.378</v>
      </c>
      <c r="G1428" s="10">
        <v>1.515</v>
      </c>
      <c r="H1428" s="10"/>
      <c r="I1428" s="9" t="s">
        <v>74</v>
      </c>
      <c r="J1428" s="9" t="s">
        <v>10471</v>
      </c>
      <c r="K1428" s="9" t="s">
        <v>10472</v>
      </c>
      <c r="L1428" s="8" t="s">
        <v>10473</v>
      </c>
      <c r="M1428" s="9" t="s">
        <v>49</v>
      </c>
      <c r="N1428" s="9" t="s">
        <v>10474</v>
      </c>
      <c r="O1428" s="9">
        <f>HYPERLINK("https://www.google.com/maps/search/?api=1&amp;query=41.17136323,-5.3685753", "https://www.google.com/maps/search/?api=1&amp;query=41.17136323,-5.3685753")</f>
      </c>
      <c r="P1428" s="9" t="s">
        <v>880</v>
      </c>
      <c r="Q1428" s="9" t="s">
        <v>1131</v>
      </c>
    </row>
    <row r="1429" spans="1:17" x14ac:dyDescent="0.25">
      <c r="A1429" s="8" t="s">
        <v>10475</v>
      </c>
      <c r="B1429" s="8" t="s">
        <v>10476</v>
      </c>
      <c r="C1429" s="9" t="s">
        <v>10477</v>
      </c>
      <c r="D1429" s="9" t="s">
        <v>1192</v>
      </c>
      <c r="E1429" s="9" t="s">
        <v>1192</v>
      </c>
      <c r="F1429" s="10">
        <v>1.378</v>
      </c>
      <c r="G1429" s="10">
        <v>1.515</v>
      </c>
      <c r="H1429" s="10"/>
      <c r="I1429" s="9" t="s">
        <v>168</v>
      </c>
      <c r="J1429" s="9" t="s">
        <v>10478</v>
      </c>
      <c r="K1429" s="9" t="s">
        <v>10479</v>
      </c>
      <c r="L1429" s="8" t="s">
        <v>2683</v>
      </c>
      <c r="M1429" s="9" t="s">
        <v>36</v>
      </c>
      <c r="N1429" s="9" t="s">
        <v>10480</v>
      </c>
      <c r="O1429" s="9">
        <f>HYPERLINK("https://www.google.com/maps/search/?api=1&amp;query=38.97542184,-3.95456419", "https://www.google.com/maps/search/?api=1&amp;query=38.97542184,-3.95456419")</f>
      </c>
      <c r="P1429" s="9" t="s">
        <v>646</v>
      </c>
      <c r="Q1429" s="9" t="s">
        <v>10481</v>
      </c>
    </row>
    <row r="1430" spans="1:17" x14ac:dyDescent="0.25">
      <c r="A1430" s="8" t="s">
        <v>10482</v>
      </c>
      <c r="B1430" s="8" t="s">
        <v>10483</v>
      </c>
      <c r="C1430" s="9" t="s">
        <v>10484</v>
      </c>
      <c r="D1430" s="9" t="s">
        <v>177</v>
      </c>
      <c r="E1430" s="9" t="s">
        <v>10485</v>
      </c>
      <c r="F1430" s="10">
        <v>1.378</v>
      </c>
      <c r="G1430" s="10">
        <v>1.515</v>
      </c>
      <c r="H1430" s="10"/>
      <c r="I1430" s="9" t="s">
        <v>74</v>
      </c>
      <c r="J1430" s="9" t="s">
        <v>10486</v>
      </c>
      <c r="K1430" s="9" t="s">
        <v>10487</v>
      </c>
      <c r="L1430" s="8" t="s">
        <v>10488</v>
      </c>
      <c r="M1430" s="9" t="s">
        <v>49</v>
      </c>
      <c r="N1430" s="9" t="s">
        <v>10489</v>
      </c>
      <c r="O1430" s="9">
        <f>HYPERLINK("https://www.google.com/maps/search/?api=1&amp;query=42.09806049,-5.03242053", "https://www.google.com/maps/search/?api=1&amp;query=42.09806049,-5.03242053")</f>
      </c>
      <c r="P1430" s="9" t="s">
        <v>8200</v>
      </c>
      <c r="Q1430" s="9" t="s">
        <v>2998</v>
      </c>
    </row>
    <row r="1431" spans="1:17" x14ac:dyDescent="0.25">
      <c r="A1431" s="8" t="s">
        <v>10490</v>
      </c>
      <c r="B1431" s="8" t="s">
        <v>10491</v>
      </c>
      <c r="C1431" s="9" t="s">
        <v>10492</v>
      </c>
      <c r="D1431" s="9" t="s">
        <v>808</v>
      </c>
      <c r="E1431" s="9" t="s">
        <v>10493</v>
      </c>
      <c r="F1431" s="10">
        <v>1.378</v>
      </c>
      <c r="G1431" s="10">
        <v>1.515</v>
      </c>
      <c r="H1431" s="10"/>
      <c r="I1431" s="9" t="s">
        <v>808</v>
      </c>
      <c r="J1431" s="9" t="s">
        <v>10494</v>
      </c>
      <c r="K1431" s="9" t="s">
        <v>10495</v>
      </c>
      <c r="L1431" s="8" t="s">
        <v>10496</v>
      </c>
      <c r="M1431" s="9" t="s">
        <v>36</v>
      </c>
      <c r="N1431" s="9" t="s">
        <v>10497</v>
      </c>
      <c r="O1431" s="9">
        <f>HYPERLINK("https://www.google.com/maps/search/?api=1&amp;query=43.33271236,-4.06584058", "https://www.google.com/maps/search/?api=1&amp;query=43.33271236,-4.06584058")</f>
      </c>
      <c r="P1431" s="9" t="s">
        <v>4492</v>
      </c>
      <c r="Q1431" s="9" t="s">
        <v>10498</v>
      </c>
    </row>
    <row r="1432" spans="1:17" x14ac:dyDescent="0.25">
      <c r="A1432" s="8" t="s">
        <v>10499</v>
      </c>
      <c r="B1432" s="8" t="s">
        <v>10500</v>
      </c>
      <c r="C1432" s="9" t="s">
        <v>10501</v>
      </c>
      <c r="D1432" s="9" t="s">
        <v>516</v>
      </c>
      <c r="E1432" s="9" t="s">
        <v>10502</v>
      </c>
      <c r="F1432" s="10">
        <v>1.378</v>
      </c>
      <c r="G1432" s="10">
        <v>1.515</v>
      </c>
      <c r="H1432" s="10"/>
      <c r="I1432" s="9" t="s">
        <v>140</v>
      </c>
      <c r="J1432" s="9" t="s">
        <v>10503</v>
      </c>
      <c r="K1432" s="9" t="s">
        <v>10504</v>
      </c>
      <c r="L1432" s="8" t="s">
        <v>10505</v>
      </c>
      <c r="M1432" s="9" t="s">
        <v>36</v>
      </c>
      <c r="N1432" s="9" t="s">
        <v>211</v>
      </c>
      <c r="O1432" s="9">
        <f>HYPERLINK("https://www.google.com/maps/search/?api=1&amp;query=43.53835413,-7.05428076", "https://www.google.com/maps/search/?api=1&amp;query=43.53835413,-7.05428076")</f>
      </c>
      <c r="P1432" s="9" t="s">
        <v>1356</v>
      </c>
      <c r="Q1432" s="9" t="s">
        <v>6634</v>
      </c>
    </row>
    <row r="1433" spans="1:17" x14ac:dyDescent="0.25">
      <c r="A1433" s="8" t="s">
        <v>10506</v>
      </c>
      <c r="B1433" s="8" t="s">
        <v>10507</v>
      </c>
      <c r="C1433" s="9" t="s">
        <v>10508</v>
      </c>
      <c r="D1433" s="9" t="s">
        <v>1282</v>
      </c>
      <c r="E1433" s="9" t="s">
        <v>10509</v>
      </c>
      <c r="F1433" s="10">
        <v>1.378</v>
      </c>
      <c r="G1433" s="10">
        <v>1.515</v>
      </c>
      <c r="H1433" s="10"/>
      <c r="I1433" s="9" t="s">
        <v>45</v>
      </c>
      <c r="J1433" s="9" t="s">
        <v>10510</v>
      </c>
      <c r="K1433" s="9" t="s">
        <v>10511</v>
      </c>
      <c r="L1433" s="8" t="s">
        <v>10512</v>
      </c>
      <c r="M1433" s="9" t="s">
        <v>49</v>
      </c>
      <c r="N1433" s="9" t="s">
        <v>5787</v>
      </c>
      <c r="O1433" s="9">
        <f>HYPERLINK("https://www.google.com/maps/search/?api=1&amp;query=37.14742008,-3.65451007", "https://www.google.com/maps/search/?api=1&amp;query=37.14742008,-3.65451007")</f>
      </c>
      <c r="P1433" s="9" t="s">
        <v>231</v>
      </c>
      <c r="Q1433" s="9" t="s">
        <v>6551</v>
      </c>
    </row>
    <row r="1434" spans="1:17" x14ac:dyDescent="0.25">
      <c r="A1434" s="8" t="s">
        <v>10513</v>
      </c>
      <c r="B1434" s="8" t="s">
        <v>10514</v>
      </c>
      <c r="C1434" s="9" t="s">
        <v>4526</v>
      </c>
      <c r="D1434" s="9" t="s">
        <v>83</v>
      </c>
      <c r="E1434" s="9" t="s">
        <v>3085</v>
      </c>
      <c r="F1434" s="10">
        <v>1.378</v>
      </c>
      <c r="G1434" s="10">
        <v>1.515</v>
      </c>
      <c r="H1434" s="10"/>
      <c r="I1434" s="9" t="s">
        <v>83</v>
      </c>
      <c r="J1434" s="9" t="s">
        <v>10515</v>
      </c>
      <c r="K1434" s="9" t="s">
        <v>10516</v>
      </c>
      <c r="L1434" s="8" t="s">
        <v>3088</v>
      </c>
      <c r="M1434" s="9" t="s">
        <v>100</v>
      </c>
      <c r="N1434" s="9" t="s">
        <v>88</v>
      </c>
      <c r="O1434" s="9">
        <f>HYPERLINK("https://www.google.com/maps/search/?api=1&amp;query=40.21837289,-3.68526734", "https://www.google.com/maps/search/?api=1&amp;query=40.21837289,-3.68526734")</f>
      </c>
      <c r="P1434" s="9" t="s">
        <v>172</v>
      </c>
      <c r="Q1434" s="9" t="s">
        <v>874</v>
      </c>
    </row>
    <row r="1435" spans="1:17" x14ac:dyDescent="0.25">
      <c r="A1435" s="8" t="s">
        <v>10517</v>
      </c>
      <c r="B1435" s="8" t="s">
        <v>10518</v>
      </c>
      <c r="C1435" s="9" t="s">
        <v>10519</v>
      </c>
      <c r="D1435" s="9" t="s">
        <v>138</v>
      </c>
      <c r="E1435" s="9" t="s">
        <v>10520</v>
      </c>
      <c r="F1435" s="10">
        <v>1.378</v>
      </c>
      <c r="G1435" s="10">
        <v>1.515</v>
      </c>
      <c r="H1435" s="10"/>
      <c r="I1435" s="9" t="s">
        <v>140</v>
      </c>
      <c r="J1435" s="9" t="s">
        <v>10521</v>
      </c>
      <c r="K1435" s="9" t="s">
        <v>10522</v>
      </c>
      <c r="L1435" s="8" t="s">
        <v>10523</v>
      </c>
      <c r="M1435" s="9" t="s">
        <v>49</v>
      </c>
      <c r="N1435" s="9" t="s">
        <v>211</v>
      </c>
      <c r="O1435" s="9">
        <f>HYPERLINK("https://www.google.com/maps/search/?api=1&amp;query=42.79342595,-8.16637158", "https://www.google.com/maps/search/?api=1&amp;query=42.79342595,-8.16637158")</f>
      </c>
      <c r="P1435" s="9" t="s">
        <v>1927</v>
      </c>
      <c r="Q1435" s="9" t="s">
        <v>10524</v>
      </c>
    </row>
    <row r="1436" spans="1:17" x14ac:dyDescent="0.25">
      <c r="A1436" s="8" t="s">
        <v>10525</v>
      </c>
      <c r="B1436" s="8" t="s">
        <v>10526</v>
      </c>
      <c r="C1436" s="9" t="s">
        <v>10527</v>
      </c>
      <c r="D1436" s="9" t="s">
        <v>197</v>
      </c>
      <c r="E1436" s="9" t="s">
        <v>197</v>
      </c>
      <c r="F1436" s="10">
        <v>1.378</v>
      </c>
      <c r="G1436" s="10">
        <v>1.515</v>
      </c>
      <c r="H1436" s="10"/>
      <c r="I1436" s="9" t="s">
        <v>168</v>
      </c>
      <c r="J1436" s="9" t="s">
        <v>10528</v>
      </c>
      <c r="K1436" s="9" t="s">
        <v>10529</v>
      </c>
      <c r="L1436" s="8" t="s">
        <v>10530</v>
      </c>
      <c r="M1436" s="9" t="s">
        <v>49</v>
      </c>
      <c r="N1436" s="9" t="s">
        <v>7851</v>
      </c>
      <c r="O1436" s="9">
        <f>HYPERLINK("https://www.google.com/maps/search/?api=1&amp;query=39.86254704,-4.01424141", "https://www.google.com/maps/search/?api=1&amp;query=39.86254704,-4.01424141")</f>
      </c>
      <c r="P1436" s="9" t="s">
        <v>7943</v>
      </c>
      <c r="Q1436" s="9" t="s">
        <v>1131</v>
      </c>
    </row>
    <row r="1437" spans="1:17" x14ac:dyDescent="0.25">
      <c r="A1437" s="8" t="s">
        <v>10531</v>
      </c>
      <c r="B1437" s="8" t="s">
        <v>10532</v>
      </c>
      <c r="C1437" s="9" t="s">
        <v>10533</v>
      </c>
      <c r="D1437" s="9" t="s">
        <v>253</v>
      </c>
      <c r="E1437" s="9" t="s">
        <v>5000</v>
      </c>
      <c r="F1437" s="10">
        <v>1.378</v>
      </c>
      <c r="G1437" s="10">
        <v>1.515</v>
      </c>
      <c r="H1437" s="10"/>
      <c r="I1437" s="9" t="s">
        <v>96</v>
      </c>
      <c r="J1437" s="9" t="s">
        <v>10534</v>
      </c>
      <c r="K1437" s="9" t="s">
        <v>10535</v>
      </c>
      <c r="L1437" s="8" t="s">
        <v>5003</v>
      </c>
      <c r="M1437" s="9" t="s">
        <v>49</v>
      </c>
      <c r="N1437" s="9" t="s">
        <v>10536</v>
      </c>
      <c r="O1437" s="9">
        <f>HYPERLINK("https://www.google.com/maps/search/?api=1&amp;query=40.70545251,0.57971943", "https://www.google.com/maps/search/?api=1&amp;query=40.70545251,0.57971943")</f>
      </c>
      <c r="P1437" s="9" t="s">
        <v>880</v>
      </c>
      <c r="Q1437" s="9" t="s">
        <v>10537</v>
      </c>
    </row>
    <row r="1438" spans="1:17" x14ac:dyDescent="0.25">
      <c r="A1438" s="8" t="s">
        <v>10538</v>
      </c>
      <c r="B1438" s="8" t="s">
        <v>10539</v>
      </c>
      <c r="C1438" s="9" t="s">
        <v>10540</v>
      </c>
      <c r="D1438" s="9" t="s">
        <v>290</v>
      </c>
      <c r="E1438" s="9" t="s">
        <v>10541</v>
      </c>
      <c r="F1438" s="10">
        <v>1.378</v>
      </c>
      <c r="G1438" s="10">
        <v>1.515</v>
      </c>
      <c r="H1438" s="10"/>
      <c r="I1438" s="9" t="s">
        <v>292</v>
      </c>
      <c r="J1438" s="9" t="s">
        <v>10542</v>
      </c>
      <c r="K1438" s="9" t="s">
        <v>10543</v>
      </c>
      <c r="L1438" s="8" t="s">
        <v>10544</v>
      </c>
      <c r="M1438" s="9" t="s">
        <v>49</v>
      </c>
      <c r="N1438" s="9" t="s">
        <v>10545</v>
      </c>
      <c r="O1438" s="9">
        <f>HYPERLINK("https://www.google.com/maps/search/?api=1&amp;query=40.91255264,-1.29879551", "https://www.google.com/maps/search/?api=1&amp;query=40.91255264,-1.29879551")</f>
      </c>
      <c r="P1438" s="9" t="s">
        <v>2213</v>
      </c>
      <c r="Q1438" s="9" t="s">
        <v>10546</v>
      </c>
    </row>
    <row r="1439" spans="1:17" x14ac:dyDescent="0.25">
      <c r="A1439" s="8" t="s">
        <v>10547</v>
      </c>
      <c r="B1439" s="8" t="s">
        <v>10548</v>
      </c>
      <c r="C1439" s="9" t="s">
        <v>10549</v>
      </c>
      <c r="D1439" s="9" t="s">
        <v>106</v>
      </c>
      <c r="E1439" s="9" t="s">
        <v>10550</v>
      </c>
      <c r="F1439" s="10">
        <v>1.378</v>
      </c>
      <c r="G1439" s="10">
        <v>1.515</v>
      </c>
      <c r="H1439" s="10"/>
      <c r="I1439" s="9" t="s">
        <v>106</v>
      </c>
      <c r="J1439" s="9" t="s">
        <v>10551</v>
      </c>
      <c r="K1439" s="9" t="s">
        <v>10552</v>
      </c>
      <c r="L1439" s="8" t="s">
        <v>10553</v>
      </c>
      <c r="M1439" s="9" t="s">
        <v>49</v>
      </c>
      <c r="N1439" s="9" t="s">
        <v>88</v>
      </c>
      <c r="O1439" s="9">
        <f>HYPERLINK("https://www.google.com/maps/search/?api=1&amp;query=37.9988568,-1.0865568", "https://www.google.com/maps/search/?api=1&amp;query=37.9988568,-1.0865568")</f>
      </c>
      <c r="P1439" s="9" t="s">
        <v>9498</v>
      </c>
      <c r="Q1439" s="9" t="s">
        <v>286</v>
      </c>
    </row>
    <row r="1440" spans="1:17" x14ac:dyDescent="0.25">
      <c r="A1440" s="8" t="s">
        <v>10554</v>
      </c>
      <c r="B1440" s="8" t="s">
        <v>10555</v>
      </c>
      <c r="C1440" s="9" t="s">
        <v>10556</v>
      </c>
      <c r="D1440" s="9" t="s">
        <v>1282</v>
      </c>
      <c r="E1440" s="9" t="s">
        <v>10557</v>
      </c>
      <c r="F1440" s="10">
        <v>1.378</v>
      </c>
      <c r="G1440" s="10">
        <v>1.515</v>
      </c>
      <c r="H1440" s="10"/>
      <c r="I1440" s="9" t="s">
        <v>45</v>
      </c>
      <c r="J1440" s="9" t="s">
        <v>10558</v>
      </c>
      <c r="K1440" s="9" t="s">
        <v>10559</v>
      </c>
      <c r="L1440" s="8" t="s">
        <v>10560</v>
      </c>
      <c r="M1440" s="9" t="s">
        <v>49</v>
      </c>
      <c r="N1440" s="9" t="s">
        <v>211</v>
      </c>
      <c r="O1440" s="9">
        <f>HYPERLINK("https://www.google.com/maps/search/?api=1&amp;query=37.13203326,-3.58671342", "https://www.google.com/maps/search/?api=1&amp;query=37.13203326,-3.58671342")</f>
      </c>
      <c r="P1440" s="9" t="s">
        <v>1010</v>
      </c>
      <c r="Q1440" s="9" t="s">
        <v>112</v>
      </c>
    </row>
    <row r="1441" spans="1:17" x14ac:dyDescent="0.25">
      <c r="A1441" s="8" t="s">
        <v>10561</v>
      </c>
      <c r="B1441" s="8" t="s">
        <v>10562</v>
      </c>
      <c r="C1441" s="9" t="s">
        <v>10563</v>
      </c>
      <c r="D1441" s="9" t="s">
        <v>116</v>
      </c>
      <c r="E1441" s="9" t="s">
        <v>3448</v>
      </c>
      <c r="F1441" s="10">
        <v>1.378</v>
      </c>
      <c r="G1441" s="10">
        <v>1.515</v>
      </c>
      <c r="H1441" s="10"/>
      <c r="I1441" s="9" t="s">
        <v>118</v>
      </c>
      <c r="J1441" s="9" t="s">
        <v>10564</v>
      </c>
      <c r="K1441" s="9" t="s">
        <v>10565</v>
      </c>
      <c r="L1441" s="8" t="s">
        <v>3451</v>
      </c>
      <c r="M1441" s="9" t="s">
        <v>49</v>
      </c>
      <c r="N1441" s="9" t="s">
        <v>10566</v>
      </c>
      <c r="O1441" s="9">
        <f>HYPERLINK("https://www.google.com/maps/search/?api=1&amp;query=43.31289874,-3.01036379", "https://www.google.com/maps/search/?api=1&amp;query=43.31289874,-3.01036379")</f>
      </c>
      <c r="P1441" s="9" t="s">
        <v>705</v>
      </c>
      <c r="Q1441" s="9" t="s">
        <v>10567</v>
      </c>
    </row>
    <row r="1442" spans="1:17" x14ac:dyDescent="0.25">
      <c r="A1442" s="8" t="s">
        <v>10568</v>
      </c>
      <c r="B1442" s="8" t="s">
        <v>10569</v>
      </c>
      <c r="C1442" s="9" t="s">
        <v>10570</v>
      </c>
      <c r="D1442" s="9" t="s">
        <v>106</v>
      </c>
      <c r="E1442" s="9" t="s">
        <v>10571</v>
      </c>
      <c r="F1442" s="10">
        <v>1.378</v>
      </c>
      <c r="G1442" s="10">
        <v>1.515</v>
      </c>
      <c r="H1442" s="10"/>
      <c r="I1442" s="9" t="s">
        <v>106</v>
      </c>
      <c r="J1442" s="9" t="s">
        <v>10572</v>
      </c>
      <c r="K1442" s="9" t="s">
        <v>10573</v>
      </c>
      <c r="L1442" s="8" t="s">
        <v>10574</v>
      </c>
      <c r="M1442" s="9" t="s">
        <v>49</v>
      </c>
      <c r="N1442" s="9" t="s">
        <v>7745</v>
      </c>
      <c r="O1442" s="9">
        <f>HYPERLINK("https://www.google.com/maps/search/?api=1&amp;query=37.71772289,-1.41590856", "https://www.google.com/maps/search/?api=1&amp;query=37.71772289,-1.41590856")</f>
      </c>
      <c r="P1442" s="9" t="s">
        <v>5394</v>
      </c>
      <c r="Q1442" s="9" t="s">
        <v>10575</v>
      </c>
    </row>
    <row r="1443" spans="1:17" x14ac:dyDescent="0.25">
      <c r="A1443" s="8" t="s">
        <v>10576</v>
      </c>
      <c r="B1443" s="8" t="s">
        <v>10577</v>
      </c>
      <c r="C1443" s="9" t="s">
        <v>10578</v>
      </c>
      <c r="D1443" s="9" t="s">
        <v>444</v>
      </c>
      <c r="E1443" s="9" t="s">
        <v>844</v>
      </c>
      <c r="F1443" s="10">
        <v>1.378</v>
      </c>
      <c r="G1443" s="10">
        <v>1.515</v>
      </c>
      <c r="H1443" s="10"/>
      <c r="I1443" s="9" t="s">
        <v>444</v>
      </c>
      <c r="J1443" s="9" t="s">
        <v>10579</v>
      </c>
      <c r="K1443" s="9" t="s">
        <v>10580</v>
      </c>
      <c r="L1443" s="8" t="s">
        <v>10581</v>
      </c>
      <c r="M1443" s="9" t="s">
        <v>49</v>
      </c>
      <c r="N1443" s="9" t="s">
        <v>3034</v>
      </c>
      <c r="O1443" s="9">
        <f>HYPERLINK("https://www.google.com/maps/search/?api=1&amp;query=43.53434971,-5.66848873", "https://www.google.com/maps/search/?api=1&amp;query=43.53434971,-5.66848873")</f>
      </c>
      <c r="P1443" s="9" t="s">
        <v>521</v>
      </c>
      <c r="Q1443" s="9" t="s">
        <v>1131</v>
      </c>
    </row>
    <row r="1444" spans="1:17" x14ac:dyDescent="0.25">
      <c r="A1444" s="8" t="s">
        <v>10582</v>
      </c>
      <c r="B1444" s="8" t="s">
        <v>10583</v>
      </c>
      <c r="C1444" s="9" t="s">
        <v>10584</v>
      </c>
      <c r="D1444" s="9" t="s">
        <v>138</v>
      </c>
      <c r="E1444" s="9" t="s">
        <v>10585</v>
      </c>
      <c r="F1444" s="10">
        <v>1.378</v>
      </c>
      <c r="G1444" s="10">
        <v>1.515</v>
      </c>
      <c r="H1444" s="10"/>
      <c r="I1444" s="9" t="s">
        <v>140</v>
      </c>
      <c r="J1444" s="9" t="s">
        <v>10586</v>
      </c>
      <c r="K1444" s="9" t="s">
        <v>10587</v>
      </c>
      <c r="L1444" s="8" t="s">
        <v>10588</v>
      </c>
      <c r="M1444" s="9" t="s">
        <v>49</v>
      </c>
      <c r="N1444" s="9" t="s">
        <v>122</v>
      </c>
      <c r="O1444" s="9">
        <f>HYPERLINK("https://www.google.com/maps/search/?api=1&amp;query=42.09207821,-8.42283954", "https://www.google.com/maps/search/?api=1&amp;query=42.09207821,-8.42283954")</f>
      </c>
      <c r="P1444" s="9" t="s">
        <v>965</v>
      </c>
      <c r="Q1444" s="9" t="s">
        <v>6009</v>
      </c>
    </row>
    <row r="1445" spans="1:17" x14ac:dyDescent="0.25">
      <c r="A1445" s="8" t="s">
        <v>10589</v>
      </c>
      <c r="B1445" s="8" t="s">
        <v>10590</v>
      </c>
      <c r="C1445" s="9" t="s">
        <v>9136</v>
      </c>
      <c r="D1445" s="9" t="s">
        <v>280</v>
      </c>
      <c r="E1445" s="9" t="s">
        <v>2606</v>
      </c>
      <c r="F1445" s="10">
        <v>1.378</v>
      </c>
      <c r="G1445" s="10">
        <v>1.515</v>
      </c>
      <c r="H1445" s="10"/>
      <c r="I1445" s="9" t="s">
        <v>118</v>
      </c>
      <c r="J1445" s="9" t="s">
        <v>10591</v>
      </c>
      <c r="K1445" s="9" t="s">
        <v>10592</v>
      </c>
      <c r="L1445" s="8" t="s">
        <v>2609</v>
      </c>
      <c r="M1445" s="9" t="s">
        <v>100</v>
      </c>
      <c r="N1445" s="9" t="s">
        <v>873</v>
      </c>
      <c r="O1445" s="9">
        <f>HYPERLINK("https://www.google.com/maps/search/?api=1&amp;query=43.27730462,-2.00125875", "https://www.google.com/maps/search/?api=1&amp;query=43.27730462,-2.00125875")</f>
      </c>
      <c r="P1445" s="9" t="s">
        <v>3400</v>
      </c>
      <c r="Q1445" s="9" t="s">
        <v>10593</v>
      </c>
    </row>
    <row r="1446" spans="1:17" x14ac:dyDescent="0.25">
      <c r="A1446" s="8" t="s">
        <v>10594</v>
      </c>
      <c r="B1446" s="8" t="s">
        <v>10595</v>
      </c>
      <c r="C1446" s="9" t="s">
        <v>10596</v>
      </c>
      <c r="D1446" s="9" t="s">
        <v>400</v>
      </c>
      <c r="E1446" s="9" t="s">
        <v>10597</v>
      </c>
      <c r="F1446" s="10">
        <v>1.378</v>
      </c>
      <c r="G1446" s="10">
        <v>1.515</v>
      </c>
      <c r="H1446" s="10"/>
      <c r="I1446" s="9" t="s">
        <v>400</v>
      </c>
      <c r="J1446" s="9" t="s">
        <v>10598</v>
      </c>
      <c r="K1446" s="9" t="s">
        <v>10599</v>
      </c>
      <c r="L1446" s="8" t="s">
        <v>10600</v>
      </c>
      <c r="M1446" s="9" t="s">
        <v>36</v>
      </c>
      <c r="N1446" s="9" t="s">
        <v>10601</v>
      </c>
      <c r="O1446" s="9">
        <f>HYPERLINK("https://www.google.com/maps/search/?api=1&amp;query=39.69697876,-0.71230259", "https://www.google.com/maps/search/?api=1&amp;query=39.69697876,-0.71230259")</f>
      </c>
      <c r="P1446" s="9" t="s">
        <v>1423</v>
      </c>
      <c r="Q1446" s="9" t="s">
        <v>10602</v>
      </c>
    </row>
    <row r="1447" spans="1:17" x14ac:dyDescent="0.25">
      <c r="A1447" s="8" t="s">
        <v>10603</v>
      </c>
      <c r="B1447" s="8" t="s">
        <v>10604</v>
      </c>
      <c r="C1447" s="9" t="s">
        <v>10605</v>
      </c>
      <c r="D1447" s="9" t="s">
        <v>128</v>
      </c>
      <c r="E1447" s="9" t="s">
        <v>10606</v>
      </c>
      <c r="F1447" s="10">
        <v>1.378</v>
      </c>
      <c r="G1447" s="10">
        <v>1.515</v>
      </c>
      <c r="H1447" s="10"/>
      <c r="I1447" s="9" t="s">
        <v>45</v>
      </c>
      <c r="J1447" s="9" t="s">
        <v>10607</v>
      </c>
      <c r="K1447" s="9" t="s">
        <v>10608</v>
      </c>
      <c r="L1447" s="8" t="s">
        <v>10609</v>
      </c>
      <c r="M1447" s="9" t="s">
        <v>36</v>
      </c>
      <c r="N1447" s="9" t="s">
        <v>5787</v>
      </c>
      <c r="O1447" s="9">
        <f>HYPERLINK("https://www.google.com/maps/search/?api=1&amp;query=36.70993491,-6.08922551", "https://www.google.com/maps/search/?api=1&amp;query=36.70993491,-6.08922551")</f>
      </c>
      <c r="P1447" s="9" t="s">
        <v>10610</v>
      </c>
      <c r="Q1447" s="9" t="s">
        <v>539</v>
      </c>
    </row>
    <row r="1448" spans="1:17" x14ac:dyDescent="0.25">
      <c r="A1448" s="8" t="s">
        <v>10611</v>
      </c>
      <c r="B1448" s="8" t="s">
        <v>10612</v>
      </c>
      <c r="C1448" s="9" t="s">
        <v>10613</v>
      </c>
      <c r="D1448" s="9" t="s">
        <v>94</v>
      </c>
      <c r="E1448" s="9" t="s">
        <v>95</v>
      </c>
      <c r="F1448" s="10">
        <v>1.378</v>
      </c>
      <c r="G1448" s="10">
        <v>1.515</v>
      </c>
      <c r="H1448" s="10"/>
      <c r="I1448" s="9" t="s">
        <v>96</v>
      </c>
      <c r="J1448" s="9" t="s">
        <v>10614</v>
      </c>
      <c r="K1448" s="9" t="s">
        <v>10615</v>
      </c>
      <c r="L1448" s="8" t="s">
        <v>99</v>
      </c>
      <c r="M1448" s="9" t="s">
        <v>49</v>
      </c>
      <c r="N1448" s="9" t="s">
        <v>10616</v>
      </c>
      <c r="O1448" s="9">
        <f>HYPERLINK("https://www.google.com/maps/search/?api=1&amp;query=41.95194364,2.27692905", "https://www.google.com/maps/search/?api=1&amp;query=41.95194364,2.27692905")</f>
      </c>
      <c r="P1448" s="9" t="s">
        <v>2135</v>
      </c>
      <c r="Q1448" s="9" t="s">
        <v>10617</v>
      </c>
    </row>
    <row r="1449" spans="1:17" x14ac:dyDescent="0.25">
      <c r="A1449" s="8" t="s">
        <v>10618</v>
      </c>
      <c r="B1449" s="8" t="s">
        <v>10619</v>
      </c>
      <c r="C1449" s="9" t="s">
        <v>10620</v>
      </c>
      <c r="D1449" s="9" t="s">
        <v>1617</v>
      </c>
      <c r="E1449" s="9" t="s">
        <v>5878</v>
      </c>
      <c r="F1449" s="10">
        <v>1.378</v>
      </c>
      <c r="G1449" s="10">
        <v>1.515</v>
      </c>
      <c r="H1449" s="10"/>
      <c r="I1449" s="9" t="s">
        <v>292</v>
      </c>
      <c r="J1449" s="9" t="s">
        <v>10621</v>
      </c>
      <c r="K1449" s="9" t="s">
        <v>10622</v>
      </c>
      <c r="L1449" s="8" t="s">
        <v>5881</v>
      </c>
      <c r="M1449" s="9" t="s">
        <v>36</v>
      </c>
      <c r="N1449" s="9" t="s">
        <v>122</v>
      </c>
      <c r="O1449" s="9">
        <f>HYPERLINK("https://www.google.com/maps/search/?api=1&amp;query=42.03469321,0.12825393", "https://www.google.com/maps/search/?api=1&amp;query=42.03469321,0.12825393")</f>
      </c>
      <c r="P1449" s="9" t="s">
        <v>1423</v>
      </c>
      <c r="Q1449" s="9" t="s">
        <v>5395</v>
      </c>
    </row>
    <row r="1450" spans="1:17" x14ac:dyDescent="0.25">
      <c r="A1450" s="8" t="s">
        <v>10623</v>
      </c>
      <c r="B1450" s="8" t="s">
        <v>10624</v>
      </c>
      <c r="C1450" s="9" t="s">
        <v>10625</v>
      </c>
      <c r="D1450" s="9" t="s">
        <v>1282</v>
      </c>
      <c r="E1450" s="9" t="s">
        <v>10626</v>
      </c>
      <c r="F1450" s="10">
        <v>1.378</v>
      </c>
      <c r="G1450" s="10">
        <v>1.515</v>
      </c>
      <c r="H1450" s="10"/>
      <c r="I1450" s="9" t="s">
        <v>45</v>
      </c>
      <c r="J1450" s="9" t="s">
        <v>10627</v>
      </c>
      <c r="K1450" s="9" t="s">
        <v>10628</v>
      </c>
      <c r="L1450" s="8" t="s">
        <v>10629</v>
      </c>
      <c r="M1450" s="9" t="s">
        <v>49</v>
      </c>
      <c r="N1450" s="9" t="s">
        <v>10630</v>
      </c>
      <c r="O1450" s="9">
        <f>HYPERLINK("https://www.google.com/maps/search/?api=1&amp;query=36.72059708,-3.3645771", "https://www.google.com/maps/search/?api=1&amp;query=36.72059708,-3.3645771")</f>
      </c>
      <c r="P1450" s="9" t="s">
        <v>1250</v>
      </c>
      <c r="Q1450" s="9" t="s">
        <v>1131</v>
      </c>
    </row>
    <row r="1451" spans="1:17" x14ac:dyDescent="0.25">
      <c r="A1451" s="8" t="s">
        <v>10631</v>
      </c>
      <c r="B1451" s="8" t="s">
        <v>10632</v>
      </c>
      <c r="C1451" s="9" t="s">
        <v>10633</v>
      </c>
      <c r="D1451" s="9" t="s">
        <v>1282</v>
      </c>
      <c r="E1451" s="9" t="s">
        <v>8101</v>
      </c>
      <c r="F1451" s="10">
        <v>1.378</v>
      </c>
      <c r="G1451" s="10">
        <v>1.515</v>
      </c>
      <c r="H1451" s="10"/>
      <c r="I1451" s="9" t="s">
        <v>45</v>
      </c>
      <c r="J1451" s="9" t="s">
        <v>10634</v>
      </c>
      <c r="K1451" s="9" t="s">
        <v>10635</v>
      </c>
      <c r="L1451" s="8" t="s">
        <v>8104</v>
      </c>
      <c r="M1451" s="9" t="s">
        <v>49</v>
      </c>
      <c r="N1451" s="9" t="s">
        <v>211</v>
      </c>
      <c r="O1451" s="9">
        <f>HYPERLINK("https://www.google.com/maps/search/?api=1&amp;query=37.18492188,-3.95885692", "https://www.google.com/maps/search/?api=1&amp;query=37.18492188,-3.95885692")</f>
      </c>
      <c r="P1451" s="9" t="s">
        <v>897</v>
      </c>
      <c r="Q1451" s="9" t="s">
        <v>10636</v>
      </c>
    </row>
    <row r="1452" spans="1:17" x14ac:dyDescent="0.25">
      <c r="A1452" s="8" t="s">
        <v>10637</v>
      </c>
      <c r="B1452" s="8" t="s">
        <v>10638</v>
      </c>
      <c r="C1452" s="9" t="s">
        <v>10639</v>
      </c>
      <c r="D1452" s="9" t="s">
        <v>892</v>
      </c>
      <c r="E1452" s="9" t="s">
        <v>10640</v>
      </c>
      <c r="F1452" s="10">
        <v>1.378</v>
      </c>
      <c r="G1452" s="10">
        <v>1.515</v>
      </c>
      <c r="H1452" s="10"/>
      <c r="I1452" s="9" t="s">
        <v>32</v>
      </c>
      <c r="J1452" s="9" t="s">
        <v>10641</v>
      </c>
      <c r="K1452" s="9" t="s">
        <v>10642</v>
      </c>
      <c r="L1452" s="8" t="s">
        <v>10643</v>
      </c>
      <c r="M1452" s="9" t="s">
        <v>100</v>
      </c>
      <c r="N1452" s="9" t="s">
        <v>8757</v>
      </c>
      <c r="O1452" s="9">
        <f>HYPERLINK("https://www.google.com/maps/search/?api=1&amp;query=39.38329667,-6.34876709", "https://www.google.com/maps/search/?api=1&amp;query=39.38329667,-6.34876709")</f>
      </c>
      <c r="P1452" s="9" t="s">
        <v>1067</v>
      </c>
      <c r="Q1452" s="9" t="s">
        <v>5688</v>
      </c>
    </row>
    <row r="1453" spans="1:17" x14ac:dyDescent="0.25">
      <c r="A1453" s="8" t="s">
        <v>10644</v>
      </c>
      <c r="B1453" s="8" t="s">
        <v>10645</v>
      </c>
      <c r="C1453" s="9" t="s">
        <v>10646</v>
      </c>
      <c r="D1453" s="9" t="s">
        <v>658</v>
      </c>
      <c r="E1453" s="9" t="s">
        <v>10647</v>
      </c>
      <c r="F1453" s="10">
        <v>1.378</v>
      </c>
      <c r="G1453" s="10">
        <v>1.515</v>
      </c>
      <c r="H1453" s="10"/>
      <c r="I1453" s="9" t="s">
        <v>45</v>
      </c>
      <c r="J1453" s="9" t="s">
        <v>10648</v>
      </c>
      <c r="K1453" s="9" t="s">
        <v>10649</v>
      </c>
      <c r="L1453" s="8" t="s">
        <v>10650</v>
      </c>
      <c r="M1453" s="9" t="s">
        <v>49</v>
      </c>
      <c r="N1453" s="9" t="s">
        <v>88</v>
      </c>
      <c r="O1453" s="9">
        <f>HYPERLINK("https://www.google.com/maps/search/?api=1&amp;query=37.34770502,-2.43221735", "https://www.google.com/maps/search/?api=1&amp;query=37.34770502,-2.43221735")</f>
      </c>
      <c r="P1453" s="9" t="s">
        <v>296</v>
      </c>
      <c r="Q1453" s="9" t="s">
        <v>10651</v>
      </c>
    </row>
    <row r="1454" spans="1:17" x14ac:dyDescent="0.25">
      <c r="A1454" s="8" t="s">
        <v>10652</v>
      </c>
      <c r="B1454" s="8" t="s">
        <v>10653</v>
      </c>
      <c r="C1454" s="9" t="s">
        <v>10654</v>
      </c>
      <c r="D1454" s="9" t="s">
        <v>919</v>
      </c>
      <c r="E1454" s="9" t="s">
        <v>10655</v>
      </c>
      <c r="F1454" s="10">
        <v>1.378</v>
      </c>
      <c r="G1454" s="10">
        <v>1.515</v>
      </c>
      <c r="H1454" s="10"/>
      <c r="I1454" s="9" t="s">
        <v>118</v>
      </c>
      <c r="J1454" s="9" t="s">
        <v>10656</v>
      </c>
      <c r="K1454" s="9" t="s">
        <v>10657</v>
      </c>
      <c r="L1454" s="8" t="s">
        <v>10658</v>
      </c>
      <c r="M1454" s="9" t="s">
        <v>36</v>
      </c>
      <c r="N1454" s="9" t="s">
        <v>10659</v>
      </c>
      <c r="O1454" s="9">
        <f>HYPERLINK("https://www.google.com/maps/search/?api=1&amp;query=42.63580089,-2.85001872", "https://www.google.com/maps/search/?api=1&amp;query=42.63580089,-2.85001872")</f>
      </c>
      <c r="P1454" s="9" t="s">
        <v>2786</v>
      </c>
      <c r="Q1454" s="9" t="s">
        <v>7556</v>
      </c>
    </row>
    <row r="1455" spans="1:17" x14ac:dyDescent="0.25">
      <c r="A1455" s="8" t="s">
        <v>10660</v>
      </c>
      <c r="B1455" s="8" t="s">
        <v>10661</v>
      </c>
      <c r="C1455" s="9" t="s">
        <v>9054</v>
      </c>
      <c r="D1455" s="9" t="s">
        <v>106</v>
      </c>
      <c r="E1455" s="9" t="s">
        <v>10662</v>
      </c>
      <c r="F1455" s="10">
        <v>1.378</v>
      </c>
      <c r="G1455" s="10">
        <v>1.515</v>
      </c>
      <c r="H1455" s="10"/>
      <c r="I1455" s="9" t="s">
        <v>106</v>
      </c>
      <c r="J1455" s="9" t="s">
        <v>10663</v>
      </c>
      <c r="K1455" s="9" t="s">
        <v>10664</v>
      </c>
      <c r="L1455" s="8" t="s">
        <v>10665</v>
      </c>
      <c r="M1455" s="9" t="s">
        <v>49</v>
      </c>
      <c r="N1455" s="9" t="s">
        <v>964</v>
      </c>
      <c r="O1455" s="9">
        <f>HYPERLINK("https://www.google.com/maps/search/?api=1&amp;query=37.79876993,-1.01011574", "https://www.google.com/maps/search/?api=1&amp;query=37.79876993,-1.01011574")</f>
      </c>
      <c r="P1455" s="9" t="s">
        <v>3165</v>
      </c>
      <c r="Q1455" s="9" t="s">
        <v>1488</v>
      </c>
    </row>
    <row r="1456" spans="1:17" x14ac:dyDescent="0.25">
      <c r="A1456" s="8" t="s">
        <v>10666</v>
      </c>
      <c r="B1456" s="8" t="s">
        <v>10667</v>
      </c>
      <c r="C1456" s="9" t="s">
        <v>10668</v>
      </c>
      <c r="D1456" s="9" t="s">
        <v>83</v>
      </c>
      <c r="E1456" s="9" t="s">
        <v>2461</v>
      </c>
      <c r="F1456" s="10">
        <v>1.378</v>
      </c>
      <c r="G1456" s="10">
        <v>1.515</v>
      </c>
      <c r="H1456" s="10"/>
      <c r="I1456" s="9" t="s">
        <v>83</v>
      </c>
      <c r="J1456" s="9" t="s">
        <v>8332</v>
      </c>
      <c r="K1456" s="9" t="s">
        <v>10669</v>
      </c>
      <c r="L1456" s="8" t="s">
        <v>2464</v>
      </c>
      <c r="M1456" s="9" t="s">
        <v>100</v>
      </c>
      <c r="N1456" s="9" t="s">
        <v>3164</v>
      </c>
      <c r="O1456" s="9">
        <f>HYPERLINK("https://www.google.com/maps/search/?api=1&amp;query=40.66181101,-3.76516127", "https://www.google.com/maps/search/?api=1&amp;query=40.66181101,-3.76516127")</f>
      </c>
      <c r="P1456" s="9" t="s">
        <v>2594</v>
      </c>
      <c r="Q1456" s="9" t="s">
        <v>112</v>
      </c>
    </row>
    <row r="1457" spans="1:17" x14ac:dyDescent="0.25">
      <c r="A1457" s="8" t="s">
        <v>10670</v>
      </c>
      <c r="B1457" s="8" t="s">
        <v>10671</v>
      </c>
      <c r="C1457" s="9" t="s">
        <v>10672</v>
      </c>
      <c r="D1457" s="9" t="s">
        <v>1560</v>
      </c>
      <c r="E1457" s="9" t="s">
        <v>10673</v>
      </c>
      <c r="F1457" s="10">
        <v>1.378</v>
      </c>
      <c r="G1457" s="10">
        <v>1.515</v>
      </c>
      <c r="H1457" s="10"/>
      <c r="I1457" s="9" t="s">
        <v>400</v>
      </c>
      <c r="J1457" s="9" t="s">
        <v>10674</v>
      </c>
      <c r="K1457" s="9" t="s">
        <v>10675</v>
      </c>
      <c r="L1457" s="8" t="s">
        <v>10676</v>
      </c>
      <c r="M1457" s="9" t="s">
        <v>49</v>
      </c>
      <c r="N1457" s="9" t="s">
        <v>1695</v>
      </c>
      <c r="O1457" s="9">
        <f>HYPERLINK("https://www.google.com/maps/search/?api=1&amp;query=40.30712747,0.11428254", "https://www.google.com/maps/search/?api=1&amp;query=40.30712747,0.11428254")</f>
      </c>
      <c r="P1457" s="9" t="s">
        <v>7900</v>
      </c>
      <c r="Q1457" s="9" t="s">
        <v>10677</v>
      </c>
    </row>
    <row r="1458" spans="1:17" x14ac:dyDescent="0.25">
      <c r="A1458" s="8" t="s">
        <v>10678</v>
      </c>
      <c r="B1458" s="8" t="s">
        <v>10679</v>
      </c>
      <c r="C1458" s="9" t="s">
        <v>10680</v>
      </c>
      <c r="D1458" s="9" t="s">
        <v>2050</v>
      </c>
      <c r="E1458" s="9" t="s">
        <v>10681</v>
      </c>
      <c r="F1458" s="10">
        <v>1.378</v>
      </c>
      <c r="G1458" s="10">
        <v>1.515</v>
      </c>
      <c r="H1458" s="10"/>
      <c r="I1458" s="9" t="s">
        <v>140</v>
      </c>
      <c r="J1458" s="9" t="s">
        <v>10682</v>
      </c>
      <c r="K1458" s="9" t="s">
        <v>10683</v>
      </c>
      <c r="L1458" s="8" t="s">
        <v>10684</v>
      </c>
      <c r="M1458" s="9" t="s">
        <v>49</v>
      </c>
      <c r="N1458" s="9" t="s">
        <v>37</v>
      </c>
      <c r="O1458" s="9">
        <f>HYPERLINK("https://www.google.com/maps/search/?api=1&amp;query=41.98259191,-7.28569594", "https://www.google.com/maps/search/?api=1&amp;query=41.98259191,-7.28569594")</f>
      </c>
      <c r="P1458" s="9" t="s">
        <v>8071</v>
      </c>
      <c r="Q1458" s="9" t="s">
        <v>10685</v>
      </c>
    </row>
    <row r="1459" spans="1:17" x14ac:dyDescent="0.25">
      <c r="A1459" s="8" t="s">
        <v>10686</v>
      </c>
      <c r="B1459" s="8" t="s">
        <v>10687</v>
      </c>
      <c r="C1459" s="9" t="s">
        <v>10688</v>
      </c>
      <c r="D1459" s="9" t="s">
        <v>138</v>
      </c>
      <c r="E1459" s="9" t="s">
        <v>10689</v>
      </c>
      <c r="F1459" s="10">
        <v>1.378</v>
      </c>
      <c r="G1459" s="10">
        <v>1.515</v>
      </c>
      <c r="H1459" s="10"/>
      <c r="I1459" s="9" t="s">
        <v>140</v>
      </c>
      <c r="J1459" s="9" t="s">
        <v>10690</v>
      </c>
      <c r="K1459" s="9" t="s">
        <v>10691</v>
      </c>
      <c r="L1459" s="8" t="s">
        <v>10692</v>
      </c>
      <c r="M1459" s="9" t="s">
        <v>49</v>
      </c>
      <c r="N1459" s="9" t="s">
        <v>211</v>
      </c>
      <c r="O1459" s="9">
        <f>HYPERLINK("https://www.google.com/maps/search/?api=1&amp;query=42.59464551,-8.76274243", "https://www.google.com/maps/search/?api=1&amp;query=42.59464551,-8.76274243")</f>
      </c>
      <c r="P1459" s="9" t="s">
        <v>1287</v>
      </c>
      <c r="Q1459" s="9" t="s">
        <v>565</v>
      </c>
    </row>
    <row r="1460" spans="1:17" x14ac:dyDescent="0.25">
      <c r="A1460" s="8" t="s">
        <v>10693</v>
      </c>
      <c r="B1460" s="8" t="s">
        <v>10694</v>
      </c>
      <c r="C1460" s="9" t="s">
        <v>10695</v>
      </c>
      <c r="D1460" s="9" t="s">
        <v>226</v>
      </c>
      <c r="E1460" s="9" t="s">
        <v>10696</v>
      </c>
      <c r="F1460" s="10">
        <v>1.378</v>
      </c>
      <c r="G1460" s="10">
        <v>1.515</v>
      </c>
      <c r="H1460" s="10"/>
      <c r="I1460" s="9" t="s">
        <v>168</v>
      </c>
      <c r="J1460" s="9" t="s">
        <v>10697</v>
      </c>
      <c r="K1460" s="9" t="s">
        <v>10698</v>
      </c>
      <c r="L1460" s="8" t="s">
        <v>10699</v>
      </c>
      <c r="M1460" s="9" t="s">
        <v>36</v>
      </c>
      <c r="N1460" s="9" t="s">
        <v>37</v>
      </c>
      <c r="O1460" s="9">
        <f>HYPERLINK("https://www.google.com/maps/search/?api=1&amp;query=39.5194772,-1.75257465", "https://www.google.com/maps/search/?api=1&amp;query=39.5194772,-1.75257465")</f>
      </c>
      <c r="P1460" s="9" t="s">
        <v>38</v>
      </c>
      <c r="Q1460" s="9" t="s">
        <v>10700</v>
      </c>
    </row>
    <row r="1461" spans="1:17" x14ac:dyDescent="0.25">
      <c r="A1461" s="8" t="s">
        <v>10701</v>
      </c>
      <c r="B1461" s="8" t="s">
        <v>10702</v>
      </c>
      <c r="C1461" s="9" t="s">
        <v>10703</v>
      </c>
      <c r="D1461" s="9" t="s">
        <v>2288</v>
      </c>
      <c r="E1461" s="9" t="s">
        <v>10704</v>
      </c>
      <c r="F1461" s="10">
        <v>1.378</v>
      </c>
      <c r="G1461" s="10">
        <v>1.515</v>
      </c>
      <c r="H1461" s="10"/>
      <c r="I1461" s="9" t="s">
        <v>168</v>
      </c>
      <c r="J1461" s="9" t="s">
        <v>10705</v>
      </c>
      <c r="K1461" s="9" t="s">
        <v>10706</v>
      </c>
      <c r="L1461" s="8" t="s">
        <v>10707</v>
      </c>
      <c r="M1461" s="9" t="s">
        <v>49</v>
      </c>
      <c r="N1461" s="9" t="s">
        <v>211</v>
      </c>
      <c r="O1461" s="9">
        <f>HYPERLINK("https://www.google.com/maps/search/?api=1&amp;query=38.92156728,-1.58367178", "https://www.google.com/maps/search/?api=1&amp;query=38.92156728,-1.58367178")</f>
      </c>
      <c r="P1461" s="9" t="s">
        <v>4374</v>
      </c>
      <c r="Q1461" s="9" t="s">
        <v>7038</v>
      </c>
    </row>
    <row r="1462" spans="1:17" x14ac:dyDescent="0.25">
      <c r="A1462" s="8" t="s">
        <v>10708</v>
      </c>
      <c r="B1462" s="8" t="s">
        <v>10709</v>
      </c>
      <c r="C1462" s="9" t="s">
        <v>10710</v>
      </c>
      <c r="D1462" s="9" t="s">
        <v>1282</v>
      </c>
      <c r="E1462" s="9" t="s">
        <v>10711</v>
      </c>
      <c r="F1462" s="10">
        <v>1.378</v>
      </c>
      <c r="G1462" s="10">
        <v>1.515</v>
      </c>
      <c r="H1462" s="10"/>
      <c r="I1462" s="9" t="s">
        <v>45</v>
      </c>
      <c r="J1462" s="9" t="s">
        <v>10712</v>
      </c>
      <c r="K1462" s="9" t="s">
        <v>10713</v>
      </c>
      <c r="L1462" s="8" t="s">
        <v>10714</v>
      </c>
      <c r="M1462" s="9" t="s">
        <v>36</v>
      </c>
      <c r="N1462" s="9" t="s">
        <v>2617</v>
      </c>
      <c r="O1462" s="9">
        <f>HYPERLINK("https://www.google.com/maps/search/?api=1&amp;query=37.10360725,-3.63741349", "https://www.google.com/maps/search/?api=1&amp;query=37.10360725,-3.63741349")</f>
      </c>
      <c r="P1462" s="9" t="s">
        <v>880</v>
      </c>
      <c r="Q1462" s="9" t="s">
        <v>10715</v>
      </c>
    </row>
    <row r="1463" spans="1:17" x14ac:dyDescent="0.25">
      <c r="A1463" s="8" t="s">
        <v>10716</v>
      </c>
      <c r="B1463" s="8" t="s">
        <v>10717</v>
      </c>
      <c r="C1463" s="9" t="s">
        <v>10718</v>
      </c>
      <c r="D1463" s="9" t="s">
        <v>106</v>
      </c>
      <c r="E1463" s="9" t="s">
        <v>106</v>
      </c>
      <c r="F1463" s="10">
        <v>1.378</v>
      </c>
      <c r="G1463" s="10">
        <v>1.515</v>
      </c>
      <c r="H1463" s="10"/>
      <c r="I1463" s="9" t="s">
        <v>106</v>
      </c>
      <c r="J1463" s="9" t="s">
        <v>10719</v>
      </c>
      <c r="K1463" s="9" t="s">
        <v>10720</v>
      </c>
      <c r="L1463" s="8" t="s">
        <v>3266</v>
      </c>
      <c r="M1463" s="9" t="s">
        <v>49</v>
      </c>
      <c r="N1463" s="9" t="s">
        <v>211</v>
      </c>
      <c r="O1463" s="9">
        <f>HYPERLINK("https://www.google.com/maps/search/?api=1&amp;query=37.9965946,-1.14250865", "https://www.google.com/maps/search/?api=1&amp;query=37.9965946,-1.14250865")</f>
      </c>
      <c r="P1463" s="9" t="s">
        <v>258</v>
      </c>
      <c r="Q1463" s="9" t="s">
        <v>1204</v>
      </c>
    </row>
    <row r="1464" spans="1:17" x14ac:dyDescent="0.25">
      <c r="A1464" s="8" t="s">
        <v>10721</v>
      </c>
      <c r="B1464" s="8" t="s">
        <v>10722</v>
      </c>
      <c r="C1464" s="9" t="s">
        <v>10723</v>
      </c>
      <c r="D1464" s="9" t="s">
        <v>400</v>
      </c>
      <c r="E1464" s="9" t="s">
        <v>10724</v>
      </c>
      <c r="F1464" s="10">
        <v>1.378</v>
      </c>
      <c r="G1464" s="10">
        <v>1.515</v>
      </c>
      <c r="H1464" s="10"/>
      <c r="I1464" s="9" t="s">
        <v>400</v>
      </c>
      <c r="J1464" s="9" t="s">
        <v>10725</v>
      </c>
      <c r="K1464" s="9" t="s">
        <v>10726</v>
      </c>
      <c r="L1464" s="8" t="s">
        <v>10727</v>
      </c>
      <c r="M1464" s="9" t="s">
        <v>36</v>
      </c>
      <c r="N1464" s="9" t="s">
        <v>88</v>
      </c>
      <c r="O1464" s="9">
        <f>HYPERLINK("https://www.google.com/maps/search/?api=1&amp;query=39.53027974,-0.31288467", "https://www.google.com/maps/search/?api=1&amp;query=39.53027974,-0.31288467")</f>
      </c>
      <c r="P1464" s="9" t="s">
        <v>10728</v>
      </c>
      <c r="Q1464" s="9" t="s">
        <v>10729</v>
      </c>
    </row>
    <row r="1465" spans="1:17" x14ac:dyDescent="0.25">
      <c r="A1465" s="8" t="s">
        <v>10730</v>
      </c>
      <c r="B1465" s="8" t="s">
        <v>10731</v>
      </c>
      <c r="C1465" s="9" t="s">
        <v>10732</v>
      </c>
      <c r="D1465" s="9" t="s">
        <v>83</v>
      </c>
      <c r="E1465" s="9" t="s">
        <v>10733</v>
      </c>
      <c r="F1465" s="10">
        <v>1.378</v>
      </c>
      <c r="G1465" s="10">
        <v>1.515</v>
      </c>
      <c r="H1465" s="10"/>
      <c r="I1465" s="9" t="s">
        <v>83</v>
      </c>
      <c r="J1465" s="9" t="s">
        <v>10734</v>
      </c>
      <c r="K1465" s="9" t="s">
        <v>10735</v>
      </c>
      <c r="L1465" s="8" t="s">
        <v>10736</v>
      </c>
      <c r="M1465" s="9" t="s">
        <v>36</v>
      </c>
      <c r="N1465" s="9" t="s">
        <v>211</v>
      </c>
      <c r="O1465" s="9">
        <f>HYPERLINK("https://www.google.com/maps/search/?api=1&amp;query=40.98723999,-3.63838976", "https://www.google.com/maps/search/?api=1&amp;query=40.98723999,-3.63838976")</f>
      </c>
      <c r="P1465" s="9" t="s">
        <v>10737</v>
      </c>
      <c r="Q1465" s="9" t="s">
        <v>1742</v>
      </c>
    </row>
    <row r="1466" spans="1:17" x14ac:dyDescent="0.25">
      <c r="A1466" s="8" t="s">
        <v>10738</v>
      </c>
      <c r="B1466" s="8" t="s">
        <v>10739</v>
      </c>
      <c r="C1466" s="9" t="s">
        <v>10740</v>
      </c>
      <c r="D1466" s="9" t="s">
        <v>631</v>
      </c>
      <c r="E1466" s="9" t="s">
        <v>632</v>
      </c>
      <c r="F1466" s="10">
        <v>1.378</v>
      </c>
      <c r="G1466" s="10">
        <v>1.515</v>
      </c>
      <c r="H1466" s="10"/>
      <c r="I1466" s="9" t="s">
        <v>45</v>
      </c>
      <c r="J1466" s="9" t="s">
        <v>10741</v>
      </c>
      <c r="K1466" s="9" t="s">
        <v>10742</v>
      </c>
      <c r="L1466" s="8" t="s">
        <v>635</v>
      </c>
      <c r="M1466" s="9" t="s">
        <v>49</v>
      </c>
      <c r="N1466" s="9" t="s">
        <v>88</v>
      </c>
      <c r="O1466" s="9">
        <f>HYPERLINK("https://www.google.com/maps/search/?api=1&amp;query=37.41889593,-4.48224411", "https://www.google.com/maps/search/?api=1&amp;query=37.41889593,-4.48224411")</f>
      </c>
      <c r="P1466" s="9" t="s">
        <v>965</v>
      </c>
      <c r="Q1466" s="9" t="s">
        <v>1742</v>
      </c>
    </row>
    <row r="1467" spans="1:17" x14ac:dyDescent="0.25">
      <c r="A1467" s="8" t="s">
        <v>10743</v>
      </c>
      <c r="B1467" s="8" t="s">
        <v>10744</v>
      </c>
      <c r="C1467" s="9" t="s">
        <v>10745</v>
      </c>
      <c r="D1467" s="9" t="s">
        <v>1192</v>
      </c>
      <c r="E1467" s="9" t="s">
        <v>10746</v>
      </c>
      <c r="F1467" s="10">
        <v>1.378</v>
      </c>
      <c r="G1467" s="10">
        <v>1.515</v>
      </c>
      <c r="H1467" s="10"/>
      <c r="I1467" s="9" t="s">
        <v>168</v>
      </c>
      <c r="J1467" s="9" t="s">
        <v>10747</v>
      </c>
      <c r="K1467" s="9" t="s">
        <v>10748</v>
      </c>
      <c r="L1467" s="8" t="s">
        <v>10749</v>
      </c>
      <c r="M1467" s="9" t="s">
        <v>100</v>
      </c>
      <c r="N1467" s="9" t="s">
        <v>10750</v>
      </c>
      <c r="O1467" s="9">
        <f>HYPERLINK("https://www.google.com/maps/search/?api=1&amp;query=38.87325063,-4.04285504", "https://www.google.com/maps/search/?api=1&amp;query=38.87325063,-4.04285504")</f>
      </c>
      <c r="P1467" s="9" t="s">
        <v>172</v>
      </c>
      <c r="Q1467" s="9" t="s">
        <v>112</v>
      </c>
    </row>
    <row r="1468" spans="1:17" x14ac:dyDescent="0.25">
      <c r="A1468" s="8" t="s">
        <v>10751</v>
      </c>
      <c r="B1468" s="8" t="s">
        <v>10752</v>
      </c>
      <c r="C1468" s="9" t="s">
        <v>7397</v>
      </c>
      <c r="D1468" s="9" t="s">
        <v>1282</v>
      </c>
      <c r="E1468" s="9" t="s">
        <v>7398</v>
      </c>
      <c r="F1468" s="10">
        <v>1.378</v>
      </c>
      <c r="G1468" s="10">
        <v>1.515</v>
      </c>
      <c r="H1468" s="10"/>
      <c r="I1468" s="9" t="s">
        <v>45</v>
      </c>
      <c r="J1468" s="9" t="s">
        <v>10753</v>
      </c>
      <c r="K1468" s="9" t="s">
        <v>10754</v>
      </c>
      <c r="L1468" s="8" t="s">
        <v>7401</v>
      </c>
      <c r="M1468" s="9" t="s">
        <v>100</v>
      </c>
      <c r="N1468" s="9" t="s">
        <v>10755</v>
      </c>
      <c r="O1468" s="9">
        <f>HYPERLINK("https://www.google.com/maps/search/?api=1&amp;query=37.40119354,-3.55419757", "https://www.google.com/maps/search/?api=1&amp;query=37.40119354,-3.55419757")</f>
      </c>
      <c r="P1468" s="9" t="s">
        <v>144</v>
      </c>
      <c r="Q1468" s="9" t="s">
        <v>10756</v>
      </c>
    </row>
    <row r="1469" spans="1:17" x14ac:dyDescent="0.25">
      <c r="A1469" s="8" t="s">
        <v>10757</v>
      </c>
      <c r="B1469" s="8" t="s">
        <v>10758</v>
      </c>
      <c r="C1469" s="9" t="s">
        <v>10759</v>
      </c>
      <c r="D1469" s="9" t="s">
        <v>398</v>
      </c>
      <c r="E1469" s="9" t="s">
        <v>10760</v>
      </c>
      <c r="F1469" s="10">
        <v>1.378</v>
      </c>
      <c r="G1469" s="10">
        <v>1.515</v>
      </c>
      <c r="H1469" s="10"/>
      <c r="I1469" s="9" t="s">
        <v>400</v>
      </c>
      <c r="J1469" s="9" t="s">
        <v>10761</v>
      </c>
      <c r="K1469" s="9" t="s">
        <v>10762</v>
      </c>
      <c r="L1469" s="8" t="s">
        <v>10763</v>
      </c>
      <c r="M1469" s="9" t="s">
        <v>36</v>
      </c>
      <c r="N1469" s="9" t="s">
        <v>88</v>
      </c>
      <c r="O1469" s="9">
        <f>HYPERLINK("https://www.google.com/maps/search/?api=1&amp;query=38.42469765,-0.94001573", "https://www.google.com/maps/search/?api=1&amp;query=38.42469765,-0.94001573")</f>
      </c>
      <c r="P1469" s="9" t="s">
        <v>493</v>
      </c>
      <c r="Q1469" s="9" t="s">
        <v>112</v>
      </c>
    </row>
    <row r="1470" spans="1:17" x14ac:dyDescent="0.25">
      <c r="A1470" s="8" t="s">
        <v>10764</v>
      </c>
      <c r="B1470" s="8" t="s">
        <v>10765</v>
      </c>
      <c r="C1470" s="9" t="s">
        <v>10766</v>
      </c>
      <c r="D1470" s="9" t="s">
        <v>116</v>
      </c>
      <c r="E1470" s="9" t="s">
        <v>10767</v>
      </c>
      <c r="F1470" s="10">
        <v>1.378</v>
      </c>
      <c r="G1470" s="10">
        <v>1.515</v>
      </c>
      <c r="H1470" s="10"/>
      <c r="I1470" s="9" t="s">
        <v>118</v>
      </c>
      <c r="J1470" s="9" t="s">
        <v>10768</v>
      </c>
      <c r="K1470" s="9" t="s">
        <v>10769</v>
      </c>
      <c r="L1470" s="8" t="s">
        <v>10770</v>
      </c>
      <c r="M1470" s="9" t="s">
        <v>36</v>
      </c>
      <c r="N1470" s="9" t="s">
        <v>122</v>
      </c>
      <c r="O1470" s="9">
        <f>HYPERLINK("https://www.google.com/maps/search/?api=1&amp;query=43.2668866,-3.15308273", "https://www.google.com/maps/search/?api=1&amp;query=43.2668866,-3.15308273")</f>
      </c>
      <c r="P1470" s="9" t="s">
        <v>172</v>
      </c>
      <c r="Q1470" s="9" t="s">
        <v>1170</v>
      </c>
    </row>
    <row r="1471" spans="1:17" x14ac:dyDescent="0.25">
      <c r="A1471" s="8" t="s">
        <v>10771</v>
      </c>
      <c r="B1471" s="8" t="s">
        <v>10772</v>
      </c>
      <c r="C1471" s="9" t="s">
        <v>10773</v>
      </c>
      <c r="D1471" s="9" t="s">
        <v>217</v>
      </c>
      <c r="E1471" s="9" t="s">
        <v>271</v>
      </c>
      <c r="F1471" s="10">
        <v>1.378</v>
      </c>
      <c r="G1471" s="10">
        <v>1.515</v>
      </c>
      <c r="H1471" s="10"/>
      <c r="I1471" s="9" t="s">
        <v>45</v>
      </c>
      <c r="J1471" s="9" t="s">
        <v>10774</v>
      </c>
      <c r="K1471" s="9" t="s">
        <v>10775</v>
      </c>
      <c r="L1471" s="8" t="s">
        <v>274</v>
      </c>
      <c r="M1471" s="9" t="s">
        <v>49</v>
      </c>
      <c r="N1471" s="9" t="s">
        <v>88</v>
      </c>
      <c r="O1471" s="9">
        <f>HYPERLINK("https://www.google.com/maps/search/?api=1&amp;query=36.69540172,-4.49414128", "https://www.google.com/maps/search/?api=1&amp;query=36.69540172,-4.49414128")</f>
      </c>
      <c r="P1471" s="9" t="s">
        <v>10776</v>
      </c>
      <c r="Q1471" s="9" t="s">
        <v>10777</v>
      </c>
    </row>
    <row r="1472" spans="1:17" x14ac:dyDescent="0.25">
      <c r="A1472" s="8" t="s">
        <v>10778</v>
      </c>
      <c r="B1472" s="8" t="s">
        <v>10779</v>
      </c>
      <c r="C1472" s="9" t="s">
        <v>10780</v>
      </c>
      <c r="D1472" s="9" t="s">
        <v>2050</v>
      </c>
      <c r="E1472" s="9" t="s">
        <v>10781</v>
      </c>
      <c r="F1472" s="10">
        <v>1.378</v>
      </c>
      <c r="G1472" s="10">
        <v>1.515</v>
      </c>
      <c r="H1472" s="10"/>
      <c r="I1472" s="9" t="s">
        <v>140</v>
      </c>
      <c r="J1472" s="9" t="s">
        <v>10782</v>
      </c>
      <c r="K1472" s="9" t="s">
        <v>10783</v>
      </c>
      <c r="L1472" s="8" t="s">
        <v>10784</v>
      </c>
      <c r="M1472" s="9" t="s">
        <v>36</v>
      </c>
      <c r="N1472" s="9" t="s">
        <v>88</v>
      </c>
      <c r="O1472" s="9">
        <f>HYPERLINK("https://www.google.com/maps/search/?api=1&amp;query=41.93943718,-7.44594944", "https://www.google.com/maps/search/?api=1&amp;query=41.93943718,-7.44594944")</f>
      </c>
      <c r="P1472" s="9" t="s">
        <v>2442</v>
      </c>
      <c r="Q1472" s="9" t="s">
        <v>7816</v>
      </c>
    </row>
    <row r="1473" spans="1:17" x14ac:dyDescent="0.25">
      <c r="A1473" s="8" t="s">
        <v>10785</v>
      </c>
      <c r="B1473" s="8" t="s">
        <v>10786</v>
      </c>
      <c r="C1473" s="9" t="s">
        <v>10787</v>
      </c>
      <c r="D1473" s="9" t="s">
        <v>83</v>
      </c>
      <c r="E1473" s="9" t="s">
        <v>8352</v>
      </c>
      <c r="F1473" s="10">
        <v>1.378</v>
      </c>
      <c r="G1473" s="10">
        <v>1.515</v>
      </c>
      <c r="H1473" s="10"/>
      <c r="I1473" s="9" t="s">
        <v>83</v>
      </c>
      <c r="J1473" s="9" t="s">
        <v>8353</v>
      </c>
      <c r="K1473" s="9" t="s">
        <v>10788</v>
      </c>
      <c r="L1473" s="8" t="s">
        <v>8355</v>
      </c>
      <c r="M1473" s="9" t="s">
        <v>100</v>
      </c>
      <c r="N1473" s="9" t="s">
        <v>10789</v>
      </c>
      <c r="O1473" s="9">
        <f>HYPERLINK("https://www.google.com/maps/search/?api=1&amp;query=40.38285782,-4.16933505", "https://www.google.com/maps/search/?api=1&amp;query=40.38285782,-4.16933505")</f>
      </c>
      <c r="P1473" s="9" t="s">
        <v>3165</v>
      </c>
      <c r="Q1473" s="9" t="s">
        <v>3657</v>
      </c>
    </row>
    <row r="1474" spans="1:17" x14ac:dyDescent="0.25">
      <c r="A1474" s="8" t="s">
        <v>10790</v>
      </c>
      <c r="B1474" s="8" t="s">
        <v>10791</v>
      </c>
      <c r="C1474" s="9" t="s">
        <v>10792</v>
      </c>
      <c r="D1474" s="9" t="s">
        <v>658</v>
      </c>
      <c r="E1474" s="9" t="s">
        <v>10793</v>
      </c>
      <c r="F1474" s="10">
        <v>1.378</v>
      </c>
      <c r="G1474" s="10">
        <v>1.515</v>
      </c>
      <c r="H1474" s="10"/>
      <c r="I1474" s="9" t="s">
        <v>45</v>
      </c>
      <c r="J1474" s="9" t="s">
        <v>10794</v>
      </c>
      <c r="K1474" s="9" t="s">
        <v>10795</v>
      </c>
      <c r="L1474" s="8" t="s">
        <v>7214</v>
      </c>
      <c r="M1474" s="9" t="s">
        <v>36</v>
      </c>
      <c r="N1474" s="9" t="s">
        <v>88</v>
      </c>
      <c r="O1474" s="9">
        <f>HYPERLINK("https://www.google.com/maps/search/?api=1&amp;query=36.89809551,-2.18645361", "https://www.google.com/maps/search/?api=1&amp;query=36.89809551,-2.18645361")</f>
      </c>
      <c r="P1474" s="9" t="s">
        <v>2213</v>
      </c>
      <c r="Q1474" s="9" t="s">
        <v>618</v>
      </c>
    </row>
    <row r="1475" spans="1:17" x14ac:dyDescent="0.25">
      <c r="A1475" s="8" t="s">
        <v>10796</v>
      </c>
      <c r="B1475" s="8" t="s">
        <v>10797</v>
      </c>
      <c r="C1475" s="9" t="s">
        <v>10798</v>
      </c>
      <c r="D1475" s="9" t="s">
        <v>424</v>
      </c>
      <c r="E1475" s="9" t="s">
        <v>10799</v>
      </c>
      <c r="F1475" s="10">
        <v>1.378</v>
      </c>
      <c r="G1475" s="10">
        <v>1.515</v>
      </c>
      <c r="H1475" s="10"/>
      <c r="I1475" s="9" t="s">
        <v>96</v>
      </c>
      <c r="J1475" s="9" t="s">
        <v>10800</v>
      </c>
      <c r="K1475" s="9" t="s">
        <v>10801</v>
      </c>
      <c r="L1475" s="8" t="s">
        <v>10802</v>
      </c>
      <c r="M1475" s="9" t="s">
        <v>49</v>
      </c>
      <c r="N1475" s="9" t="s">
        <v>88</v>
      </c>
      <c r="O1475" s="9">
        <f>HYPERLINK("https://www.google.com/maps/search/?api=1&amp;query=41.61369603,0.65537836", "https://www.google.com/maps/search/?api=1&amp;query=41.61369603,0.65537836")</f>
      </c>
      <c r="P1475" s="9" t="s">
        <v>1250</v>
      </c>
      <c r="Q1475" s="9" t="s">
        <v>10803</v>
      </c>
    </row>
    <row r="1476" spans="1:17" x14ac:dyDescent="0.25">
      <c r="A1476" s="8" t="s">
        <v>10804</v>
      </c>
      <c r="B1476" s="8" t="s">
        <v>10805</v>
      </c>
      <c r="C1476" s="9" t="s">
        <v>8195</v>
      </c>
      <c r="D1476" s="9" t="s">
        <v>61</v>
      </c>
      <c r="E1476" s="9" t="s">
        <v>10806</v>
      </c>
      <c r="F1476" s="10">
        <v>1.378</v>
      </c>
      <c r="G1476" s="10">
        <v>1.515</v>
      </c>
      <c r="H1476" s="10"/>
      <c r="I1476" s="9" t="s">
        <v>45</v>
      </c>
      <c r="J1476" s="9" t="s">
        <v>10807</v>
      </c>
      <c r="K1476" s="9" t="s">
        <v>10808</v>
      </c>
      <c r="L1476" s="8" t="s">
        <v>10809</v>
      </c>
      <c r="M1476" s="9" t="s">
        <v>49</v>
      </c>
      <c r="N1476" s="9" t="s">
        <v>10810</v>
      </c>
      <c r="O1476" s="9">
        <f>HYPERLINK("https://www.google.com/maps/search/?api=1&amp;query=37.08036537,-5.6352761", "https://www.google.com/maps/search/?api=1&amp;query=37.08036537,-5.6352761")</f>
      </c>
      <c r="P1476" s="9" t="s">
        <v>10811</v>
      </c>
      <c r="Q1476" s="9" t="s">
        <v>10812</v>
      </c>
    </row>
    <row r="1477" spans="1:17" x14ac:dyDescent="0.25">
      <c r="A1477" s="8" t="s">
        <v>10813</v>
      </c>
      <c r="B1477" s="8" t="s">
        <v>10814</v>
      </c>
      <c r="C1477" s="9" t="s">
        <v>10815</v>
      </c>
      <c r="D1477" s="9" t="s">
        <v>106</v>
      </c>
      <c r="E1477" s="9" t="s">
        <v>10816</v>
      </c>
      <c r="F1477" s="10">
        <v>1.378</v>
      </c>
      <c r="G1477" s="10">
        <v>1.515</v>
      </c>
      <c r="H1477" s="10"/>
      <c r="I1477" s="9" t="s">
        <v>106</v>
      </c>
      <c r="J1477" s="9" t="s">
        <v>10817</v>
      </c>
      <c r="K1477" s="9" t="s">
        <v>10818</v>
      </c>
      <c r="L1477" s="8" t="s">
        <v>10819</v>
      </c>
      <c r="M1477" s="9" t="s">
        <v>36</v>
      </c>
      <c r="N1477" s="9" t="s">
        <v>88</v>
      </c>
      <c r="O1477" s="9">
        <f>HYPERLINK("https://www.google.com/maps/search/?api=1&amp;query=37.4087239,-1.58640439", "https://www.google.com/maps/search/?api=1&amp;query=37.4087239,-1.58640439")</f>
      </c>
      <c r="P1477" s="9" t="s">
        <v>172</v>
      </c>
      <c r="Q1477" s="9" t="s">
        <v>1131</v>
      </c>
    </row>
    <row r="1478" spans="1:17" x14ac:dyDescent="0.25">
      <c r="A1478" s="8" t="s">
        <v>10820</v>
      </c>
      <c r="B1478" s="8" t="s">
        <v>10821</v>
      </c>
      <c r="C1478" s="9" t="s">
        <v>10822</v>
      </c>
      <c r="D1478" s="9" t="s">
        <v>2288</v>
      </c>
      <c r="E1478" s="9" t="s">
        <v>2288</v>
      </c>
      <c r="F1478" s="10">
        <v>1.378</v>
      </c>
      <c r="G1478" s="10">
        <v>1.515</v>
      </c>
      <c r="H1478" s="10"/>
      <c r="I1478" s="9" t="s">
        <v>168</v>
      </c>
      <c r="J1478" s="9" t="s">
        <v>10823</v>
      </c>
      <c r="K1478" s="9" t="s">
        <v>10824</v>
      </c>
      <c r="L1478" s="8" t="s">
        <v>4931</v>
      </c>
      <c r="M1478" s="9" t="s">
        <v>36</v>
      </c>
      <c r="N1478" s="9" t="s">
        <v>873</v>
      </c>
      <c r="O1478" s="9">
        <f>HYPERLINK("https://www.google.com/maps/search/?api=1&amp;query=38.97179865,-1.84471832", "https://www.google.com/maps/search/?api=1&amp;query=38.97179865,-1.84471832")</f>
      </c>
      <c r="P1478" s="9" t="s">
        <v>1250</v>
      </c>
      <c r="Q1478" s="9" t="s">
        <v>4771</v>
      </c>
    </row>
    <row r="1479" spans="1:17" x14ac:dyDescent="0.25">
      <c r="A1479" s="8" t="s">
        <v>10825</v>
      </c>
      <c r="B1479" s="8" t="s">
        <v>10826</v>
      </c>
      <c r="C1479" s="9" t="s">
        <v>10827</v>
      </c>
      <c r="D1479" s="9" t="s">
        <v>379</v>
      </c>
      <c r="E1479" s="9" t="s">
        <v>10828</v>
      </c>
      <c r="F1479" s="10">
        <v>1.378</v>
      </c>
      <c r="G1479" s="10">
        <v>1.515</v>
      </c>
      <c r="H1479" s="10"/>
      <c r="I1479" s="9" t="s">
        <v>379</v>
      </c>
      <c r="J1479" s="9" t="s">
        <v>10829</v>
      </c>
      <c r="K1479" s="9" t="s">
        <v>10830</v>
      </c>
      <c r="L1479" s="8" t="s">
        <v>6996</v>
      </c>
      <c r="M1479" s="9" t="s">
        <v>49</v>
      </c>
      <c r="N1479" s="9" t="s">
        <v>10831</v>
      </c>
      <c r="O1479" s="9">
        <f>HYPERLINK("https://www.google.com/maps/search/?api=1&amp;query=42.05591928,-1.86178998", "https://www.google.com/maps/search/?api=1&amp;query=42.05591928,-1.86178998")</f>
      </c>
      <c r="P1479" s="9" t="s">
        <v>5187</v>
      </c>
      <c r="Q1479" s="9" t="s">
        <v>8447</v>
      </c>
    </row>
    <row r="1480" spans="1:17" x14ac:dyDescent="0.25">
      <c r="A1480" s="8" t="s">
        <v>10832</v>
      </c>
      <c r="B1480" s="8" t="s">
        <v>10833</v>
      </c>
      <c r="C1480" s="9" t="s">
        <v>10834</v>
      </c>
      <c r="D1480" s="9" t="s">
        <v>83</v>
      </c>
      <c r="E1480" s="9" t="s">
        <v>7074</v>
      </c>
      <c r="F1480" s="10">
        <v>1.378</v>
      </c>
      <c r="G1480" s="10">
        <v>1.515</v>
      </c>
      <c r="H1480" s="10"/>
      <c r="I1480" s="9" t="s">
        <v>83</v>
      </c>
      <c r="J1480" s="9" t="s">
        <v>10835</v>
      </c>
      <c r="K1480" s="9" t="s">
        <v>10836</v>
      </c>
      <c r="L1480" s="8" t="s">
        <v>7077</v>
      </c>
      <c r="M1480" s="9" t="s">
        <v>36</v>
      </c>
      <c r="N1480" s="9" t="s">
        <v>37</v>
      </c>
      <c r="O1480" s="9">
        <f>HYPERLINK("https://www.google.com/maps/search/?api=1&amp;query=40.40148731,-3.4930361", "https://www.google.com/maps/search/?api=1&amp;query=40.40148731,-3.4930361")</f>
      </c>
      <c r="P1480" s="9" t="s">
        <v>38</v>
      </c>
      <c r="Q1480" s="9" t="s">
        <v>6009</v>
      </c>
    </row>
    <row r="1481" spans="1:17" x14ac:dyDescent="0.25">
      <c r="A1481" s="8" t="s">
        <v>10837</v>
      </c>
      <c r="B1481" s="8" t="s">
        <v>10838</v>
      </c>
      <c r="C1481" s="9" t="s">
        <v>10839</v>
      </c>
      <c r="D1481" s="9" t="s">
        <v>919</v>
      </c>
      <c r="E1481" s="9" t="s">
        <v>3122</v>
      </c>
      <c r="F1481" s="10">
        <v>1.378</v>
      </c>
      <c r="G1481" s="10">
        <v>1.515</v>
      </c>
      <c r="H1481" s="10"/>
      <c r="I1481" s="9" t="s">
        <v>118</v>
      </c>
      <c r="J1481" s="9" t="s">
        <v>10840</v>
      </c>
      <c r="K1481" s="9" t="s">
        <v>10841</v>
      </c>
      <c r="L1481" s="8" t="s">
        <v>6632</v>
      </c>
      <c r="M1481" s="9" t="s">
        <v>36</v>
      </c>
      <c r="N1481" s="9" t="s">
        <v>483</v>
      </c>
      <c r="O1481" s="9">
        <f>HYPERLINK("https://www.google.com/maps/search/?api=1&amp;query=42.83660757,-2.65983622", "https://www.google.com/maps/search/?api=1&amp;query=42.83660757,-2.65983622")</f>
      </c>
      <c r="P1481" s="9" t="s">
        <v>4207</v>
      </c>
      <c r="Q1481" s="9" t="s">
        <v>1278</v>
      </c>
    </row>
    <row r="1482" spans="1:17" x14ac:dyDescent="0.25">
      <c r="A1482" s="8" t="s">
        <v>10842</v>
      </c>
      <c r="B1482" s="8" t="s">
        <v>10843</v>
      </c>
      <c r="C1482" s="9" t="s">
        <v>10844</v>
      </c>
      <c r="D1482" s="9" t="s">
        <v>409</v>
      </c>
      <c r="E1482" s="9" t="s">
        <v>10845</v>
      </c>
      <c r="F1482" s="10">
        <v>1.378</v>
      </c>
      <c r="G1482" s="10">
        <v>1.515</v>
      </c>
      <c r="H1482" s="10"/>
      <c r="I1482" s="9" t="s">
        <v>292</v>
      </c>
      <c r="J1482" s="9" t="s">
        <v>10846</v>
      </c>
      <c r="K1482" s="9" t="s">
        <v>10847</v>
      </c>
      <c r="L1482" s="8" t="s">
        <v>10848</v>
      </c>
      <c r="M1482" s="9" t="s">
        <v>49</v>
      </c>
      <c r="N1482" s="9" t="s">
        <v>10849</v>
      </c>
      <c r="O1482" s="9">
        <f>HYPERLINK("https://www.google.com/maps/search/?api=1&amp;query=41.46623391,-1.78735712", "https://www.google.com/maps/search/?api=1&amp;query=41.46623391,-1.78735712")</f>
      </c>
      <c r="P1482" s="9" t="s">
        <v>2786</v>
      </c>
      <c r="Q1482" s="9" t="s">
        <v>8447</v>
      </c>
    </row>
    <row r="1483" spans="1:17" x14ac:dyDescent="0.25">
      <c r="A1483" s="8" t="s">
        <v>10850</v>
      </c>
      <c r="B1483" s="8" t="s">
        <v>10851</v>
      </c>
      <c r="C1483" s="9" t="s">
        <v>10852</v>
      </c>
      <c r="D1483" s="9" t="s">
        <v>94</v>
      </c>
      <c r="E1483" s="9" t="s">
        <v>1458</v>
      </c>
      <c r="F1483" s="10">
        <v>1.378</v>
      </c>
      <c r="G1483" s="10">
        <v>1.515</v>
      </c>
      <c r="H1483" s="10"/>
      <c r="I1483" s="9" t="s">
        <v>96</v>
      </c>
      <c r="J1483" s="9" t="s">
        <v>10853</v>
      </c>
      <c r="K1483" s="9" t="s">
        <v>10854</v>
      </c>
      <c r="L1483" s="8" t="s">
        <v>1461</v>
      </c>
      <c r="M1483" s="9" t="s">
        <v>49</v>
      </c>
      <c r="N1483" s="9" t="s">
        <v>954</v>
      </c>
      <c r="O1483" s="9">
        <f>HYPERLINK("https://www.google.com/maps/search/?api=1&amp;query=41.51490392,2.41304273", "https://www.google.com/maps/search/?api=1&amp;query=41.51490392,2.41304273")</f>
      </c>
      <c r="P1483" s="9" t="s">
        <v>4344</v>
      </c>
      <c r="Q1483" s="9" t="s">
        <v>1727</v>
      </c>
    </row>
    <row r="1484" spans="1:17" x14ac:dyDescent="0.25">
      <c r="A1484" s="8" t="s">
        <v>10855</v>
      </c>
      <c r="B1484" s="8" t="s">
        <v>10856</v>
      </c>
      <c r="C1484" s="9" t="s">
        <v>10857</v>
      </c>
      <c r="D1484" s="9" t="s">
        <v>808</v>
      </c>
      <c r="E1484" s="9" t="s">
        <v>10858</v>
      </c>
      <c r="F1484" s="10">
        <v>1.378</v>
      </c>
      <c r="G1484" s="10">
        <v>1.515</v>
      </c>
      <c r="H1484" s="10"/>
      <c r="I1484" s="9" t="s">
        <v>808</v>
      </c>
      <c r="J1484" s="9" t="s">
        <v>10859</v>
      </c>
      <c r="K1484" s="9" t="s">
        <v>10860</v>
      </c>
      <c r="L1484" s="8" t="s">
        <v>10861</v>
      </c>
      <c r="M1484" s="9" t="s">
        <v>36</v>
      </c>
      <c r="N1484" s="9" t="s">
        <v>122</v>
      </c>
      <c r="O1484" s="9">
        <f>HYPERLINK("https://www.google.com/maps/search/?api=1&amp;query=43.46980985,-3.56229536", "https://www.google.com/maps/search/?api=1&amp;query=43.46980985,-3.56229536")</f>
      </c>
      <c r="P1484" s="9" t="s">
        <v>7785</v>
      </c>
      <c r="Q1484" s="9" t="s">
        <v>2018</v>
      </c>
    </row>
    <row r="1485" spans="1:17" x14ac:dyDescent="0.25">
      <c r="A1485" s="8" t="s">
        <v>10862</v>
      </c>
      <c r="B1485" s="8" t="s">
        <v>10863</v>
      </c>
      <c r="C1485" s="9" t="s">
        <v>10864</v>
      </c>
      <c r="D1485" s="9" t="s">
        <v>30</v>
      </c>
      <c r="E1485" s="9" t="s">
        <v>10865</v>
      </c>
      <c r="F1485" s="10">
        <v>1.378</v>
      </c>
      <c r="G1485" s="10">
        <v>1.515</v>
      </c>
      <c r="H1485" s="10"/>
      <c r="I1485" s="9" t="s">
        <v>32</v>
      </c>
      <c r="J1485" s="9" t="s">
        <v>10866</v>
      </c>
      <c r="K1485" s="9" t="s">
        <v>10867</v>
      </c>
      <c r="L1485" s="8" t="s">
        <v>10868</v>
      </c>
      <c r="M1485" s="9" t="s">
        <v>49</v>
      </c>
      <c r="N1485" s="9" t="s">
        <v>7163</v>
      </c>
      <c r="O1485" s="9">
        <f>HYPERLINK("https://www.google.com/maps/search/?api=1&amp;query=38.74192556,-5.67766356", "https://www.google.com/maps/search/?api=1&amp;query=38.74192556,-5.67766356")</f>
      </c>
      <c r="P1485" s="9" t="s">
        <v>1741</v>
      </c>
      <c r="Q1485" s="9" t="s">
        <v>112</v>
      </c>
    </row>
    <row r="1486" spans="1:17" x14ac:dyDescent="0.25">
      <c r="A1486" s="8" t="s">
        <v>10869</v>
      </c>
      <c r="B1486" s="8" t="s">
        <v>10870</v>
      </c>
      <c r="C1486" s="9" t="s">
        <v>10871</v>
      </c>
      <c r="D1486" s="9" t="s">
        <v>488</v>
      </c>
      <c r="E1486" s="9" t="s">
        <v>10872</v>
      </c>
      <c r="F1486" s="10">
        <v>1.378</v>
      </c>
      <c r="G1486" s="10">
        <v>1.515</v>
      </c>
      <c r="H1486" s="10"/>
      <c r="I1486" s="9" t="s">
        <v>45</v>
      </c>
      <c r="J1486" s="9" t="s">
        <v>10873</v>
      </c>
      <c r="K1486" s="9" t="s">
        <v>10874</v>
      </c>
      <c r="L1486" s="8" t="s">
        <v>10875</v>
      </c>
      <c r="M1486" s="9" t="s">
        <v>100</v>
      </c>
      <c r="N1486" s="9" t="s">
        <v>10876</v>
      </c>
      <c r="O1486" s="9">
        <f>HYPERLINK("https://www.google.com/maps/search/?api=1&amp;query=38.0407835,-4.16982911", "https://www.google.com/maps/search/?api=1&amp;query=38.0407835,-4.16982911")</f>
      </c>
      <c r="P1486" s="9" t="s">
        <v>1203</v>
      </c>
      <c r="Q1486" s="9" t="s">
        <v>1131</v>
      </c>
    </row>
    <row r="1487" spans="1:17" x14ac:dyDescent="0.25">
      <c r="A1487" s="8" t="s">
        <v>10877</v>
      </c>
      <c r="B1487" s="8" t="s">
        <v>10878</v>
      </c>
      <c r="C1487" s="9" t="s">
        <v>10879</v>
      </c>
      <c r="D1487" s="9" t="s">
        <v>398</v>
      </c>
      <c r="E1487" s="9" t="s">
        <v>9185</v>
      </c>
      <c r="F1487" s="10">
        <v>1.378</v>
      </c>
      <c r="G1487" s="10">
        <v>1.515</v>
      </c>
      <c r="H1487" s="10"/>
      <c r="I1487" s="9" t="s">
        <v>400</v>
      </c>
      <c r="J1487" s="9" t="s">
        <v>10880</v>
      </c>
      <c r="K1487" s="9" t="s">
        <v>10881</v>
      </c>
      <c r="L1487" s="8" t="s">
        <v>9188</v>
      </c>
      <c r="M1487" s="9" t="s">
        <v>49</v>
      </c>
      <c r="N1487" s="9" t="s">
        <v>10882</v>
      </c>
      <c r="O1487" s="9">
        <f>HYPERLINK("https://www.google.com/maps/search/?api=1&amp;query=38.61889649,-0.84804078", "https://www.google.com/maps/search/?api=1&amp;query=38.61889649,-0.84804078")</f>
      </c>
      <c r="P1487" s="9" t="s">
        <v>10883</v>
      </c>
      <c r="Q1487" s="9" t="s">
        <v>10884</v>
      </c>
    </row>
    <row r="1488" spans="1:17" x14ac:dyDescent="0.25">
      <c r="A1488" s="8" t="s">
        <v>10885</v>
      </c>
      <c r="B1488" s="8" t="s">
        <v>10886</v>
      </c>
      <c r="C1488" s="9" t="s">
        <v>10887</v>
      </c>
      <c r="D1488" s="9" t="s">
        <v>808</v>
      </c>
      <c r="E1488" s="9" t="s">
        <v>10888</v>
      </c>
      <c r="F1488" s="10">
        <v>1.378</v>
      </c>
      <c r="G1488" s="10">
        <v>1.515</v>
      </c>
      <c r="H1488" s="10"/>
      <c r="I1488" s="9" t="s">
        <v>808</v>
      </c>
      <c r="J1488" s="9" t="s">
        <v>10889</v>
      </c>
      <c r="K1488" s="9" t="s">
        <v>10890</v>
      </c>
      <c r="L1488" s="8" t="s">
        <v>10891</v>
      </c>
      <c r="M1488" s="9" t="s">
        <v>36</v>
      </c>
      <c r="N1488" s="9" t="s">
        <v>10892</v>
      </c>
      <c r="O1488" s="9">
        <f>HYPERLINK("https://www.google.com/maps/search/?api=1&amp;query=43.387641,-4.2795206", "https://www.google.com/maps/search/?api=1&amp;query=43.387641,-4.2795206")</f>
      </c>
      <c r="P1488" s="9" t="s">
        <v>1364</v>
      </c>
      <c r="Q1488" s="9" t="s">
        <v>8878</v>
      </c>
    </row>
    <row r="1489" spans="1:17" x14ac:dyDescent="0.25">
      <c r="A1489" s="8" t="s">
        <v>10893</v>
      </c>
      <c r="B1489" s="8" t="s">
        <v>10894</v>
      </c>
      <c r="C1489" s="9" t="s">
        <v>10895</v>
      </c>
      <c r="D1489" s="9" t="s">
        <v>658</v>
      </c>
      <c r="E1489" s="9" t="s">
        <v>7628</v>
      </c>
      <c r="F1489" s="10">
        <v>1.378</v>
      </c>
      <c r="G1489" s="10">
        <v>1.515</v>
      </c>
      <c r="H1489" s="10"/>
      <c r="I1489" s="9" t="s">
        <v>45</v>
      </c>
      <c r="J1489" s="9" t="s">
        <v>10896</v>
      </c>
      <c r="K1489" s="9" t="s">
        <v>10897</v>
      </c>
      <c r="L1489" s="8" t="s">
        <v>7631</v>
      </c>
      <c r="M1489" s="9" t="s">
        <v>49</v>
      </c>
      <c r="N1489" s="9" t="s">
        <v>10898</v>
      </c>
      <c r="O1489" s="9">
        <f>HYPERLINK("https://www.google.com/maps/search/?api=1&amp;query=37.24921809,-1.87249258", "https://www.google.com/maps/search/?api=1&amp;query=37.24921809,-1.87249258")</f>
      </c>
      <c r="P1489" s="9" t="s">
        <v>1203</v>
      </c>
      <c r="Q1489" s="9" t="s">
        <v>1566</v>
      </c>
    </row>
    <row r="1490" spans="1:17" x14ac:dyDescent="0.25">
      <c r="A1490" s="8" t="s">
        <v>10899</v>
      </c>
      <c r="B1490" s="8" t="s">
        <v>10900</v>
      </c>
      <c r="C1490" s="9" t="s">
        <v>10901</v>
      </c>
      <c r="D1490" s="9" t="s">
        <v>444</v>
      </c>
      <c r="E1490" s="9" t="s">
        <v>10902</v>
      </c>
      <c r="F1490" s="10">
        <v>1.378</v>
      </c>
      <c r="G1490" s="10">
        <v>1.515</v>
      </c>
      <c r="H1490" s="10"/>
      <c r="I1490" s="9" t="s">
        <v>444</v>
      </c>
      <c r="J1490" s="9" t="s">
        <v>10903</v>
      </c>
      <c r="K1490" s="9" t="s">
        <v>10904</v>
      </c>
      <c r="L1490" s="8" t="s">
        <v>10905</v>
      </c>
      <c r="M1490" s="9" t="s">
        <v>100</v>
      </c>
      <c r="N1490" s="9" t="s">
        <v>3234</v>
      </c>
      <c r="O1490" s="9">
        <f>HYPERLINK("https://www.google.com/maps/search/?api=1&amp;query=43.35934931,-5.86509586", "https://www.google.com/maps/search/?api=1&amp;query=43.35934931,-5.86509586")</f>
      </c>
      <c r="P1490" s="9" t="s">
        <v>1250</v>
      </c>
      <c r="Q1490" s="9" t="s">
        <v>1204</v>
      </c>
    </row>
    <row r="1491" spans="1:17" x14ac:dyDescent="0.25">
      <c r="A1491" s="8" t="s">
        <v>10906</v>
      </c>
      <c r="B1491" s="8" t="s">
        <v>10907</v>
      </c>
      <c r="C1491" s="9" t="s">
        <v>10908</v>
      </c>
      <c r="D1491" s="9" t="s">
        <v>1560</v>
      </c>
      <c r="E1491" s="9" t="s">
        <v>10909</v>
      </c>
      <c r="F1491" s="10">
        <v>1.378</v>
      </c>
      <c r="G1491" s="10">
        <v>1.515</v>
      </c>
      <c r="H1491" s="10"/>
      <c r="I1491" s="9" t="s">
        <v>400</v>
      </c>
      <c r="J1491" s="9" t="s">
        <v>10910</v>
      </c>
      <c r="K1491" s="9" t="s">
        <v>10911</v>
      </c>
      <c r="L1491" s="8" t="s">
        <v>10912</v>
      </c>
      <c r="M1491" s="9" t="s">
        <v>36</v>
      </c>
      <c r="N1491" s="9" t="s">
        <v>37</v>
      </c>
      <c r="O1491" s="9">
        <f>HYPERLINK("https://www.google.com/maps/search/?api=1&amp;query=40.29620781,0.22635599", "https://www.google.com/maps/search/?api=1&amp;query=40.29620781,0.22635599")</f>
      </c>
      <c r="P1491" s="9" t="s">
        <v>9624</v>
      </c>
      <c r="Q1491" s="9" t="s">
        <v>10913</v>
      </c>
    </row>
    <row r="1492" spans="1:17" x14ac:dyDescent="0.25">
      <c r="A1492" s="8" t="s">
        <v>9031</v>
      </c>
      <c r="B1492" s="8" t="s">
        <v>10914</v>
      </c>
      <c r="C1492" s="9" t="s">
        <v>8969</v>
      </c>
      <c r="D1492" s="9" t="s">
        <v>2288</v>
      </c>
      <c r="E1492" s="9" t="s">
        <v>3214</v>
      </c>
      <c r="F1492" s="10">
        <v>1.378</v>
      </c>
      <c r="G1492" s="10">
        <v>1.515</v>
      </c>
      <c r="H1492" s="10"/>
      <c r="I1492" s="9" t="s">
        <v>168</v>
      </c>
      <c r="J1492" s="9" t="s">
        <v>10915</v>
      </c>
      <c r="K1492" s="9" t="s">
        <v>10916</v>
      </c>
      <c r="L1492" s="8" t="s">
        <v>3217</v>
      </c>
      <c r="M1492" s="9" t="s">
        <v>36</v>
      </c>
      <c r="N1492" s="9" t="s">
        <v>10917</v>
      </c>
      <c r="O1492" s="9">
        <f>HYPERLINK("https://www.google.com/maps/search/?api=1&amp;query=39.21365746,-2.15667963", "https://www.google.com/maps/search/?api=1&amp;query=39.21365746,-2.15667963")</f>
      </c>
      <c r="P1492" s="9" t="s">
        <v>3400</v>
      </c>
      <c r="Q1492" s="9" t="s">
        <v>3744</v>
      </c>
    </row>
    <row r="1493" spans="1:17" x14ac:dyDescent="0.25">
      <c r="A1493" s="8" t="s">
        <v>10918</v>
      </c>
      <c r="B1493" s="8" t="s">
        <v>10919</v>
      </c>
      <c r="C1493" s="9" t="s">
        <v>10920</v>
      </c>
      <c r="D1493" s="9" t="s">
        <v>128</v>
      </c>
      <c r="E1493" s="9" t="s">
        <v>10921</v>
      </c>
      <c r="F1493" s="10">
        <v>1.378</v>
      </c>
      <c r="G1493" s="10">
        <v>1.515</v>
      </c>
      <c r="H1493" s="10"/>
      <c r="I1493" s="9" t="s">
        <v>45</v>
      </c>
      <c r="J1493" s="9" t="s">
        <v>10922</v>
      </c>
      <c r="K1493" s="9" t="s">
        <v>10923</v>
      </c>
      <c r="L1493" s="8" t="s">
        <v>10924</v>
      </c>
      <c r="M1493" s="9" t="s">
        <v>36</v>
      </c>
      <c r="N1493" s="9" t="s">
        <v>645</v>
      </c>
      <c r="O1493" s="9">
        <f>HYPERLINK("https://www.google.com/maps/search/?api=1&amp;query=36.87764128,-5.42582973", "https://www.google.com/maps/search/?api=1&amp;query=36.87764128,-5.42582973")</f>
      </c>
      <c r="P1493" s="9" t="s">
        <v>8061</v>
      </c>
      <c r="Q1493" s="9" t="s">
        <v>9438</v>
      </c>
    </row>
    <row r="1494" spans="1:17" x14ac:dyDescent="0.25">
      <c r="A1494" s="8" t="s">
        <v>10925</v>
      </c>
      <c r="B1494" s="8" t="s">
        <v>10926</v>
      </c>
      <c r="C1494" s="9" t="s">
        <v>10927</v>
      </c>
      <c r="D1494" s="9" t="s">
        <v>400</v>
      </c>
      <c r="E1494" s="9" t="s">
        <v>7560</v>
      </c>
      <c r="F1494" s="10">
        <v>1.378</v>
      </c>
      <c r="G1494" s="10">
        <v>1.515</v>
      </c>
      <c r="H1494" s="10"/>
      <c r="I1494" s="9" t="s">
        <v>400</v>
      </c>
      <c r="J1494" s="9" t="s">
        <v>10928</v>
      </c>
      <c r="K1494" s="9" t="s">
        <v>10929</v>
      </c>
      <c r="L1494" s="8" t="s">
        <v>10930</v>
      </c>
      <c r="M1494" s="9" t="s">
        <v>100</v>
      </c>
      <c r="N1494" s="9" t="s">
        <v>7777</v>
      </c>
      <c r="O1494" s="9">
        <f>HYPERLINK("https://www.google.com/maps/search/?api=1&amp;query=38.9715801,-0.18166179", "https://www.google.com/maps/search/?api=1&amp;query=38.9715801,-0.18166179")</f>
      </c>
      <c r="P1494" s="9" t="s">
        <v>1287</v>
      </c>
      <c r="Q1494" s="9" t="s">
        <v>102</v>
      </c>
    </row>
    <row r="1495" spans="1:17" x14ac:dyDescent="0.25">
      <c r="A1495" s="8" t="s">
        <v>10931</v>
      </c>
      <c r="B1495" s="8" t="s">
        <v>10932</v>
      </c>
      <c r="C1495" s="9" t="s">
        <v>10933</v>
      </c>
      <c r="D1495" s="9" t="s">
        <v>516</v>
      </c>
      <c r="E1495" s="9" t="s">
        <v>10934</v>
      </c>
      <c r="F1495" s="10">
        <v>1.378</v>
      </c>
      <c r="G1495" s="10">
        <v>1.515</v>
      </c>
      <c r="H1495" s="10"/>
      <c r="I1495" s="9" t="s">
        <v>140</v>
      </c>
      <c r="J1495" s="9" t="s">
        <v>10935</v>
      </c>
      <c r="K1495" s="9" t="s">
        <v>10936</v>
      </c>
      <c r="L1495" s="8" t="s">
        <v>10937</v>
      </c>
      <c r="M1495" s="9" t="s">
        <v>36</v>
      </c>
      <c r="N1495" s="9" t="s">
        <v>3164</v>
      </c>
      <c r="O1495" s="9">
        <f>HYPERLINK("https://www.google.com/maps/search/?api=1&amp;query=43.02974005,-7.7867078", "https://www.google.com/maps/search/?api=1&amp;query=43.02974005,-7.7867078")</f>
      </c>
      <c r="P1495" s="9" t="s">
        <v>493</v>
      </c>
      <c r="Q1495" s="9" t="s">
        <v>10938</v>
      </c>
    </row>
    <row r="1496" spans="1:17" x14ac:dyDescent="0.25">
      <c r="A1496" s="8" t="s">
        <v>963</v>
      </c>
      <c r="B1496" s="8" t="s">
        <v>10939</v>
      </c>
      <c r="C1496" s="9" t="s">
        <v>10940</v>
      </c>
      <c r="D1496" s="9" t="s">
        <v>83</v>
      </c>
      <c r="E1496" s="9" t="s">
        <v>83</v>
      </c>
      <c r="F1496" s="10">
        <v>1.378</v>
      </c>
      <c r="G1496" s="10">
        <v>1.515</v>
      </c>
      <c r="H1496" s="10"/>
      <c r="I1496" s="9" t="s">
        <v>83</v>
      </c>
      <c r="J1496" s="9" t="s">
        <v>10941</v>
      </c>
      <c r="K1496" s="9" t="s">
        <v>10942</v>
      </c>
      <c r="L1496" s="8" t="s">
        <v>887</v>
      </c>
      <c r="M1496" s="9" t="s">
        <v>49</v>
      </c>
      <c r="N1496" s="9" t="s">
        <v>37</v>
      </c>
      <c r="O1496" s="9">
        <f>HYPERLINK("https://www.google.com/maps/search/?api=1&amp;query=40.40586279,-3.69517837", "https://www.google.com/maps/search/?api=1&amp;query=40.40586279,-3.69517837")</f>
      </c>
      <c r="P1496" s="9" t="s">
        <v>1381</v>
      </c>
      <c r="Q1496" s="9" t="s">
        <v>6289</v>
      </c>
    </row>
    <row r="1497" spans="1:17" x14ac:dyDescent="0.25">
      <c r="A1497" s="8" t="s">
        <v>10943</v>
      </c>
      <c r="B1497" s="8" t="s">
        <v>10944</v>
      </c>
      <c r="C1497" s="9" t="s">
        <v>10945</v>
      </c>
      <c r="D1497" s="9" t="s">
        <v>1434</v>
      </c>
      <c r="E1497" s="9" t="s">
        <v>10946</v>
      </c>
      <c r="F1497" s="10">
        <v>1.378</v>
      </c>
      <c r="G1497" s="10">
        <v>1.515</v>
      </c>
      <c r="H1497" s="10"/>
      <c r="I1497" s="9" t="s">
        <v>1434</v>
      </c>
      <c r="J1497" s="9" t="s">
        <v>10947</v>
      </c>
      <c r="K1497" s="9" t="s">
        <v>10948</v>
      </c>
      <c r="L1497" s="8" t="s">
        <v>10949</v>
      </c>
      <c r="M1497" s="9" t="s">
        <v>49</v>
      </c>
      <c r="N1497" s="9" t="s">
        <v>10659</v>
      </c>
      <c r="O1497" s="9">
        <f>HYPERLINK("https://www.google.com/maps/search/?api=1&amp;query=42.53442704,-2.91933179", "https://www.google.com/maps/search/?api=1&amp;query=42.53442704,-2.91933179")</f>
      </c>
      <c r="P1497" s="9" t="s">
        <v>10950</v>
      </c>
      <c r="Q1497" s="9" t="s">
        <v>2554</v>
      </c>
    </row>
    <row r="1498" spans="1:17" x14ac:dyDescent="0.25">
      <c r="A1498" s="8" t="s">
        <v>10951</v>
      </c>
      <c r="B1498" s="8" t="s">
        <v>10952</v>
      </c>
      <c r="C1498" s="9" t="s">
        <v>10953</v>
      </c>
      <c r="D1498" s="9" t="s">
        <v>1192</v>
      </c>
      <c r="E1498" s="9" t="s">
        <v>9725</v>
      </c>
      <c r="F1498" s="10">
        <v>1.378</v>
      </c>
      <c r="G1498" s="10">
        <v>1.515</v>
      </c>
      <c r="H1498" s="10"/>
      <c r="I1498" s="9" t="s">
        <v>168</v>
      </c>
      <c r="J1498" s="9" t="s">
        <v>10954</v>
      </c>
      <c r="K1498" s="9" t="s">
        <v>10955</v>
      </c>
      <c r="L1498" s="8" t="s">
        <v>9728</v>
      </c>
      <c r="M1498" s="9" t="s">
        <v>100</v>
      </c>
      <c r="N1498" s="9" t="s">
        <v>37</v>
      </c>
      <c r="O1498" s="9">
        <f>HYPERLINK("https://www.google.com/maps/search/?api=1&amp;query=38.50670828,-3.4968235", "https://www.google.com/maps/search/?api=1&amp;query=38.50670828,-3.4968235")</f>
      </c>
      <c r="P1498" s="9" t="s">
        <v>38</v>
      </c>
      <c r="Q1498" s="9" t="s">
        <v>10956</v>
      </c>
    </row>
    <row r="1499" spans="1:17" x14ac:dyDescent="0.25">
      <c r="A1499" s="8" t="s">
        <v>10957</v>
      </c>
      <c r="B1499" s="8" t="s">
        <v>10958</v>
      </c>
      <c r="C1499" s="9" t="s">
        <v>10959</v>
      </c>
      <c r="D1499" s="9" t="s">
        <v>808</v>
      </c>
      <c r="E1499" s="9" t="s">
        <v>10960</v>
      </c>
      <c r="F1499" s="10">
        <v>1.378</v>
      </c>
      <c r="G1499" s="10">
        <v>1.515</v>
      </c>
      <c r="H1499" s="10"/>
      <c r="I1499" s="9" t="s">
        <v>808</v>
      </c>
      <c r="J1499" s="9" t="s">
        <v>10961</v>
      </c>
      <c r="K1499" s="9" t="s">
        <v>10962</v>
      </c>
      <c r="L1499" s="8" t="s">
        <v>10963</v>
      </c>
      <c r="M1499" s="9" t="s">
        <v>49</v>
      </c>
      <c r="N1499" s="9" t="s">
        <v>88</v>
      </c>
      <c r="O1499" s="9">
        <f>HYPERLINK("https://www.google.com/maps/search/?api=1&amp;query=43.44988027,-3.45686265", "https://www.google.com/maps/search/?api=1&amp;query=43.44988027,-3.45686265")</f>
      </c>
      <c r="P1499" s="9" t="s">
        <v>1751</v>
      </c>
      <c r="Q1499" s="9" t="s">
        <v>3459</v>
      </c>
    </row>
    <row r="1500" spans="1:17" x14ac:dyDescent="0.25">
      <c r="A1500" s="8" t="s">
        <v>10964</v>
      </c>
      <c r="B1500" s="8" t="s">
        <v>10965</v>
      </c>
      <c r="C1500" s="9" t="s">
        <v>10966</v>
      </c>
      <c r="D1500" s="9" t="s">
        <v>61</v>
      </c>
      <c r="E1500" s="9" t="s">
        <v>10967</v>
      </c>
      <c r="F1500" s="10">
        <v>1.378</v>
      </c>
      <c r="G1500" s="10">
        <v>1.515</v>
      </c>
      <c r="H1500" s="10"/>
      <c r="I1500" s="9" t="s">
        <v>45</v>
      </c>
      <c r="J1500" s="9" t="s">
        <v>10968</v>
      </c>
      <c r="K1500" s="9" t="s">
        <v>10969</v>
      </c>
      <c r="L1500" s="8" t="s">
        <v>10970</v>
      </c>
      <c r="M1500" s="9" t="s">
        <v>49</v>
      </c>
      <c r="N1500" s="9" t="s">
        <v>10971</v>
      </c>
      <c r="O1500" s="9">
        <f>HYPERLINK("https://www.google.com/maps/search/?api=1&amp;query=36.97180968,-5.86631326", "https://www.google.com/maps/search/?api=1&amp;query=36.97180968,-5.86631326")</f>
      </c>
      <c r="P1500" s="9" t="s">
        <v>1439</v>
      </c>
      <c r="Q1500" s="9" t="s">
        <v>3657</v>
      </c>
    </row>
    <row r="1501" spans="1:17" x14ac:dyDescent="0.25">
      <c r="A1501" s="8" t="s">
        <v>10972</v>
      </c>
      <c r="B1501" s="8" t="s">
        <v>10973</v>
      </c>
      <c r="C1501" s="9" t="s">
        <v>10974</v>
      </c>
      <c r="D1501" s="9" t="s">
        <v>253</v>
      </c>
      <c r="E1501" s="9" t="s">
        <v>943</v>
      </c>
      <c r="F1501" s="10">
        <v>1.378</v>
      </c>
      <c r="G1501" s="10">
        <v>1.515</v>
      </c>
      <c r="H1501" s="10"/>
      <c r="I1501" s="9" t="s">
        <v>96</v>
      </c>
      <c r="J1501" s="9" t="s">
        <v>10975</v>
      </c>
      <c r="K1501" s="9" t="s">
        <v>10976</v>
      </c>
      <c r="L1501" s="8" t="s">
        <v>10977</v>
      </c>
      <c r="M1501" s="9" t="s">
        <v>100</v>
      </c>
      <c r="N1501" s="9" t="s">
        <v>88</v>
      </c>
      <c r="O1501" s="9">
        <f>HYPERLINK("https://www.google.com/maps/search/?api=1&amp;query=41.18276875,1.13376146", "https://www.google.com/maps/search/?api=1&amp;query=41.18276875,1.13376146")</f>
      </c>
      <c r="P1501" s="9" t="s">
        <v>1250</v>
      </c>
      <c r="Q1501" s="9" t="s">
        <v>7794</v>
      </c>
    </row>
    <row r="1502" spans="1:17" x14ac:dyDescent="0.25">
      <c r="A1502" s="8" t="s">
        <v>10978</v>
      </c>
      <c r="B1502" s="8" t="s">
        <v>10979</v>
      </c>
      <c r="C1502" s="9" t="s">
        <v>10980</v>
      </c>
      <c r="D1502" s="9" t="s">
        <v>577</v>
      </c>
      <c r="E1502" s="9" t="s">
        <v>10981</v>
      </c>
      <c r="F1502" s="10">
        <v>1.378</v>
      </c>
      <c r="G1502" s="10">
        <v>1.515</v>
      </c>
      <c r="H1502" s="10"/>
      <c r="I1502" s="9" t="s">
        <v>74</v>
      </c>
      <c r="J1502" s="9" t="s">
        <v>10982</v>
      </c>
      <c r="K1502" s="9" t="s">
        <v>10983</v>
      </c>
      <c r="L1502" s="8" t="s">
        <v>10984</v>
      </c>
      <c r="M1502" s="9" t="s">
        <v>49</v>
      </c>
      <c r="N1502" s="9" t="s">
        <v>483</v>
      </c>
      <c r="O1502" s="9">
        <f>HYPERLINK("https://www.google.com/maps/search/?api=1&amp;query=40.59503495,-4.3334135", "https://www.google.com/maps/search/?api=1&amp;query=40.59503495,-4.3334135")</f>
      </c>
      <c r="P1502" s="9" t="s">
        <v>1471</v>
      </c>
      <c r="Q1502" s="9" t="s">
        <v>772</v>
      </c>
    </row>
    <row r="1503" spans="1:17" x14ac:dyDescent="0.25">
      <c r="A1503" s="8" t="s">
        <v>10985</v>
      </c>
      <c r="B1503" s="8" t="s">
        <v>10986</v>
      </c>
      <c r="C1503" s="9" t="s">
        <v>10987</v>
      </c>
      <c r="D1503" s="9" t="s">
        <v>226</v>
      </c>
      <c r="E1503" s="9" t="s">
        <v>10988</v>
      </c>
      <c r="F1503" s="10">
        <v>1.378</v>
      </c>
      <c r="G1503" s="10">
        <v>1.515</v>
      </c>
      <c r="H1503" s="10"/>
      <c r="I1503" s="9" t="s">
        <v>168</v>
      </c>
      <c r="J1503" s="9" t="s">
        <v>10989</v>
      </c>
      <c r="K1503" s="9" t="s">
        <v>10990</v>
      </c>
      <c r="L1503" s="8" t="s">
        <v>10991</v>
      </c>
      <c r="M1503" s="9" t="s">
        <v>36</v>
      </c>
      <c r="N1503" s="9" t="s">
        <v>10992</v>
      </c>
      <c r="O1503" s="9">
        <f>HYPERLINK("https://www.google.com/maps/search/?api=1&amp;query=39.39252521,-2.76725558", "https://www.google.com/maps/search/?api=1&amp;query=39.39252521,-2.76725558")</f>
      </c>
      <c r="P1503" s="9" t="s">
        <v>7900</v>
      </c>
      <c r="Q1503" s="9" t="s">
        <v>1140</v>
      </c>
    </row>
    <row r="1504" spans="1:17" x14ac:dyDescent="0.25">
      <c r="A1504" s="8" t="s">
        <v>10993</v>
      </c>
      <c r="B1504" s="8" t="s">
        <v>10994</v>
      </c>
      <c r="C1504" s="9" t="s">
        <v>10995</v>
      </c>
      <c r="D1504" s="9" t="s">
        <v>138</v>
      </c>
      <c r="E1504" s="9" t="s">
        <v>10996</v>
      </c>
      <c r="F1504" s="10">
        <v>1.378</v>
      </c>
      <c r="G1504" s="10">
        <v>1.515</v>
      </c>
      <c r="H1504" s="10"/>
      <c r="I1504" s="9" t="s">
        <v>140</v>
      </c>
      <c r="J1504" s="9" t="s">
        <v>10997</v>
      </c>
      <c r="K1504" s="9" t="s">
        <v>10998</v>
      </c>
      <c r="L1504" s="8" t="s">
        <v>10999</v>
      </c>
      <c r="M1504" s="9" t="s">
        <v>36</v>
      </c>
      <c r="N1504" s="9" t="s">
        <v>2365</v>
      </c>
      <c r="O1504" s="9">
        <f>HYPERLINK("https://www.google.com/maps/search/?api=1&amp;query=42.10272771,-8.56914753", "https://www.google.com/maps/search/?api=1&amp;query=42.10272771,-8.56914753")</f>
      </c>
      <c r="P1504" s="9" t="s">
        <v>11000</v>
      </c>
      <c r="Q1504" s="9" t="s">
        <v>11001</v>
      </c>
    </row>
    <row r="1505" spans="1:17" x14ac:dyDescent="0.25">
      <c r="A1505" s="8" t="s">
        <v>11002</v>
      </c>
      <c r="B1505" s="8" t="s">
        <v>11003</v>
      </c>
      <c r="C1505" s="9" t="s">
        <v>11004</v>
      </c>
      <c r="D1505" s="9" t="s">
        <v>116</v>
      </c>
      <c r="E1505" s="9" t="s">
        <v>11005</v>
      </c>
      <c r="F1505" s="10">
        <v>1.378</v>
      </c>
      <c r="G1505" s="10">
        <v>1.515</v>
      </c>
      <c r="H1505" s="10"/>
      <c r="I1505" s="9" t="s">
        <v>118</v>
      </c>
      <c r="J1505" s="9" t="s">
        <v>11006</v>
      </c>
      <c r="K1505" s="9" t="s">
        <v>11007</v>
      </c>
      <c r="L1505" s="8" t="s">
        <v>5588</v>
      </c>
      <c r="M1505" s="9" t="s">
        <v>36</v>
      </c>
      <c r="N1505" s="9" t="s">
        <v>11008</v>
      </c>
      <c r="O1505" s="9">
        <f>HYPERLINK("https://www.google.com/maps/search/?api=1&amp;query=43.23606597,-2.80382293", "https://www.google.com/maps/search/?api=1&amp;query=43.23606597,-2.80382293")</f>
      </c>
      <c r="P1505" s="9" t="s">
        <v>4029</v>
      </c>
      <c r="Q1505" s="9" t="s">
        <v>1204</v>
      </c>
    </row>
    <row r="1506" spans="1:17" x14ac:dyDescent="0.25">
      <c r="A1506" s="8" t="s">
        <v>11009</v>
      </c>
      <c r="B1506" s="8" t="s">
        <v>11010</v>
      </c>
      <c r="C1506" s="9" t="s">
        <v>11011</v>
      </c>
      <c r="D1506" s="9" t="s">
        <v>1282</v>
      </c>
      <c r="E1506" s="9" t="s">
        <v>11012</v>
      </c>
      <c r="F1506" s="10">
        <v>1.378</v>
      </c>
      <c r="G1506" s="10">
        <v>1.515</v>
      </c>
      <c r="H1506" s="10"/>
      <c r="I1506" s="9" t="s">
        <v>45</v>
      </c>
      <c r="J1506" s="9" t="s">
        <v>11013</v>
      </c>
      <c r="K1506" s="9" t="s">
        <v>11014</v>
      </c>
      <c r="L1506" s="8" t="s">
        <v>11015</v>
      </c>
      <c r="M1506" s="9" t="s">
        <v>49</v>
      </c>
      <c r="N1506" s="9" t="s">
        <v>645</v>
      </c>
      <c r="O1506" s="9">
        <f>HYPERLINK("https://www.google.com/maps/search/?api=1&amp;query=36.74391225,-3.51746028", "https://www.google.com/maps/search/?api=1&amp;query=36.74391225,-3.51746028")</f>
      </c>
      <c r="P1506" s="9" t="s">
        <v>5926</v>
      </c>
      <c r="Q1506" s="9" t="s">
        <v>1131</v>
      </c>
    </row>
    <row r="1507" spans="1:17" x14ac:dyDescent="0.25">
      <c r="A1507" s="8" t="s">
        <v>11016</v>
      </c>
      <c r="B1507" s="8" t="s">
        <v>11017</v>
      </c>
      <c r="C1507" s="9" t="s">
        <v>11018</v>
      </c>
      <c r="D1507" s="9" t="s">
        <v>409</v>
      </c>
      <c r="E1507" s="9" t="s">
        <v>11019</v>
      </c>
      <c r="F1507" s="10">
        <v>1.378</v>
      </c>
      <c r="G1507" s="10">
        <v>1.515</v>
      </c>
      <c r="H1507" s="10"/>
      <c r="I1507" s="9" t="s">
        <v>292</v>
      </c>
      <c r="J1507" s="9" t="s">
        <v>11020</v>
      </c>
      <c r="K1507" s="9" t="s">
        <v>11021</v>
      </c>
      <c r="L1507" s="8" t="s">
        <v>11022</v>
      </c>
      <c r="M1507" s="9" t="s">
        <v>36</v>
      </c>
      <c r="N1507" s="9" t="s">
        <v>122</v>
      </c>
      <c r="O1507" s="9">
        <f>HYPERLINK("https://www.google.com/maps/search/?api=1&amp;query=41.51849955,-1.39714339", "https://www.google.com/maps/search/?api=1&amp;query=41.51849955,-1.39714339")</f>
      </c>
      <c r="P1507" s="9" t="s">
        <v>8236</v>
      </c>
      <c r="Q1507" s="9" t="s">
        <v>9363</v>
      </c>
    </row>
    <row r="1508" spans="1:17" x14ac:dyDescent="0.25">
      <c r="A1508" s="8" t="s">
        <v>11023</v>
      </c>
      <c r="B1508" s="8" t="s">
        <v>11024</v>
      </c>
      <c r="C1508" s="9" t="s">
        <v>11025</v>
      </c>
      <c r="D1508" s="9" t="s">
        <v>94</v>
      </c>
      <c r="E1508" s="9" t="s">
        <v>950</v>
      </c>
      <c r="F1508" s="10">
        <v>1.378</v>
      </c>
      <c r="G1508" s="10">
        <v>1.515</v>
      </c>
      <c r="H1508" s="10"/>
      <c r="I1508" s="9" t="s">
        <v>96</v>
      </c>
      <c r="J1508" s="9" t="s">
        <v>11026</v>
      </c>
      <c r="K1508" s="9" t="s">
        <v>11027</v>
      </c>
      <c r="L1508" s="8" t="s">
        <v>11028</v>
      </c>
      <c r="M1508" s="9" t="s">
        <v>49</v>
      </c>
      <c r="N1508" s="9" t="s">
        <v>88</v>
      </c>
      <c r="O1508" s="9">
        <f>HYPERLINK("https://www.google.com/maps/search/?api=1&amp;query=41.45322298,2.22874734", "https://www.google.com/maps/search/?api=1&amp;query=41.45322298,2.22874734")</f>
      </c>
      <c r="P1508" s="9" t="s">
        <v>705</v>
      </c>
      <c r="Q1508" s="9" t="s">
        <v>7794</v>
      </c>
    </row>
    <row r="1509" spans="1:17" x14ac:dyDescent="0.25">
      <c r="A1509" s="8" t="s">
        <v>11029</v>
      </c>
      <c r="B1509" s="8" t="s">
        <v>11030</v>
      </c>
      <c r="C1509" s="9" t="s">
        <v>11031</v>
      </c>
      <c r="D1509" s="9" t="s">
        <v>138</v>
      </c>
      <c r="E1509" s="9" t="s">
        <v>11032</v>
      </c>
      <c r="F1509" s="10">
        <v>1.378</v>
      </c>
      <c r="G1509" s="10">
        <v>1.515</v>
      </c>
      <c r="H1509" s="10"/>
      <c r="I1509" s="9" t="s">
        <v>140</v>
      </c>
      <c r="J1509" s="9" t="s">
        <v>11033</v>
      </c>
      <c r="K1509" s="9" t="s">
        <v>11034</v>
      </c>
      <c r="L1509" s="8" t="s">
        <v>11035</v>
      </c>
      <c r="M1509" s="9" t="s">
        <v>100</v>
      </c>
      <c r="N1509" s="9" t="s">
        <v>211</v>
      </c>
      <c r="O1509" s="9">
        <f>HYPERLINK("https://www.google.com/maps/search/?api=1&amp;query=42.17045691,-8.58785699", "https://www.google.com/maps/search/?api=1&amp;query=42.17045691,-8.58785699")</f>
      </c>
      <c r="P1509" s="9" t="s">
        <v>2480</v>
      </c>
      <c r="Q1509" s="9" t="s">
        <v>11036</v>
      </c>
    </row>
    <row r="1510" spans="1:17" x14ac:dyDescent="0.25">
      <c r="A1510" s="8" t="s">
        <v>11037</v>
      </c>
      <c r="B1510" s="8" t="s">
        <v>11038</v>
      </c>
      <c r="C1510" s="9" t="s">
        <v>11039</v>
      </c>
      <c r="D1510" s="9" t="s">
        <v>1847</v>
      </c>
      <c r="E1510" s="9" t="s">
        <v>5130</v>
      </c>
      <c r="F1510" s="10">
        <v>1.378</v>
      </c>
      <c r="G1510" s="10">
        <v>1.515</v>
      </c>
      <c r="H1510" s="10"/>
      <c r="I1510" s="9" t="s">
        <v>74</v>
      </c>
      <c r="J1510" s="9" t="s">
        <v>11040</v>
      </c>
      <c r="K1510" s="9" t="s">
        <v>11041</v>
      </c>
      <c r="L1510" s="8" t="s">
        <v>5133</v>
      </c>
      <c r="M1510" s="9" t="s">
        <v>49</v>
      </c>
      <c r="N1510" s="9" t="s">
        <v>11042</v>
      </c>
      <c r="O1510" s="9">
        <f>HYPERLINK("https://www.google.com/maps/search/?api=1&amp;query=41.41959341,-4.35486649", "https://www.google.com/maps/search/?api=1&amp;query=41.41959341,-4.35486649")</f>
      </c>
      <c r="P1510" s="9" t="s">
        <v>11043</v>
      </c>
      <c r="Q1510" s="9" t="s">
        <v>11044</v>
      </c>
    </row>
    <row r="1511" spans="1:17" x14ac:dyDescent="0.25">
      <c r="A1511" s="8" t="s">
        <v>11045</v>
      </c>
      <c r="B1511" s="8" t="s">
        <v>11046</v>
      </c>
      <c r="C1511" s="9" t="s">
        <v>11047</v>
      </c>
      <c r="D1511" s="9" t="s">
        <v>106</v>
      </c>
      <c r="E1511" s="9" t="s">
        <v>11048</v>
      </c>
      <c r="F1511" s="10">
        <v>1.378</v>
      </c>
      <c r="G1511" s="10">
        <v>1.515</v>
      </c>
      <c r="H1511" s="10"/>
      <c r="I1511" s="9" t="s">
        <v>106</v>
      </c>
      <c r="J1511" s="9" t="s">
        <v>11049</v>
      </c>
      <c r="K1511" s="9" t="s">
        <v>11050</v>
      </c>
      <c r="L1511" s="8" t="s">
        <v>11051</v>
      </c>
      <c r="M1511" s="9" t="s">
        <v>49</v>
      </c>
      <c r="N1511" s="9" t="s">
        <v>88</v>
      </c>
      <c r="O1511" s="9">
        <f>HYPERLINK("https://www.google.com/maps/search/?api=1&amp;query=37.94121832,-1.26468571", "https://www.google.com/maps/search/?api=1&amp;query=37.94121832,-1.26468571")</f>
      </c>
      <c r="P1511" s="9" t="s">
        <v>5926</v>
      </c>
      <c r="Q1511" s="9" t="s">
        <v>11052</v>
      </c>
    </row>
    <row r="1512" spans="1:17" x14ac:dyDescent="0.25">
      <c r="A1512" s="8" t="s">
        <v>11053</v>
      </c>
      <c r="B1512" s="8" t="s">
        <v>11054</v>
      </c>
      <c r="C1512" s="9" t="s">
        <v>11055</v>
      </c>
      <c r="D1512" s="9" t="s">
        <v>344</v>
      </c>
      <c r="E1512" s="9" t="s">
        <v>11056</v>
      </c>
      <c r="F1512" s="10">
        <v>1.378</v>
      </c>
      <c r="G1512" s="10">
        <v>1.515</v>
      </c>
      <c r="H1512" s="10"/>
      <c r="I1512" s="9" t="s">
        <v>140</v>
      </c>
      <c r="J1512" s="9" t="s">
        <v>11057</v>
      </c>
      <c r="K1512" s="9" t="s">
        <v>11058</v>
      </c>
      <c r="L1512" s="8" t="s">
        <v>11059</v>
      </c>
      <c r="M1512" s="9" t="s">
        <v>49</v>
      </c>
      <c r="N1512" s="9" t="s">
        <v>211</v>
      </c>
      <c r="O1512" s="9">
        <f>HYPERLINK("https://www.google.com/maps/search/?api=1&amp;query=43.33998934,-8.44553475", "https://www.google.com/maps/search/?api=1&amp;query=43.33998934,-8.44553475")</f>
      </c>
      <c r="P1512" s="9" t="s">
        <v>3400</v>
      </c>
      <c r="Q1512" s="9" t="s">
        <v>1131</v>
      </c>
    </row>
    <row r="1513" spans="1:17" x14ac:dyDescent="0.25">
      <c r="A1513" s="8" t="s">
        <v>11060</v>
      </c>
      <c r="B1513" s="8" t="s">
        <v>11061</v>
      </c>
      <c r="C1513" s="9" t="s">
        <v>11062</v>
      </c>
      <c r="D1513" s="9" t="s">
        <v>1282</v>
      </c>
      <c r="E1513" s="9" t="s">
        <v>11063</v>
      </c>
      <c r="F1513" s="10">
        <v>1.378</v>
      </c>
      <c r="G1513" s="10">
        <v>1.515</v>
      </c>
      <c r="H1513" s="10"/>
      <c r="I1513" s="9" t="s">
        <v>45</v>
      </c>
      <c r="J1513" s="9" t="s">
        <v>11064</v>
      </c>
      <c r="K1513" s="9" t="s">
        <v>11065</v>
      </c>
      <c r="L1513" s="8" t="s">
        <v>11066</v>
      </c>
      <c r="M1513" s="9" t="s">
        <v>36</v>
      </c>
      <c r="N1513" s="9" t="s">
        <v>11067</v>
      </c>
      <c r="O1513" s="9">
        <f>HYPERLINK("https://www.google.com/maps/search/?api=1&amp;query=36.76205702,-3.18245966", "https://www.google.com/maps/search/?api=1&amp;query=36.76205702,-3.18245966")</f>
      </c>
      <c r="P1513" s="9" t="s">
        <v>182</v>
      </c>
      <c r="Q1513" s="9" t="s">
        <v>618</v>
      </c>
    </row>
    <row r="1514" spans="1:17" x14ac:dyDescent="0.25">
      <c r="A1514" s="8" t="s">
        <v>11068</v>
      </c>
      <c r="B1514" s="8" t="s">
        <v>11069</v>
      </c>
      <c r="C1514" s="9" t="s">
        <v>11070</v>
      </c>
      <c r="D1514" s="9" t="s">
        <v>516</v>
      </c>
      <c r="E1514" s="9" t="s">
        <v>11071</v>
      </c>
      <c r="F1514" s="10">
        <v>1.378</v>
      </c>
      <c r="G1514" s="10">
        <v>1.515</v>
      </c>
      <c r="H1514" s="10"/>
      <c r="I1514" s="9" t="s">
        <v>140</v>
      </c>
      <c r="J1514" s="9" t="s">
        <v>11072</v>
      </c>
      <c r="K1514" s="9" t="s">
        <v>11073</v>
      </c>
      <c r="L1514" s="8" t="s">
        <v>11074</v>
      </c>
      <c r="M1514" s="9" t="s">
        <v>36</v>
      </c>
      <c r="N1514" s="9" t="s">
        <v>211</v>
      </c>
      <c r="O1514" s="9">
        <f>HYPERLINK("https://www.google.com/maps/search/?api=1&amp;query=42.541318,-7.8125239", "https://www.google.com/maps/search/?api=1&amp;query=42.541318,-7.8125239")</f>
      </c>
      <c r="P1514" s="9" t="s">
        <v>1927</v>
      </c>
      <c r="Q1514" s="9" t="s">
        <v>8312</v>
      </c>
    </row>
    <row r="1515" spans="1:17" x14ac:dyDescent="0.25">
      <c r="A1515" s="8" t="s">
        <v>11075</v>
      </c>
      <c r="B1515" s="8" t="s">
        <v>11076</v>
      </c>
      <c r="C1515" s="9" t="s">
        <v>11077</v>
      </c>
      <c r="D1515" s="9" t="s">
        <v>187</v>
      </c>
      <c r="E1515" s="9" t="s">
        <v>11078</v>
      </c>
      <c r="F1515" s="10">
        <v>1.378</v>
      </c>
      <c r="G1515" s="10">
        <v>1.515</v>
      </c>
      <c r="H1515" s="10"/>
      <c r="I1515" s="9" t="s">
        <v>74</v>
      </c>
      <c r="J1515" s="9" t="s">
        <v>11079</v>
      </c>
      <c r="K1515" s="9" t="s">
        <v>11080</v>
      </c>
      <c r="L1515" s="8" t="s">
        <v>11081</v>
      </c>
      <c r="M1515" s="9" t="s">
        <v>49</v>
      </c>
      <c r="N1515" s="9" t="s">
        <v>11082</v>
      </c>
      <c r="O1515" s="9">
        <f>HYPERLINK("https://www.google.com/maps/search/?api=1&amp;query=42.64365792,-5.58749249", "https://www.google.com/maps/search/?api=1&amp;query=42.64365792,-5.58749249")</f>
      </c>
      <c r="P1515" s="9" t="s">
        <v>11083</v>
      </c>
      <c r="Q1515" s="9" t="s">
        <v>1131</v>
      </c>
    </row>
    <row r="1516" spans="1:17" x14ac:dyDescent="0.25">
      <c r="A1516" s="8" t="s">
        <v>11084</v>
      </c>
      <c r="B1516" s="8" t="s">
        <v>11085</v>
      </c>
      <c r="C1516" s="9" t="s">
        <v>11086</v>
      </c>
      <c r="D1516" s="9" t="s">
        <v>488</v>
      </c>
      <c r="E1516" s="9" t="s">
        <v>11087</v>
      </c>
      <c r="F1516" s="10">
        <v>1.378</v>
      </c>
      <c r="G1516" s="10">
        <v>1.515</v>
      </c>
      <c r="H1516" s="10"/>
      <c r="I1516" s="9" t="s">
        <v>45</v>
      </c>
      <c r="J1516" s="9" t="s">
        <v>11088</v>
      </c>
      <c r="K1516" s="9" t="s">
        <v>11089</v>
      </c>
      <c r="L1516" s="8" t="s">
        <v>11090</v>
      </c>
      <c r="M1516" s="9" t="s">
        <v>49</v>
      </c>
      <c r="N1516" s="9" t="s">
        <v>88</v>
      </c>
      <c r="O1516" s="9">
        <f>HYPERLINK("https://www.google.com/maps/search/?api=1&amp;query=38.01414771,-3.38380161", "https://www.google.com/maps/search/?api=1&amp;query=38.01414771,-3.38380161")</f>
      </c>
      <c r="P1516" s="9" t="s">
        <v>11091</v>
      </c>
      <c r="Q1516" s="9" t="s">
        <v>10247</v>
      </c>
    </row>
    <row r="1517" spans="1:17" x14ac:dyDescent="0.25">
      <c r="A1517" s="8" t="s">
        <v>11092</v>
      </c>
      <c r="B1517" s="8" t="s">
        <v>11093</v>
      </c>
      <c r="C1517" s="9" t="s">
        <v>11094</v>
      </c>
      <c r="D1517" s="9" t="s">
        <v>444</v>
      </c>
      <c r="E1517" s="9" t="s">
        <v>11095</v>
      </c>
      <c r="F1517" s="10">
        <v>1.378</v>
      </c>
      <c r="G1517" s="10">
        <v>1.515</v>
      </c>
      <c r="H1517" s="10"/>
      <c r="I1517" s="9" t="s">
        <v>444</v>
      </c>
      <c r="J1517" s="9" t="s">
        <v>11096</v>
      </c>
      <c r="K1517" s="9" t="s">
        <v>11097</v>
      </c>
      <c r="L1517" s="8" t="s">
        <v>10893</v>
      </c>
      <c r="M1517" s="9" t="s">
        <v>36</v>
      </c>
      <c r="N1517" s="9" t="s">
        <v>66</v>
      </c>
      <c r="O1517" s="9">
        <f>HYPERLINK("https://www.google.com/maps/search/?api=1&amp;query=43.55135738,-5.91181833", "https://www.google.com/maps/search/?api=1&amp;query=43.55135738,-5.91181833")</f>
      </c>
      <c r="P1517" s="9" t="s">
        <v>1268</v>
      </c>
      <c r="Q1517" s="9" t="s">
        <v>6551</v>
      </c>
    </row>
    <row r="1518" spans="1:17" x14ac:dyDescent="0.25">
      <c r="A1518" s="8" t="s">
        <v>11098</v>
      </c>
      <c r="B1518" s="8" t="s">
        <v>11099</v>
      </c>
      <c r="C1518" s="9" t="s">
        <v>11100</v>
      </c>
      <c r="D1518" s="9" t="s">
        <v>2288</v>
      </c>
      <c r="E1518" s="9" t="s">
        <v>11101</v>
      </c>
      <c r="F1518" s="10">
        <v>1.378</v>
      </c>
      <c r="G1518" s="10">
        <v>1.515</v>
      </c>
      <c r="H1518" s="10"/>
      <c r="I1518" s="9" t="s">
        <v>168</v>
      </c>
      <c r="J1518" s="9" t="s">
        <v>11102</v>
      </c>
      <c r="K1518" s="9" t="s">
        <v>11103</v>
      </c>
      <c r="L1518" s="8" t="s">
        <v>11104</v>
      </c>
      <c r="M1518" s="9" t="s">
        <v>36</v>
      </c>
      <c r="N1518" s="9" t="s">
        <v>88</v>
      </c>
      <c r="O1518" s="9">
        <f>HYPERLINK("https://www.google.com/maps/search/?api=1&amp;query=38.79922309,-1.72911891", "https://www.google.com/maps/search/?api=1&amp;query=38.79922309,-1.72911891")</f>
      </c>
      <c r="P1518" s="9" t="s">
        <v>7943</v>
      </c>
      <c r="Q1518" s="9" t="s">
        <v>1140</v>
      </c>
    </row>
    <row r="1519" spans="1:17" x14ac:dyDescent="0.25">
      <c r="A1519" s="8" t="s">
        <v>11105</v>
      </c>
      <c r="B1519" s="8" t="s">
        <v>11106</v>
      </c>
      <c r="C1519" s="9" t="s">
        <v>11107</v>
      </c>
      <c r="D1519" s="9" t="s">
        <v>217</v>
      </c>
      <c r="E1519" s="9" t="s">
        <v>11108</v>
      </c>
      <c r="F1519" s="10">
        <v>1.378</v>
      </c>
      <c r="G1519" s="10">
        <v>1.515</v>
      </c>
      <c r="H1519" s="10"/>
      <c r="I1519" s="9" t="s">
        <v>45</v>
      </c>
      <c r="J1519" s="9" t="s">
        <v>11109</v>
      </c>
      <c r="K1519" s="9" t="s">
        <v>11110</v>
      </c>
      <c r="L1519" s="8" t="s">
        <v>11111</v>
      </c>
      <c r="M1519" s="9" t="s">
        <v>36</v>
      </c>
      <c r="N1519" s="9" t="s">
        <v>88</v>
      </c>
      <c r="O1519" s="9">
        <f>HYPERLINK("https://www.google.com/maps/search/?api=1&amp;query=36.71705786,-4.58993592", "https://www.google.com/maps/search/?api=1&amp;query=36.71705786,-4.58993592")</f>
      </c>
      <c r="P1519" s="9" t="s">
        <v>1010</v>
      </c>
      <c r="Q1519" s="9" t="s">
        <v>565</v>
      </c>
    </row>
    <row r="1520" spans="1:17" x14ac:dyDescent="0.25">
      <c r="A1520" s="8" t="s">
        <v>11112</v>
      </c>
      <c r="B1520" s="8" t="s">
        <v>11113</v>
      </c>
      <c r="C1520" s="9" t="s">
        <v>11114</v>
      </c>
      <c r="D1520" s="9" t="s">
        <v>30</v>
      </c>
      <c r="E1520" s="9" t="s">
        <v>11115</v>
      </c>
      <c r="F1520" s="10">
        <v>1.378</v>
      </c>
      <c r="G1520" s="10">
        <v>1.515</v>
      </c>
      <c r="H1520" s="10"/>
      <c r="I1520" s="9" t="s">
        <v>32</v>
      </c>
      <c r="J1520" s="9" t="s">
        <v>11116</v>
      </c>
      <c r="K1520" s="9" t="s">
        <v>11117</v>
      </c>
      <c r="L1520" s="8" t="s">
        <v>11118</v>
      </c>
      <c r="M1520" s="9" t="s">
        <v>49</v>
      </c>
      <c r="N1520" s="9" t="s">
        <v>88</v>
      </c>
      <c r="O1520" s="9">
        <f>HYPERLINK("https://www.google.com/maps/search/?api=1&amp;query=38.55365704,-6.23291207", "https://www.google.com/maps/search/?api=1&amp;query=38.55365704,-6.23291207")</f>
      </c>
      <c r="P1520" s="9" t="s">
        <v>11119</v>
      </c>
      <c r="Q1520" s="9" t="s">
        <v>3771</v>
      </c>
    </row>
    <row r="1521" spans="1:17" x14ac:dyDescent="0.25">
      <c r="A1521" s="8" t="s">
        <v>11120</v>
      </c>
      <c r="B1521" s="8" t="s">
        <v>11121</v>
      </c>
      <c r="C1521" s="9" t="s">
        <v>11122</v>
      </c>
      <c r="D1521" s="9" t="s">
        <v>253</v>
      </c>
      <c r="E1521" s="9" t="s">
        <v>943</v>
      </c>
      <c r="F1521" s="10">
        <v>1.378</v>
      </c>
      <c r="G1521" s="10">
        <v>1.515</v>
      </c>
      <c r="H1521" s="10"/>
      <c r="I1521" s="9" t="s">
        <v>96</v>
      </c>
      <c r="J1521" s="9" t="s">
        <v>11123</v>
      </c>
      <c r="K1521" s="9" t="s">
        <v>11124</v>
      </c>
      <c r="L1521" s="8" t="s">
        <v>10977</v>
      </c>
      <c r="M1521" s="9" t="s">
        <v>36</v>
      </c>
      <c r="N1521" s="9" t="s">
        <v>88</v>
      </c>
      <c r="O1521" s="9">
        <f>HYPERLINK("https://www.google.com/maps/search/?api=1&amp;query=41.12197161,1.09518024", "https://www.google.com/maps/search/?api=1&amp;query=41.12197161,1.09518024")</f>
      </c>
      <c r="P1521" s="9" t="s">
        <v>4183</v>
      </c>
      <c r="Q1521" s="9" t="s">
        <v>3771</v>
      </c>
    </row>
    <row r="1522" spans="1:17" x14ac:dyDescent="0.25">
      <c r="A1522" s="8" t="s">
        <v>11125</v>
      </c>
      <c r="B1522" s="8" t="s">
        <v>11126</v>
      </c>
      <c r="C1522" s="9" t="s">
        <v>11127</v>
      </c>
      <c r="D1522" s="9" t="s">
        <v>187</v>
      </c>
      <c r="E1522" s="9" t="s">
        <v>11128</v>
      </c>
      <c r="F1522" s="10">
        <v>1.378</v>
      </c>
      <c r="G1522" s="10">
        <v>1.515</v>
      </c>
      <c r="H1522" s="10"/>
      <c r="I1522" s="9" t="s">
        <v>74</v>
      </c>
      <c r="J1522" s="9" t="s">
        <v>11129</v>
      </c>
      <c r="K1522" s="9" t="s">
        <v>11130</v>
      </c>
      <c r="L1522" s="8" t="s">
        <v>11131</v>
      </c>
      <c r="M1522" s="9" t="s">
        <v>49</v>
      </c>
      <c r="N1522" s="9" t="s">
        <v>122</v>
      </c>
      <c r="O1522" s="9">
        <f>HYPERLINK("https://www.google.com/maps/search/?api=1&amp;query=42.58525987,-6.675389", "https://www.google.com/maps/search/?api=1&amp;query=42.58525987,-6.675389")</f>
      </c>
      <c r="P1522" s="9" t="s">
        <v>11043</v>
      </c>
      <c r="Q1522" s="9" t="s">
        <v>565</v>
      </c>
    </row>
    <row r="1523" spans="1:17" x14ac:dyDescent="0.25">
      <c r="A1523" s="8" t="s">
        <v>11132</v>
      </c>
      <c r="B1523" s="8" t="s">
        <v>11133</v>
      </c>
      <c r="C1523" s="9" t="s">
        <v>11134</v>
      </c>
      <c r="D1523" s="9" t="s">
        <v>1434</v>
      </c>
      <c r="E1523" s="9" t="s">
        <v>2899</v>
      </c>
      <c r="F1523" s="10">
        <v>1.378</v>
      </c>
      <c r="G1523" s="10">
        <v>1.515</v>
      </c>
      <c r="H1523" s="10"/>
      <c r="I1523" s="9" t="s">
        <v>1434</v>
      </c>
      <c r="J1523" s="9" t="s">
        <v>11135</v>
      </c>
      <c r="K1523" s="9" t="s">
        <v>11136</v>
      </c>
      <c r="L1523" s="8" t="s">
        <v>2902</v>
      </c>
      <c r="M1523" s="9" t="s">
        <v>49</v>
      </c>
      <c r="N1523" s="9" t="s">
        <v>88</v>
      </c>
      <c r="O1523" s="9">
        <f>HYPERLINK("https://www.google.com/maps/search/?api=1&amp;query=42.45644942,-2.43205076", "https://www.google.com/maps/search/?api=1&amp;query=42.45644942,-2.43205076")</f>
      </c>
      <c r="P1523" s="9" t="s">
        <v>1203</v>
      </c>
      <c r="Q1523" s="9" t="s">
        <v>11137</v>
      </c>
    </row>
    <row r="1524" spans="1:17" x14ac:dyDescent="0.25">
      <c r="A1524" s="8" t="s">
        <v>11138</v>
      </c>
      <c r="B1524" s="8" t="s">
        <v>11139</v>
      </c>
      <c r="C1524" s="9" t="s">
        <v>11140</v>
      </c>
      <c r="D1524" s="9" t="s">
        <v>631</v>
      </c>
      <c r="E1524" s="9" t="s">
        <v>1047</v>
      </c>
      <c r="F1524" s="10">
        <v>1.378</v>
      </c>
      <c r="G1524" s="10">
        <v>1.515</v>
      </c>
      <c r="H1524" s="10"/>
      <c r="I1524" s="9" t="s">
        <v>45</v>
      </c>
      <c r="J1524" s="9" t="s">
        <v>11141</v>
      </c>
      <c r="K1524" s="9" t="s">
        <v>11142</v>
      </c>
      <c r="L1524" s="8" t="s">
        <v>7936</v>
      </c>
      <c r="M1524" s="9" t="s">
        <v>36</v>
      </c>
      <c r="N1524" s="9" t="s">
        <v>88</v>
      </c>
      <c r="O1524" s="9">
        <f>HYPERLINK("https://www.google.com/maps/search/?api=1&amp;query=37.92103108,-4.7615204", "https://www.google.com/maps/search/?api=1&amp;query=37.92103108,-4.7615204")</f>
      </c>
      <c r="P1524" s="9" t="s">
        <v>2442</v>
      </c>
      <c r="Q1524" s="9" t="s">
        <v>8447</v>
      </c>
    </row>
    <row r="1525" spans="1:17" x14ac:dyDescent="0.25">
      <c r="A1525" s="8" t="s">
        <v>11143</v>
      </c>
      <c r="B1525" s="8" t="s">
        <v>11144</v>
      </c>
      <c r="C1525" s="9" t="s">
        <v>11145</v>
      </c>
      <c r="D1525" s="9" t="s">
        <v>106</v>
      </c>
      <c r="E1525" s="9" t="s">
        <v>11146</v>
      </c>
      <c r="F1525" s="10">
        <v>1.378</v>
      </c>
      <c r="G1525" s="10">
        <v>1.515</v>
      </c>
      <c r="H1525" s="10"/>
      <c r="I1525" s="9" t="s">
        <v>106</v>
      </c>
      <c r="J1525" s="9" t="s">
        <v>11147</v>
      </c>
      <c r="K1525" s="9" t="s">
        <v>11148</v>
      </c>
      <c r="L1525" s="8" t="s">
        <v>11149</v>
      </c>
      <c r="M1525" s="9" t="s">
        <v>100</v>
      </c>
      <c r="N1525" s="9" t="s">
        <v>7479</v>
      </c>
      <c r="O1525" s="9">
        <f>HYPERLINK("https://www.google.com/maps/search/?api=1&amp;query=37.61298045,-0.89558611", "https://www.google.com/maps/search/?api=1&amp;query=37.61298045,-0.89558611")</f>
      </c>
      <c r="P1525" s="9" t="s">
        <v>1203</v>
      </c>
      <c r="Q1525" s="9" t="s">
        <v>11150</v>
      </c>
    </row>
    <row r="1526" spans="1:17" x14ac:dyDescent="0.25">
      <c r="A1526" s="8" t="s">
        <v>11151</v>
      </c>
      <c r="B1526" s="8" t="s">
        <v>11152</v>
      </c>
      <c r="C1526" s="9" t="s">
        <v>7854</v>
      </c>
      <c r="D1526" s="9" t="s">
        <v>106</v>
      </c>
      <c r="E1526" s="9" t="s">
        <v>11153</v>
      </c>
      <c r="F1526" s="10">
        <v>1.378</v>
      </c>
      <c r="G1526" s="10">
        <v>1.515</v>
      </c>
      <c r="H1526" s="10"/>
      <c r="I1526" s="9" t="s">
        <v>106</v>
      </c>
      <c r="J1526" s="9" t="s">
        <v>11154</v>
      </c>
      <c r="K1526" s="9" t="s">
        <v>11155</v>
      </c>
      <c r="L1526" s="8" t="s">
        <v>11156</v>
      </c>
      <c r="M1526" s="9" t="s">
        <v>49</v>
      </c>
      <c r="N1526" s="9" t="s">
        <v>88</v>
      </c>
      <c r="O1526" s="9">
        <f>HYPERLINK("https://www.google.com/maps/search/?api=1&amp;query=38.04123063,-1.48190149", "https://www.google.com/maps/search/?api=1&amp;query=38.04123063,-1.48190149")</f>
      </c>
      <c r="P1526" s="9" t="s">
        <v>1100</v>
      </c>
      <c r="Q1526" s="9" t="s">
        <v>11157</v>
      </c>
    </row>
    <row r="1527" spans="1:17" x14ac:dyDescent="0.25">
      <c r="A1527" s="8" t="s">
        <v>11158</v>
      </c>
      <c r="B1527" s="8" t="s">
        <v>11159</v>
      </c>
      <c r="C1527" s="9" t="s">
        <v>11160</v>
      </c>
      <c r="D1527" s="9" t="s">
        <v>94</v>
      </c>
      <c r="E1527" s="9" t="s">
        <v>8029</v>
      </c>
      <c r="F1527" s="10">
        <v>1.378</v>
      </c>
      <c r="G1527" s="10">
        <v>1.515</v>
      </c>
      <c r="H1527" s="10"/>
      <c r="I1527" s="9" t="s">
        <v>96</v>
      </c>
      <c r="J1527" s="9" t="s">
        <v>11161</v>
      </c>
      <c r="K1527" s="9" t="s">
        <v>11162</v>
      </c>
      <c r="L1527" s="8" t="s">
        <v>8032</v>
      </c>
      <c r="M1527" s="9" t="s">
        <v>49</v>
      </c>
      <c r="N1527" s="9" t="s">
        <v>88</v>
      </c>
      <c r="O1527" s="9">
        <f>HYPERLINK("https://www.google.com/maps/search/?api=1&amp;query=41.57651342,1.62945887", "https://www.google.com/maps/search/?api=1&amp;query=41.57651342,1.62945887")</f>
      </c>
      <c r="P1527" s="9" t="s">
        <v>11163</v>
      </c>
      <c r="Q1527" s="9" t="s">
        <v>565</v>
      </c>
    </row>
    <row r="1528" spans="1:17" x14ac:dyDescent="0.25">
      <c r="A1528" s="8" t="s">
        <v>11164</v>
      </c>
      <c r="B1528" s="8" t="s">
        <v>11165</v>
      </c>
      <c r="C1528" s="9" t="s">
        <v>11166</v>
      </c>
      <c r="D1528" s="9" t="s">
        <v>400</v>
      </c>
      <c r="E1528" s="9" t="s">
        <v>11167</v>
      </c>
      <c r="F1528" s="10">
        <v>1.378</v>
      </c>
      <c r="G1528" s="10">
        <v>1.515</v>
      </c>
      <c r="H1528" s="10"/>
      <c r="I1528" s="9" t="s">
        <v>400</v>
      </c>
      <c r="J1528" s="9" t="s">
        <v>11168</v>
      </c>
      <c r="K1528" s="9" t="s">
        <v>11169</v>
      </c>
      <c r="L1528" s="8" t="s">
        <v>2711</v>
      </c>
      <c r="M1528" s="9" t="s">
        <v>36</v>
      </c>
      <c r="N1528" s="9" t="s">
        <v>88</v>
      </c>
      <c r="O1528" s="9">
        <f>HYPERLINK("https://www.google.com/maps/search/?api=1&amp;query=39.50202835,-0.3565244", "https://www.google.com/maps/search/?api=1&amp;query=39.50202835,-0.3565244")</f>
      </c>
      <c r="P1528" s="9" t="s">
        <v>646</v>
      </c>
      <c r="Q1528" s="9" t="s">
        <v>11170</v>
      </c>
    </row>
    <row r="1529" spans="1:17" x14ac:dyDescent="0.25">
      <c r="A1529" s="8" t="s">
        <v>11171</v>
      </c>
      <c r="B1529" s="8" t="s">
        <v>11172</v>
      </c>
      <c r="C1529" s="9" t="s">
        <v>11173</v>
      </c>
      <c r="D1529" s="9" t="s">
        <v>61</v>
      </c>
      <c r="E1529" s="9" t="s">
        <v>11174</v>
      </c>
      <c r="F1529" s="10">
        <v>1.378</v>
      </c>
      <c r="G1529" s="10">
        <v>1.515</v>
      </c>
      <c r="H1529" s="10"/>
      <c r="I1529" s="9" t="s">
        <v>45</v>
      </c>
      <c r="J1529" s="9" t="s">
        <v>11175</v>
      </c>
      <c r="K1529" s="9" t="s">
        <v>11176</v>
      </c>
      <c r="L1529" s="8" t="s">
        <v>11177</v>
      </c>
      <c r="M1529" s="9" t="s">
        <v>36</v>
      </c>
      <c r="N1529" s="9" t="s">
        <v>2617</v>
      </c>
      <c r="O1529" s="9">
        <f>HYPERLINK("https://www.google.com/maps/search/?api=1&amp;query=37.47869697,-5.95309302", "https://www.google.com/maps/search/?api=1&amp;query=37.47869697,-5.95309302")</f>
      </c>
      <c r="P1529" s="9" t="s">
        <v>1203</v>
      </c>
      <c r="Q1529" s="9" t="s">
        <v>11178</v>
      </c>
    </row>
    <row r="1530" spans="1:17" x14ac:dyDescent="0.25">
      <c r="A1530" s="8" t="s">
        <v>11179</v>
      </c>
      <c r="B1530" s="8" t="s">
        <v>11180</v>
      </c>
      <c r="C1530" s="9" t="s">
        <v>11181</v>
      </c>
      <c r="D1530" s="9" t="s">
        <v>444</v>
      </c>
      <c r="E1530" s="9" t="s">
        <v>11182</v>
      </c>
      <c r="F1530" s="10">
        <v>1.378</v>
      </c>
      <c r="G1530" s="10">
        <v>1.515</v>
      </c>
      <c r="H1530" s="10"/>
      <c r="I1530" s="9" t="s">
        <v>444</v>
      </c>
      <c r="J1530" s="9" t="s">
        <v>11183</v>
      </c>
      <c r="K1530" s="9" t="s">
        <v>11184</v>
      </c>
      <c r="L1530" s="8" t="s">
        <v>11185</v>
      </c>
      <c r="M1530" s="9" t="s">
        <v>49</v>
      </c>
      <c r="N1530" s="9" t="s">
        <v>11186</v>
      </c>
      <c r="O1530" s="9">
        <f>HYPERLINK("https://www.google.com/maps/search/?api=1&amp;query=43.16477075,-6.09681429", "https://www.google.com/maps/search/?api=1&amp;query=43.16477075,-6.09681429")</f>
      </c>
      <c r="P1530" s="9" t="s">
        <v>1373</v>
      </c>
      <c r="Q1530" s="9" t="s">
        <v>1131</v>
      </c>
    </row>
    <row r="1531" spans="1:17" x14ac:dyDescent="0.25">
      <c r="A1531" s="8" t="s">
        <v>11187</v>
      </c>
      <c r="B1531" s="8" t="s">
        <v>11188</v>
      </c>
      <c r="C1531" s="9" t="s">
        <v>11189</v>
      </c>
      <c r="D1531" s="9" t="s">
        <v>187</v>
      </c>
      <c r="E1531" s="9" t="s">
        <v>11190</v>
      </c>
      <c r="F1531" s="10">
        <v>1.378</v>
      </c>
      <c r="G1531" s="10">
        <v>1.515</v>
      </c>
      <c r="H1531" s="10"/>
      <c r="I1531" s="9" t="s">
        <v>74</v>
      </c>
      <c r="J1531" s="9" t="s">
        <v>11191</v>
      </c>
      <c r="K1531" s="9" t="s">
        <v>11192</v>
      </c>
      <c r="L1531" s="8" t="s">
        <v>11193</v>
      </c>
      <c r="M1531" s="9" t="s">
        <v>49</v>
      </c>
      <c r="N1531" s="9" t="s">
        <v>11194</v>
      </c>
      <c r="O1531" s="9">
        <f>HYPERLINK("https://www.google.com/maps/search/?api=1&amp;query=42.72386038,-6.65092525", "https://www.google.com/maps/search/?api=1&amp;query=42.72386038,-6.65092525")</f>
      </c>
      <c r="P1531" s="9" t="s">
        <v>7037</v>
      </c>
      <c r="Q1531" s="9" t="s">
        <v>11195</v>
      </c>
    </row>
    <row r="1532" spans="1:17" x14ac:dyDescent="0.25">
      <c r="A1532" s="8" t="s">
        <v>11196</v>
      </c>
      <c r="B1532" s="8" t="s">
        <v>11197</v>
      </c>
      <c r="C1532" s="9" t="s">
        <v>11198</v>
      </c>
      <c r="D1532" s="9" t="s">
        <v>400</v>
      </c>
      <c r="E1532" s="9" t="s">
        <v>11199</v>
      </c>
      <c r="F1532" s="10">
        <v>1.378</v>
      </c>
      <c r="G1532" s="10">
        <v>1.515</v>
      </c>
      <c r="H1532" s="10"/>
      <c r="I1532" s="9" t="s">
        <v>400</v>
      </c>
      <c r="J1532" s="9" t="s">
        <v>11200</v>
      </c>
      <c r="K1532" s="9" t="s">
        <v>11201</v>
      </c>
      <c r="L1532" s="8" t="s">
        <v>11202</v>
      </c>
      <c r="M1532" s="9" t="s">
        <v>100</v>
      </c>
      <c r="N1532" s="9" t="s">
        <v>37</v>
      </c>
      <c r="O1532" s="9">
        <f>HYPERLINK("https://www.google.com/maps/search/?api=1&amp;query=39.56372262,-1.19703617", "https://www.google.com/maps/search/?api=1&amp;query=39.56372262,-1.19703617")</f>
      </c>
      <c r="P1532" s="9" t="s">
        <v>617</v>
      </c>
      <c r="Q1532" s="9" t="s">
        <v>11203</v>
      </c>
    </row>
    <row r="1533" spans="1:17" x14ac:dyDescent="0.25">
      <c r="A1533" s="8" t="s">
        <v>11204</v>
      </c>
      <c r="B1533" s="8" t="s">
        <v>11205</v>
      </c>
      <c r="C1533" s="9" t="s">
        <v>11206</v>
      </c>
      <c r="D1533" s="9" t="s">
        <v>61</v>
      </c>
      <c r="E1533" s="9" t="s">
        <v>11207</v>
      </c>
      <c r="F1533" s="10">
        <v>1.378</v>
      </c>
      <c r="G1533" s="10">
        <v>1.515</v>
      </c>
      <c r="H1533" s="10"/>
      <c r="I1533" s="9" t="s">
        <v>45</v>
      </c>
      <c r="J1533" s="9" t="s">
        <v>11208</v>
      </c>
      <c r="K1533" s="9" t="s">
        <v>11209</v>
      </c>
      <c r="L1533" s="8" t="s">
        <v>11210</v>
      </c>
      <c r="M1533" s="9" t="s">
        <v>49</v>
      </c>
      <c r="N1533" s="9" t="s">
        <v>11211</v>
      </c>
      <c r="O1533" s="9">
        <f>HYPERLINK("https://www.google.com/maps/search/?api=1&amp;query=37.51582765,-6.1428513", "https://www.google.com/maps/search/?api=1&amp;query=37.51582765,-6.1428513")</f>
      </c>
      <c r="P1533" s="9" t="s">
        <v>1803</v>
      </c>
      <c r="Q1533" s="9" t="s">
        <v>1742</v>
      </c>
    </row>
    <row r="1534" spans="1:17" x14ac:dyDescent="0.25">
      <c r="A1534" s="8" t="s">
        <v>11212</v>
      </c>
      <c r="B1534" s="8" t="s">
        <v>11213</v>
      </c>
      <c r="C1534" s="9" t="s">
        <v>11214</v>
      </c>
      <c r="D1534" s="9" t="s">
        <v>434</v>
      </c>
      <c r="E1534" s="9" t="s">
        <v>3585</v>
      </c>
      <c r="F1534" s="10">
        <v>1.378</v>
      </c>
      <c r="G1534" s="10">
        <v>1.515</v>
      </c>
      <c r="H1534" s="10"/>
      <c r="I1534" s="9" t="s">
        <v>96</v>
      </c>
      <c r="J1534" s="9" t="s">
        <v>11215</v>
      </c>
      <c r="K1534" s="9" t="s">
        <v>11216</v>
      </c>
      <c r="L1534" s="8" t="s">
        <v>3588</v>
      </c>
      <c r="M1534" s="9" t="s">
        <v>100</v>
      </c>
      <c r="N1534" s="9" t="s">
        <v>88</v>
      </c>
      <c r="O1534" s="9">
        <f>HYPERLINK("https://www.google.com/maps/search/?api=1&amp;query=42.27958887,2.95181157", "https://www.google.com/maps/search/?api=1&amp;query=42.27958887,2.95181157")</f>
      </c>
      <c r="P1534" s="9" t="s">
        <v>2166</v>
      </c>
      <c r="Q1534" s="9" t="s">
        <v>3744</v>
      </c>
    </row>
    <row r="1535" spans="1:17" x14ac:dyDescent="0.25">
      <c r="A1535" s="8" t="s">
        <v>11217</v>
      </c>
      <c r="B1535" s="8" t="s">
        <v>11218</v>
      </c>
      <c r="C1535" s="9" t="s">
        <v>7740</v>
      </c>
      <c r="D1535" s="9" t="s">
        <v>30</v>
      </c>
      <c r="E1535" s="9" t="s">
        <v>11219</v>
      </c>
      <c r="F1535" s="10">
        <v>1.378</v>
      </c>
      <c r="G1535" s="10">
        <v>1.515</v>
      </c>
      <c r="H1535" s="10"/>
      <c r="I1535" s="9" t="s">
        <v>32</v>
      </c>
      <c r="J1535" s="9" t="s">
        <v>11220</v>
      </c>
      <c r="K1535" s="9" t="s">
        <v>11221</v>
      </c>
      <c r="L1535" s="8" t="s">
        <v>11222</v>
      </c>
      <c r="M1535" s="9" t="s">
        <v>36</v>
      </c>
      <c r="N1535" s="9" t="s">
        <v>11223</v>
      </c>
      <c r="O1535" s="9">
        <f>HYPERLINK("https://www.google.com/maps/search/?api=1&amp;query=38.96332295,-5.9486943", "https://www.google.com/maps/search/?api=1&amp;query=38.96332295,-5.9486943")</f>
      </c>
      <c r="P1535" s="9" t="s">
        <v>5394</v>
      </c>
      <c r="Q1535" s="9" t="s">
        <v>11224</v>
      </c>
    </row>
    <row r="1536" spans="1:17" x14ac:dyDescent="0.25">
      <c r="A1536" s="8" t="s">
        <v>11225</v>
      </c>
      <c r="B1536" s="8" t="s">
        <v>11226</v>
      </c>
      <c r="C1536" s="9" t="s">
        <v>11227</v>
      </c>
      <c r="D1536" s="9" t="s">
        <v>1560</v>
      </c>
      <c r="E1536" s="9" t="s">
        <v>5376</v>
      </c>
      <c r="F1536" s="10">
        <v>1.378</v>
      </c>
      <c r="G1536" s="10">
        <v>1.515</v>
      </c>
      <c r="H1536" s="10"/>
      <c r="I1536" s="9" t="s">
        <v>400</v>
      </c>
      <c r="J1536" s="9" t="s">
        <v>11228</v>
      </c>
      <c r="K1536" s="9" t="s">
        <v>11229</v>
      </c>
      <c r="L1536" s="8" t="s">
        <v>5379</v>
      </c>
      <c r="M1536" s="9" t="s">
        <v>49</v>
      </c>
      <c r="N1536" s="9" t="s">
        <v>7479</v>
      </c>
      <c r="O1536" s="9">
        <f>HYPERLINK("https://www.google.com/maps/search/?api=1&amp;query=39.89542254,-0.09638692", "https://www.google.com/maps/search/?api=1&amp;query=39.89542254,-0.09638692")</f>
      </c>
      <c r="P1536" s="9" t="s">
        <v>1250</v>
      </c>
      <c r="Q1536" s="9" t="s">
        <v>2018</v>
      </c>
    </row>
    <row r="1537" spans="1:17" x14ac:dyDescent="0.25">
      <c r="A1537" s="8" t="s">
        <v>11230</v>
      </c>
      <c r="B1537" s="8" t="s">
        <v>11231</v>
      </c>
      <c r="C1537" s="9" t="s">
        <v>8503</v>
      </c>
      <c r="D1537" s="9" t="s">
        <v>400</v>
      </c>
      <c r="E1537" s="9" t="s">
        <v>11232</v>
      </c>
      <c r="F1537" s="10">
        <v>1.378</v>
      </c>
      <c r="G1537" s="10">
        <v>1.515</v>
      </c>
      <c r="H1537" s="10"/>
      <c r="I1537" s="9" t="s">
        <v>400</v>
      </c>
      <c r="J1537" s="9" t="s">
        <v>11233</v>
      </c>
      <c r="K1537" s="9" t="s">
        <v>11234</v>
      </c>
      <c r="L1537" s="8" t="s">
        <v>5162</v>
      </c>
      <c r="M1537" s="9" t="s">
        <v>49</v>
      </c>
      <c r="N1537" s="9" t="s">
        <v>122</v>
      </c>
      <c r="O1537" s="9">
        <f>HYPERLINK("https://www.google.com/maps/search/?api=1&amp;query=38.91569363,-0.55692109", "https://www.google.com/maps/search/?api=1&amp;query=38.91569363,-0.55692109")</f>
      </c>
      <c r="P1537" s="9" t="s">
        <v>4183</v>
      </c>
      <c r="Q1537" s="9" t="s">
        <v>11235</v>
      </c>
    </row>
    <row r="1538" spans="1:17" x14ac:dyDescent="0.25">
      <c r="A1538" s="8" t="s">
        <v>11236</v>
      </c>
      <c r="B1538" s="8" t="s">
        <v>11237</v>
      </c>
      <c r="C1538" s="9" t="s">
        <v>11238</v>
      </c>
      <c r="D1538" s="9" t="s">
        <v>409</v>
      </c>
      <c r="E1538" s="9" t="s">
        <v>11239</v>
      </c>
      <c r="F1538" s="10">
        <v>1.378</v>
      </c>
      <c r="G1538" s="10">
        <v>1.515</v>
      </c>
      <c r="H1538" s="10"/>
      <c r="I1538" s="9" t="s">
        <v>292</v>
      </c>
      <c r="J1538" s="9" t="s">
        <v>11240</v>
      </c>
      <c r="K1538" s="9" t="s">
        <v>11241</v>
      </c>
      <c r="L1538" s="8" t="s">
        <v>11242</v>
      </c>
      <c r="M1538" s="9" t="s">
        <v>49</v>
      </c>
      <c r="N1538" s="9" t="s">
        <v>483</v>
      </c>
      <c r="O1538" s="9">
        <f>HYPERLINK("https://www.google.com/maps/search/?api=1&amp;query=41.54001217,-0.99625548", "https://www.google.com/maps/search/?api=1&amp;query=41.54001217,-0.99625548")</f>
      </c>
      <c r="P1538" s="9" t="s">
        <v>1100</v>
      </c>
      <c r="Q1538" s="9" t="s">
        <v>11243</v>
      </c>
    </row>
    <row r="1539" spans="1:17" x14ac:dyDescent="0.25">
      <c r="A1539" s="8" t="s">
        <v>11244</v>
      </c>
      <c r="B1539" s="8" t="s">
        <v>11245</v>
      </c>
      <c r="C1539" s="9" t="s">
        <v>11246</v>
      </c>
      <c r="D1539" s="9" t="s">
        <v>1282</v>
      </c>
      <c r="E1539" s="9" t="s">
        <v>11247</v>
      </c>
      <c r="F1539" s="10">
        <v>1.378</v>
      </c>
      <c r="G1539" s="10">
        <v>1.515</v>
      </c>
      <c r="H1539" s="10"/>
      <c r="I1539" s="9" t="s">
        <v>45</v>
      </c>
      <c r="J1539" s="9" t="s">
        <v>11248</v>
      </c>
      <c r="K1539" s="9" t="s">
        <v>11249</v>
      </c>
      <c r="L1539" s="8" t="s">
        <v>11250</v>
      </c>
      <c r="M1539" s="9" t="s">
        <v>36</v>
      </c>
      <c r="N1539" s="9" t="s">
        <v>161</v>
      </c>
      <c r="O1539" s="9">
        <f>HYPERLINK("https://www.google.com/maps/search/?api=1&amp;query=37.4518242,-2.73388042", "https://www.google.com/maps/search/?api=1&amp;query=37.4518242,-2.73388042")</f>
      </c>
      <c r="P1539" s="9" t="s">
        <v>1423</v>
      </c>
      <c r="Q1539" s="9" t="s">
        <v>11251</v>
      </c>
    </row>
    <row r="1540" spans="1:17" x14ac:dyDescent="0.25">
      <c r="A1540" s="8" t="s">
        <v>11252</v>
      </c>
      <c r="B1540" s="8" t="s">
        <v>11253</v>
      </c>
      <c r="C1540" s="9" t="s">
        <v>11254</v>
      </c>
      <c r="D1540" s="9" t="s">
        <v>516</v>
      </c>
      <c r="E1540" s="9" t="s">
        <v>11255</v>
      </c>
      <c r="F1540" s="10">
        <v>1.378</v>
      </c>
      <c r="G1540" s="10">
        <v>1.515</v>
      </c>
      <c r="H1540" s="10"/>
      <c r="I1540" s="9" t="s">
        <v>140</v>
      </c>
      <c r="J1540" s="9" t="s">
        <v>11256</v>
      </c>
      <c r="K1540" s="9" t="s">
        <v>11257</v>
      </c>
      <c r="L1540" s="8" t="s">
        <v>11258</v>
      </c>
      <c r="M1540" s="9" t="s">
        <v>49</v>
      </c>
      <c r="N1540" s="9" t="s">
        <v>211</v>
      </c>
      <c r="O1540" s="9">
        <f>HYPERLINK("https://www.google.com/maps/search/?api=1&amp;query=42.78165314,-7.89875972", "https://www.google.com/maps/search/?api=1&amp;query=42.78165314,-7.89875972")</f>
      </c>
      <c r="P1540" s="9" t="s">
        <v>583</v>
      </c>
      <c r="Q1540" s="9" t="s">
        <v>1742</v>
      </c>
    </row>
    <row r="1541" spans="1:17" x14ac:dyDescent="0.25">
      <c r="A1541" s="8" t="s">
        <v>3407</v>
      </c>
      <c r="B1541" s="8" t="s">
        <v>11259</v>
      </c>
      <c r="C1541" s="9" t="s">
        <v>10822</v>
      </c>
      <c r="D1541" s="9" t="s">
        <v>2288</v>
      </c>
      <c r="E1541" s="9" t="s">
        <v>2288</v>
      </c>
      <c r="F1541" s="10">
        <v>1.378</v>
      </c>
      <c r="G1541" s="10">
        <v>1.515</v>
      </c>
      <c r="H1541" s="10"/>
      <c r="I1541" s="9" t="s">
        <v>168</v>
      </c>
      <c r="J1541" s="9" t="s">
        <v>11260</v>
      </c>
      <c r="K1541" s="9" t="s">
        <v>11261</v>
      </c>
      <c r="L1541" s="8" t="s">
        <v>4931</v>
      </c>
      <c r="M1541" s="9" t="s">
        <v>100</v>
      </c>
      <c r="N1541" s="9" t="s">
        <v>88</v>
      </c>
      <c r="O1541" s="9">
        <f>HYPERLINK("https://www.google.com/maps/search/?api=1&amp;query=38.97183678,-1.84470735", "https://www.google.com/maps/search/?api=1&amp;query=38.97183678,-1.84470735")</f>
      </c>
      <c r="P1541" s="9" t="s">
        <v>9760</v>
      </c>
      <c r="Q1541" s="9" t="s">
        <v>11262</v>
      </c>
    </row>
    <row r="1542" spans="1:17" x14ac:dyDescent="0.25">
      <c r="A1542" s="8" t="s">
        <v>6145</v>
      </c>
      <c r="B1542" s="8" t="s">
        <v>11263</v>
      </c>
      <c r="C1542" s="9" t="s">
        <v>11264</v>
      </c>
      <c r="D1542" s="9" t="s">
        <v>226</v>
      </c>
      <c r="E1542" s="9" t="s">
        <v>11265</v>
      </c>
      <c r="F1542" s="10">
        <v>1.378</v>
      </c>
      <c r="G1542" s="10">
        <v>1.515</v>
      </c>
      <c r="H1542" s="10"/>
      <c r="I1542" s="9" t="s">
        <v>168</v>
      </c>
      <c r="J1542" s="9" t="s">
        <v>11266</v>
      </c>
      <c r="K1542" s="9" t="s">
        <v>11267</v>
      </c>
      <c r="L1542" s="8" t="s">
        <v>11268</v>
      </c>
      <c r="M1542" s="9" t="s">
        <v>36</v>
      </c>
      <c r="N1542" s="9" t="s">
        <v>11269</v>
      </c>
      <c r="O1542" s="9">
        <f>HYPERLINK("https://www.google.com/maps/search/?api=1&amp;query=39.5031918,-2.87058886", "https://www.google.com/maps/search/?api=1&amp;query=39.5031918,-2.87058886")</f>
      </c>
      <c r="P1542" s="9" t="s">
        <v>1645</v>
      </c>
      <c r="Q1542" s="9" t="s">
        <v>9729</v>
      </c>
    </row>
    <row r="1543" spans="1:17" x14ac:dyDescent="0.25">
      <c r="A1543" s="8" t="s">
        <v>11270</v>
      </c>
      <c r="B1543" s="8" t="s">
        <v>11271</v>
      </c>
      <c r="C1543" s="9" t="s">
        <v>11272</v>
      </c>
      <c r="D1543" s="9" t="s">
        <v>3841</v>
      </c>
      <c r="E1543" s="9" t="s">
        <v>11273</v>
      </c>
      <c r="F1543" s="10">
        <v>1.378</v>
      </c>
      <c r="G1543" s="10">
        <v>1.515</v>
      </c>
      <c r="H1543" s="10"/>
      <c r="I1543" s="9" t="s">
        <v>74</v>
      </c>
      <c r="J1543" s="9" t="s">
        <v>11274</v>
      </c>
      <c r="K1543" s="9" t="s">
        <v>11275</v>
      </c>
      <c r="L1543" s="8" t="s">
        <v>11276</v>
      </c>
      <c r="M1543" s="9" t="s">
        <v>49</v>
      </c>
      <c r="N1543" s="9" t="s">
        <v>11277</v>
      </c>
      <c r="O1543" s="9">
        <f>HYPERLINK("https://www.google.com/maps/search/?api=1&amp;query=42.02783694,-2.23200333", "https://www.google.com/maps/search/?api=1&amp;query=42.02783694,-2.23200333")</f>
      </c>
      <c r="P1543" s="9" t="s">
        <v>8200</v>
      </c>
      <c r="Q1543" s="9" t="s">
        <v>11278</v>
      </c>
    </row>
    <row r="1544" spans="1:17" x14ac:dyDescent="0.25">
      <c r="A1544" s="8" t="s">
        <v>11279</v>
      </c>
      <c r="B1544" s="8" t="s">
        <v>11280</v>
      </c>
      <c r="C1544" s="9" t="s">
        <v>11281</v>
      </c>
      <c r="D1544" s="9" t="s">
        <v>444</v>
      </c>
      <c r="E1544" s="9" t="s">
        <v>11282</v>
      </c>
      <c r="F1544" s="10">
        <v>1.378</v>
      </c>
      <c r="G1544" s="10">
        <v>1.515</v>
      </c>
      <c r="H1544" s="10"/>
      <c r="I1544" s="9" t="s">
        <v>444</v>
      </c>
      <c r="J1544" s="9" t="s">
        <v>11283</v>
      </c>
      <c r="K1544" s="9" t="s">
        <v>11284</v>
      </c>
      <c r="L1544" s="8" t="s">
        <v>11285</v>
      </c>
      <c r="M1544" s="9" t="s">
        <v>36</v>
      </c>
      <c r="N1544" s="9" t="s">
        <v>211</v>
      </c>
      <c r="O1544" s="9">
        <f>HYPERLINK("https://www.google.com/maps/search/?api=1&amp;query=43.37799558,-5.83303302", "https://www.google.com/maps/search/?api=1&amp;query=43.37799558,-5.83303302")</f>
      </c>
      <c r="P1544" s="9" t="s">
        <v>2032</v>
      </c>
      <c r="Q1544" s="9" t="s">
        <v>11286</v>
      </c>
    </row>
    <row r="1545" spans="1:17" x14ac:dyDescent="0.25">
      <c r="A1545" s="8" t="s">
        <v>11285</v>
      </c>
      <c r="B1545" s="8" t="s">
        <v>11287</v>
      </c>
      <c r="C1545" s="9" t="s">
        <v>9559</v>
      </c>
      <c r="D1545" s="9" t="s">
        <v>398</v>
      </c>
      <c r="E1545" s="9" t="s">
        <v>827</v>
      </c>
      <c r="F1545" s="10">
        <v>1.378</v>
      </c>
      <c r="G1545" s="10">
        <v>1.515</v>
      </c>
      <c r="H1545" s="10"/>
      <c r="I1545" s="9" t="s">
        <v>400</v>
      </c>
      <c r="J1545" s="9" t="s">
        <v>11288</v>
      </c>
      <c r="K1545" s="9" t="s">
        <v>11289</v>
      </c>
      <c r="L1545" s="8" t="s">
        <v>11290</v>
      </c>
      <c r="M1545" s="9" t="s">
        <v>36</v>
      </c>
      <c r="N1545" s="9" t="s">
        <v>11291</v>
      </c>
      <c r="O1545" s="9">
        <f>HYPERLINK("https://www.google.com/maps/search/?api=1&amp;query=38.25680969,-0.74779867", "https://www.google.com/maps/search/?api=1&amp;query=38.25680969,-0.74779867")</f>
      </c>
      <c r="P1545" s="9" t="s">
        <v>1010</v>
      </c>
      <c r="Q1545" s="9" t="s">
        <v>11292</v>
      </c>
    </row>
    <row r="1546" spans="1:17" x14ac:dyDescent="0.25">
      <c r="A1546" s="8" t="s">
        <v>11293</v>
      </c>
      <c r="B1546" s="8" t="s">
        <v>11294</v>
      </c>
      <c r="C1546" s="9" t="s">
        <v>11295</v>
      </c>
      <c r="D1546" s="9" t="s">
        <v>631</v>
      </c>
      <c r="E1546" s="9" t="s">
        <v>11296</v>
      </c>
      <c r="F1546" s="10">
        <v>1.378</v>
      </c>
      <c r="G1546" s="10">
        <v>1.515</v>
      </c>
      <c r="H1546" s="10"/>
      <c r="I1546" s="9" t="s">
        <v>45</v>
      </c>
      <c r="J1546" s="9" t="s">
        <v>11297</v>
      </c>
      <c r="K1546" s="9" t="s">
        <v>11298</v>
      </c>
      <c r="L1546" s="8" t="s">
        <v>11299</v>
      </c>
      <c r="M1546" s="9" t="s">
        <v>100</v>
      </c>
      <c r="N1546" s="9" t="s">
        <v>88</v>
      </c>
      <c r="O1546" s="9">
        <f>HYPERLINK("https://www.google.com/maps/search/?api=1&amp;query=38.32714451,-4.6418466", "https://www.google.com/maps/search/?api=1&amp;query=38.32714451,-4.6418466")</f>
      </c>
      <c r="P1546" s="9" t="s">
        <v>11300</v>
      </c>
      <c r="Q1546" s="9" t="s">
        <v>11301</v>
      </c>
    </row>
    <row r="1547" spans="1:17" x14ac:dyDescent="0.25">
      <c r="A1547" s="8" t="s">
        <v>11302</v>
      </c>
      <c r="B1547" s="8" t="s">
        <v>11303</v>
      </c>
      <c r="C1547" s="9" t="s">
        <v>11304</v>
      </c>
      <c r="D1547" s="9" t="s">
        <v>892</v>
      </c>
      <c r="E1547" s="9" t="s">
        <v>11305</v>
      </c>
      <c r="F1547" s="10">
        <v>1.378</v>
      </c>
      <c r="G1547" s="10">
        <v>1.515</v>
      </c>
      <c r="H1547" s="10"/>
      <c r="I1547" s="9" t="s">
        <v>32</v>
      </c>
      <c r="J1547" s="9" t="s">
        <v>11306</v>
      </c>
      <c r="K1547" s="9" t="s">
        <v>11307</v>
      </c>
      <c r="L1547" s="8" t="s">
        <v>11308</v>
      </c>
      <c r="M1547" s="9" t="s">
        <v>49</v>
      </c>
      <c r="N1547" s="9" t="s">
        <v>11309</v>
      </c>
      <c r="O1547" s="9">
        <f>HYPERLINK("https://www.google.com/maps/search/?api=1&amp;query=40.2681812,-5.90958555", "https://www.google.com/maps/search/?api=1&amp;query=40.2681812,-5.90958555")</f>
      </c>
      <c r="P1547" s="9" t="s">
        <v>321</v>
      </c>
      <c r="Q1547" s="9" t="s">
        <v>11310</v>
      </c>
    </row>
    <row r="1548" spans="1:17" x14ac:dyDescent="0.25">
      <c r="A1548" s="8" t="s">
        <v>11311</v>
      </c>
      <c r="B1548" s="8" t="s">
        <v>11312</v>
      </c>
      <c r="C1548" s="9" t="s">
        <v>7708</v>
      </c>
      <c r="D1548" s="9" t="s">
        <v>253</v>
      </c>
      <c r="E1548" s="9" t="s">
        <v>11313</v>
      </c>
      <c r="F1548" s="10">
        <v>1.378</v>
      </c>
      <c r="G1548" s="10">
        <v>1.515</v>
      </c>
      <c r="H1548" s="10"/>
      <c r="I1548" s="9" t="s">
        <v>96</v>
      </c>
      <c r="J1548" s="9" t="s">
        <v>11314</v>
      </c>
      <c r="K1548" s="9" t="s">
        <v>11315</v>
      </c>
      <c r="L1548" s="8" t="s">
        <v>11316</v>
      </c>
      <c r="M1548" s="9" t="s">
        <v>49</v>
      </c>
      <c r="N1548" s="9" t="s">
        <v>11317</v>
      </c>
      <c r="O1548" s="9">
        <f>HYPERLINK("https://www.google.com/maps/search/?api=1&amp;query=41.18088651,0.59355059", "https://www.google.com/maps/search/?api=1&amp;query=41.18088651,0.59355059")</f>
      </c>
      <c r="P1548" s="9" t="s">
        <v>880</v>
      </c>
      <c r="Q1548" s="9" t="s">
        <v>3771</v>
      </c>
    </row>
    <row r="1549" spans="1:17" x14ac:dyDescent="0.25">
      <c r="A1549" s="8" t="s">
        <v>11318</v>
      </c>
      <c r="B1549" s="8" t="s">
        <v>11319</v>
      </c>
      <c r="C1549" s="9" t="s">
        <v>11320</v>
      </c>
      <c r="D1549" s="9" t="s">
        <v>106</v>
      </c>
      <c r="E1549" s="9" t="s">
        <v>7299</v>
      </c>
      <c r="F1549" s="10">
        <v>1.378</v>
      </c>
      <c r="G1549" s="10">
        <v>1.515</v>
      </c>
      <c r="H1549" s="10"/>
      <c r="I1549" s="9" t="s">
        <v>106</v>
      </c>
      <c r="J1549" s="9" t="s">
        <v>11321</v>
      </c>
      <c r="K1549" s="9" t="s">
        <v>11322</v>
      </c>
      <c r="L1549" s="8" t="s">
        <v>7302</v>
      </c>
      <c r="M1549" s="9" t="s">
        <v>36</v>
      </c>
      <c r="N1549" s="9" t="s">
        <v>645</v>
      </c>
      <c r="O1549" s="9">
        <f>HYPERLINK("https://www.google.com/maps/search/?api=1&amp;query=37.93662233,-1.15779674", "https://www.google.com/maps/search/?api=1&amp;query=37.93662233,-1.15779674")</f>
      </c>
      <c r="P1549" s="9" t="s">
        <v>419</v>
      </c>
      <c r="Q1549" s="9" t="s">
        <v>11323</v>
      </c>
    </row>
    <row r="1550" spans="1:17" x14ac:dyDescent="0.25">
      <c r="A1550" s="8" t="s">
        <v>11324</v>
      </c>
      <c r="B1550" s="8" t="s">
        <v>11325</v>
      </c>
      <c r="C1550" s="9" t="s">
        <v>11326</v>
      </c>
      <c r="D1550" s="9" t="s">
        <v>1483</v>
      </c>
      <c r="E1550" s="9" t="s">
        <v>11327</v>
      </c>
      <c r="F1550" s="10">
        <v>1.378</v>
      </c>
      <c r="G1550" s="10">
        <v>1.515</v>
      </c>
      <c r="H1550" s="10"/>
      <c r="I1550" s="9" t="s">
        <v>74</v>
      </c>
      <c r="J1550" s="9" t="s">
        <v>11328</v>
      </c>
      <c r="K1550" s="9" t="s">
        <v>11329</v>
      </c>
      <c r="L1550" s="8" t="s">
        <v>11330</v>
      </c>
      <c r="M1550" s="9" t="s">
        <v>36</v>
      </c>
      <c r="N1550" s="9" t="s">
        <v>7163</v>
      </c>
      <c r="O1550" s="9">
        <f>HYPERLINK("https://www.google.com/maps/search/?api=1&amp;query=41.63359225,-3.57802412", "https://www.google.com/maps/search/?api=1&amp;query=41.63359225,-3.57802412")</f>
      </c>
      <c r="P1550" s="9" t="s">
        <v>1203</v>
      </c>
      <c r="Q1550" s="9" t="s">
        <v>2018</v>
      </c>
    </row>
    <row r="1551" spans="1:17" x14ac:dyDescent="0.25">
      <c r="A1551" s="8" t="s">
        <v>11331</v>
      </c>
      <c r="B1551" s="8" t="s">
        <v>11332</v>
      </c>
      <c r="C1551" s="9" t="s">
        <v>11333</v>
      </c>
      <c r="D1551" s="9" t="s">
        <v>1434</v>
      </c>
      <c r="E1551" s="9" t="s">
        <v>11334</v>
      </c>
      <c r="F1551" s="10">
        <v>1.378</v>
      </c>
      <c r="G1551" s="10">
        <v>1.515</v>
      </c>
      <c r="H1551" s="10"/>
      <c r="I1551" s="9" t="s">
        <v>1434</v>
      </c>
      <c r="J1551" s="9" t="s">
        <v>11335</v>
      </c>
      <c r="K1551" s="9" t="s">
        <v>11336</v>
      </c>
      <c r="L1551" s="8" t="s">
        <v>11337</v>
      </c>
      <c r="M1551" s="9" t="s">
        <v>36</v>
      </c>
      <c r="N1551" s="9" t="s">
        <v>88</v>
      </c>
      <c r="O1551" s="9">
        <f>HYPERLINK("https://www.google.com/maps/search/?api=1&amp;query=42.18269562,-1.76198757", "https://www.google.com/maps/search/?api=1&amp;query=42.18269562,-1.76198757")</f>
      </c>
      <c r="P1551" s="9" t="s">
        <v>5926</v>
      </c>
      <c r="Q1551" s="9" t="s">
        <v>11338</v>
      </c>
    </row>
    <row r="1552" spans="1:17" x14ac:dyDescent="0.25">
      <c r="A1552" s="8" t="s">
        <v>11339</v>
      </c>
      <c r="B1552" s="8" t="s">
        <v>11340</v>
      </c>
      <c r="C1552" s="9" t="s">
        <v>11341</v>
      </c>
      <c r="D1552" s="9" t="s">
        <v>344</v>
      </c>
      <c r="E1552" s="9" t="s">
        <v>11342</v>
      </c>
      <c r="F1552" s="10">
        <v>1.378</v>
      </c>
      <c r="G1552" s="10">
        <v>1.515</v>
      </c>
      <c r="H1552" s="10"/>
      <c r="I1552" s="9" t="s">
        <v>140</v>
      </c>
      <c r="J1552" s="9" t="s">
        <v>11343</v>
      </c>
      <c r="K1552" s="9" t="s">
        <v>11344</v>
      </c>
      <c r="L1552" s="8" t="s">
        <v>11345</v>
      </c>
      <c r="M1552" s="9" t="s">
        <v>49</v>
      </c>
      <c r="N1552" s="9" t="s">
        <v>211</v>
      </c>
      <c r="O1552" s="9">
        <f>HYPERLINK("https://www.google.com/maps/search/?api=1&amp;query=43.2534543,-8.55786154", "https://www.google.com/maps/search/?api=1&amp;query=43.2534543,-8.55786154")</f>
      </c>
      <c r="P1552" s="9" t="s">
        <v>1423</v>
      </c>
      <c r="Q1552" s="9" t="s">
        <v>4729</v>
      </c>
    </row>
    <row r="1553" spans="1:17" x14ac:dyDescent="0.25">
      <c r="A1553" s="8" t="s">
        <v>11346</v>
      </c>
      <c r="B1553" s="8" t="s">
        <v>11347</v>
      </c>
      <c r="C1553" s="9" t="s">
        <v>7298</v>
      </c>
      <c r="D1553" s="9" t="s">
        <v>106</v>
      </c>
      <c r="E1553" s="9" t="s">
        <v>11348</v>
      </c>
      <c r="F1553" s="10">
        <v>1.378</v>
      </c>
      <c r="G1553" s="10">
        <v>1.515</v>
      </c>
      <c r="H1553" s="10"/>
      <c r="I1553" s="9" t="s">
        <v>106</v>
      </c>
      <c r="J1553" s="9" t="s">
        <v>11349</v>
      </c>
      <c r="K1553" s="9" t="s">
        <v>11350</v>
      </c>
      <c r="L1553" s="8" t="s">
        <v>11351</v>
      </c>
      <c r="M1553" s="9" t="s">
        <v>49</v>
      </c>
      <c r="N1553" s="9" t="s">
        <v>122</v>
      </c>
      <c r="O1553" s="9">
        <f>HYPERLINK("https://www.google.com/maps/search/?api=1&amp;query=37.99565697,-1.1765771", "https://www.google.com/maps/search/?api=1&amp;query=37.99565697,-1.1765771")</f>
      </c>
      <c r="P1553" s="9" t="s">
        <v>7037</v>
      </c>
      <c r="Q1553" s="9" t="s">
        <v>102</v>
      </c>
    </row>
    <row r="1554" spans="1:17" x14ac:dyDescent="0.25">
      <c r="A1554" s="8" t="s">
        <v>11352</v>
      </c>
      <c r="B1554" s="8" t="s">
        <v>11353</v>
      </c>
      <c r="C1554" s="9" t="s">
        <v>11354</v>
      </c>
      <c r="D1554" s="9" t="s">
        <v>94</v>
      </c>
      <c r="E1554" s="9" t="s">
        <v>94</v>
      </c>
      <c r="F1554" s="10">
        <v>1.378</v>
      </c>
      <c r="G1554" s="10">
        <v>1.515</v>
      </c>
      <c r="H1554" s="10"/>
      <c r="I1554" s="9" t="s">
        <v>96</v>
      </c>
      <c r="J1554" s="9" t="s">
        <v>11355</v>
      </c>
      <c r="K1554" s="9" t="s">
        <v>11356</v>
      </c>
      <c r="L1554" s="8" t="s">
        <v>5215</v>
      </c>
      <c r="M1554" s="9" t="s">
        <v>49</v>
      </c>
      <c r="N1554" s="9" t="s">
        <v>11357</v>
      </c>
      <c r="O1554" s="9">
        <f>HYPERLINK("https://www.google.com/maps/search/?api=1&amp;query=41.43252705,2.20547857", "https://www.google.com/maps/search/?api=1&amp;query=41.43252705,2.20547857")</f>
      </c>
      <c r="P1554" s="9" t="s">
        <v>705</v>
      </c>
      <c r="Q1554" s="9" t="s">
        <v>7794</v>
      </c>
    </row>
    <row r="1555" spans="1:17" x14ac:dyDescent="0.25">
      <c r="A1555" s="8" t="s">
        <v>11358</v>
      </c>
      <c r="B1555" s="8" t="s">
        <v>11359</v>
      </c>
      <c r="C1555" s="9" t="s">
        <v>11360</v>
      </c>
      <c r="D1555" s="9" t="s">
        <v>83</v>
      </c>
      <c r="E1555" s="9" t="s">
        <v>11361</v>
      </c>
      <c r="F1555" s="10">
        <v>1.378</v>
      </c>
      <c r="G1555" s="10">
        <v>1.515</v>
      </c>
      <c r="H1555" s="10"/>
      <c r="I1555" s="9" t="s">
        <v>83</v>
      </c>
      <c r="J1555" s="9" t="s">
        <v>11362</v>
      </c>
      <c r="K1555" s="9" t="s">
        <v>11363</v>
      </c>
      <c r="L1555" s="8" t="s">
        <v>11364</v>
      </c>
      <c r="M1555" s="9" t="s">
        <v>49</v>
      </c>
      <c r="N1555" s="9" t="s">
        <v>122</v>
      </c>
      <c r="O1555" s="9">
        <f>HYPERLINK("https://www.google.com/maps/search/?api=1&amp;query=40.12024317,-3.15288187", "https://www.google.com/maps/search/?api=1&amp;query=40.12024317,-3.15288187")</f>
      </c>
      <c r="P1555" s="9" t="s">
        <v>646</v>
      </c>
      <c r="Q1555" s="9" t="s">
        <v>11365</v>
      </c>
    </row>
    <row r="1556" spans="1:17" x14ac:dyDescent="0.25">
      <c r="A1556" s="8" t="s">
        <v>11366</v>
      </c>
      <c r="B1556" s="8" t="s">
        <v>11367</v>
      </c>
      <c r="C1556" s="9" t="s">
        <v>11368</v>
      </c>
      <c r="D1556" s="9" t="s">
        <v>138</v>
      </c>
      <c r="E1556" s="9" t="s">
        <v>11369</v>
      </c>
      <c r="F1556" s="10">
        <v>1.378</v>
      </c>
      <c r="G1556" s="10">
        <v>1.515</v>
      </c>
      <c r="H1556" s="10"/>
      <c r="I1556" s="9" t="s">
        <v>140</v>
      </c>
      <c r="J1556" s="9" t="s">
        <v>11370</v>
      </c>
      <c r="K1556" s="9" t="s">
        <v>11371</v>
      </c>
      <c r="L1556" s="8" t="s">
        <v>11372</v>
      </c>
      <c r="M1556" s="9" t="s">
        <v>49</v>
      </c>
      <c r="N1556" s="9" t="s">
        <v>11373</v>
      </c>
      <c r="O1556" s="9">
        <f>HYPERLINK("https://www.google.com/maps/search/?api=1&amp;query=42.27866314,-8.73604674", "https://www.google.com/maps/search/?api=1&amp;query=42.27866314,-8.73604674")</f>
      </c>
      <c r="P1556" s="9" t="s">
        <v>111</v>
      </c>
      <c r="Q1556" s="9" t="s">
        <v>11374</v>
      </c>
    </row>
    <row r="1557" spans="1:17" x14ac:dyDescent="0.25">
      <c r="A1557" s="8" t="s">
        <v>11375</v>
      </c>
      <c r="B1557" s="8" t="s">
        <v>11376</v>
      </c>
      <c r="C1557" s="9" t="s">
        <v>11377</v>
      </c>
      <c r="D1557" s="9" t="s">
        <v>83</v>
      </c>
      <c r="E1557" s="9" t="s">
        <v>11378</v>
      </c>
      <c r="F1557" s="10">
        <v>1.378</v>
      </c>
      <c r="G1557" s="10">
        <v>1.515</v>
      </c>
      <c r="H1557" s="10"/>
      <c r="I1557" s="9" t="s">
        <v>83</v>
      </c>
      <c r="J1557" s="9" t="s">
        <v>11379</v>
      </c>
      <c r="K1557" s="9" t="s">
        <v>11380</v>
      </c>
      <c r="L1557" s="8" t="s">
        <v>11381</v>
      </c>
      <c r="M1557" s="9" t="s">
        <v>36</v>
      </c>
      <c r="N1557" s="9" t="s">
        <v>11382</v>
      </c>
      <c r="O1557" s="9">
        <f>HYPERLINK("https://www.google.com/maps/search/?api=1&amp;query=40.52802154,-3.48096748", "https://www.google.com/maps/search/?api=1&amp;query=40.52802154,-3.48096748")</f>
      </c>
      <c r="P1557" s="9" t="s">
        <v>5569</v>
      </c>
      <c r="Q1557" s="9" t="s">
        <v>5645</v>
      </c>
    </row>
    <row r="1558" spans="1:17" x14ac:dyDescent="0.25">
      <c r="A1558" s="8" t="s">
        <v>11383</v>
      </c>
      <c r="B1558" s="8" t="s">
        <v>11384</v>
      </c>
      <c r="C1558" s="9" t="s">
        <v>11181</v>
      </c>
      <c r="D1558" s="9" t="s">
        <v>444</v>
      </c>
      <c r="E1558" s="9" t="s">
        <v>11385</v>
      </c>
      <c r="F1558" s="10">
        <v>1.378</v>
      </c>
      <c r="G1558" s="10">
        <v>1.515</v>
      </c>
      <c r="H1558" s="10"/>
      <c r="I1558" s="9" t="s">
        <v>444</v>
      </c>
      <c r="J1558" s="9" t="s">
        <v>11386</v>
      </c>
      <c r="K1558" s="9" t="s">
        <v>11387</v>
      </c>
      <c r="L1558" s="8" t="s">
        <v>6117</v>
      </c>
      <c r="M1558" s="9" t="s">
        <v>36</v>
      </c>
      <c r="N1558" s="9" t="s">
        <v>11388</v>
      </c>
      <c r="O1558" s="9">
        <f>HYPERLINK("https://www.google.com/maps/search/?api=1&amp;query=43.54689065,-6.21775742", "https://www.google.com/maps/search/?api=1&amp;query=43.54689065,-6.21775742")</f>
      </c>
      <c r="P1558" s="9" t="s">
        <v>11389</v>
      </c>
      <c r="Q1558" s="9" t="s">
        <v>1131</v>
      </c>
    </row>
    <row r="1559" spans="1:17" x14ac:dyDescent="0.25">
      <c r="A1559" s="8" t="s">
        <v>11390</v>
      </c>
      <c r="B1559" s="8" t="s">
        <v>11391</v>
      </c>
      <c r="C1559" s="9" t="s">
        <v>11392</v>
      </c>
      <c r="D1559" s="9" t="s">
        <v>919</v>
      </c>
      <c r="E1559" s="9" t="s">
        <v>6629</v>
      </c>
      <c r="F1559" s="10">
        <v>1.378</v>
      </c>
      <c r="G1559" s="10">
        <v>1.515</v>
      </c>
      <c r="H1559" s="10"/>
      <c r="I1559" s="9" t="s">
        <v>118</v>
      </c>
      <c r="J1559" s="9" t="s">
        <v>11393</v>
      </c>
      <c r="K1559" s="9" t="s">
        <v>11394</v>
      </c>
      <c r="L1559" s="8" t="s">
        <v>11395</v>
      </c>
      <c r="M1559" s="9" t="s">
        <v>49</v>
      </c>
      <c r="N1559" s="9" t="s">
        <v>556</v>
      </c>
      <c r="O1559" s="9">
        <f>HYPERLINK("https://www.google.com/maps/search/?api=1&amp;query=42.849668,-2.64821772", "https://www.google.com/maps/search/?api=1&amp;query=42.849668,-2.64821772")</f>
      </c>
      <c r="P1559" s="9" t="s">
        <v>1067</v>
      </c>
      <c r="Q1559" s="9" t="s">
        <v>11396</v>
      </c>
    </row>
    <row r="1560" spans="1:17" x14ac:dyDescent="0.25">
      <c r="A1560" s="8" t="s">
        <v>11397</v>
      </c>
      <c r="B1560" s="8" t="s">
        <v>11398</v>
      </c>
      <c r="C1560" s="9" t="s">
        <v>11399</v>
      </c>
      <c r="D1560" s="9" t="s">
        <v>83</v>
      </c>
      <c r="E1560" s="9" t="s">
        <v>11400</v>
      </c>
      <c r="F1560" s="10">
        <v>1.378</v>
      </c>
      <c r="G1560" s="10">
        <v>1.515</v>
      </c>
      <c r="H1560" s="10"/>
      <c r="I1560" s="9" t="s">
        <v>83</v>
      </c>
      <c r="J1560" s="9" t="s">
        <v>11401</v>
      </c>
      <c r="K1560" s="9" t="s">
        <v>11402</v>
      </c>
      <c r="L1560" s="8" t="s">
        <v>11403</v>
      </c>
      <c r="M1560" s="9" t="s">
        <v>36</v>
      </c>
      <c r="N1560" s="9" t="s">
        <v>37</v>
      </c>
      <c r="O1560" s="9">
        <f>HYPERLINK("https://www.google.com/maps/search/?api=1&amp;query=40.71654865,-3.57883752", "https://www.google.com/maps/search/?api=1&amp;query=40.71654865,-3.57883752")</f>
      </c>
      <c r="P1560" s="9" t="s">
        <v>1067</v>
      </c>
      <c r="Q1560" s="9" t="s">
        <v>637</v>
      </c>
    </row>
    <row r="1561" spans="1:17" x14ac:dyDescent="0.25">
      <c r="A1561" s="8" t="s">
        <v>11404</v>
      </c>
      <c r="B1561" s="8" t="s">
        <v>11405</v>
      </c>
      <c r="C1561" s="9" t="s">
        <v>11406</v>
      </c>
      <c r="D1561" s="9" t="s">
        <v>83</v>
      </c>
      <c r="E1561" s="9" t="s">
        <v>604</v>
      </c>
      <c r="F1561" s="10">
        <v>1.378</v>
      </c>
      <c r="G1561" s="10">
        <v>1.515</v>
      </c>
      <c r="H1561" s="10"/>
      <c r="I1561" s="9" t="s">
        <v>83</v>
      </c>
      <c r="J1561" s="9" t="s">
        <v>11407</v>
      </c>
      <c r="K1561" s="9" t="s">
        <v>11408</v>
      </c>
      <c r="L1561" s="8" t="s">
        <v>11409</v>
      </c>
      <c r="M1561" s="9" t="s">
        <v>36</v>
      </c>
      <c r="N1561" s="9" t="s">
        <v>37</v>
      </c>
      <c r="O1561" s="9">
        <f>HYPERLINK("https://www.google.com/maps/search/?api=1&amp;query=40.31880607,-3.76315276", "https://www.google.com/maps/search/?api=1&amp;query=40.31880607,-3.76315276")</f>
      </c>
      <c r="P1561" s="9" t="s">
        <v>11410</v>
      </c>
      <c r="Q1561" s="9" t="s">
        <v>3771</v>
      </c>
    </row>
    <row r="1562" spans="1:17" x14ac:dyDescent="0.25">
      <c r="A1562" s="8" t="s">
        <v>11411</v>
      </c>
      <c r="B1562" s="8" t="s">
        <v>11412</v>
      </c>
      <c r="C1562" s="9" t="s">
        <v>11413</v>
      </c>
      <c r="D1562" s="9" t="s">
        <v>434</v>
      </c>
      <c r="E1562" s="9" t="s">
        <v>11414</v>
      </c>
      <c r="F1562" s="10">
        <v>1.378</v>
      </c>
      <c r="G1562" s="10">
        <v>1.515</v>
      </c>
      <c r="H1562" s="10"/>
      <c r="I1562" s="9" t="s">
        <v>96</v>
      </c>
      <c r="J1562" s="9" t="s">
        <v>11415</v>
      </c>
      <c r="K1562" s="9" t="s">
        <v>11416</v>
      </c>
      <c r="L1562" s="8" t="s">
        <v>11417</v>
      </c>
      <c r="M1562" s="9" t="s">
        <v>49</v>
      </c>
      <c r="N1562" s="9" t="s">
        <v>37</v>
      </c>
      <c r="O1562" s="9">
        <f>HYPERLINK("https://www.google.com/maps/search/?api=1&amp;query=42.27074639,3.14907044", "https://www.google.com/maps/search/?api=1&amp;query=42.27074639,3.14907044")</f>
      </c>
      <c r="P1562" s="9" t="s">
        <v>1637</v>
      </c>
      <c r="Q1562" s="9" t="s">
        <v>10119</v>
      </c>
    </row>
    <row r="1563" spans="1:17" x14ac:dyDescent="0.25">
      <c r="A1563" s="8" t="s">
        <v>7457</v>
      </c>
      <c r="B1563" s="8" t="s">
        <v>11418</v>
      </c>
      <c r="C1563" s="9" t="s">
        <v>11419</v>
      </c>
      <c r="D1563" s="9" t="s">
        <v>1617</v>
      </c>
      <c r="E1563" s="9" t="s">
        <v>11420</v>
      </c>
      <c r="F1563" s="10">
        <v>1.378</v>
      </c>
      <c r="G1563" s="10">
        <v>1.515</v>
      </c>
      <c r="H1563" s="10"/>
      <c r="I1563" s="9" t="s">
        <v>292</v>
      </c>
      <c r="J1563" s="9" t="s">
        <v>11421</v>
      </c>
      <c r="K1563" s="9" t="s">
        <v>11422</v>
      </c>
      <c r="L1563" s="8" t="s">
        <v>11423</v>
      </c>
      <c r="M1563" s="9" t="s">
        <v>36</v>
      </c>
      <c r="N1563" s="9" t="s">
        <v>1695</v>
      </c>
      <c r="O1563" s="9">
        <f>HYPERLINK("https://www.google.com/maps/search/?api=1&amp;query=41.4138833,0.33356851", "https://www.google.com/maps/search/?api=1&amp;query=41.4138833,0.33356851")</f>
      </c>
      <c r="P1563" s="9" t="s">
        <v>521</v>
      </c>
      <c r="Q1563" s="9" t="s">
        <v>1204</v>
      </c>
    </row>
    <row r="1564" spans="1:17" x14ac:dyDescent="0.25">
      <c r="A1564" s="8" t="s">
        <v>11424</v>
      </c>
      <c r="B1564" s="8" t="s">
        <v>11425</v>
      </c>
      <c r="C1564" s="9" t="s">
        <v>11426</v>
      </c>
      <c r="D1564" s="9" t="s">
        <v>94</v>
      </c>
      <c r="E1564" s="9" t="s">
        <v>11427</v>
      </c>
      <c r="F1564" s="10">
        <v>1.378</v>
      </c>
      <c r="G1564" s="10">
        <v>1.515</v>
      </c>
      <c r="H1564" s="10"/>
      <c r="I1564" s="9" t="s">
        <v>96</v>
      </c>
      <c r="J1564" s="9" t="s">
        <v>11428</v>
      </c>
      <c r="K1564" s="9" t="s">
        <v>11429</v>
      </c>
      <c r="L1564" s="8" t="s">
        <v>11430</v>
      </c>
      <c r="M1564" s="9" t="s">
        <v>49</v>
      </c>
      <c r="N1564" s="9" t="s">
        <v>88</v>
      </c>
      <c r="O1564" s="9">
        <f>HYPERLINK("https://www.google.com/maps/search/?api=1&amp;query=42.10392009,1.85454372", "https://www.google.com/maps/search/?api=1&amp;query=42.10392009,1.85454372")</f>
      </c>
      <c r="P1564" s="9" t="s">
        <v>705</v>
      </c>
      <c r="Q1564" s="9" t="s">
        <v>11431</v>
      </c>
    </row>
    <row r="1565" spans="1:17" x14ac:dyDescent="0.25">
      <c r="A1565" s="8" t="s">
        <v>11432</v>
      </c>
      <c r="B1565" s="8" t="s">
        <v>11433</v>
      </c>
      <c r="C1565" s="9" t="s">
        <v>11434</v>
      </c>
      <c r="D1565" s="9" t="s">
        <v>1483</v>
      </c>
      <c r="E1565" s="9" t="s">
        <v>11435</v>
      </c>
      <c r="F1565" s="10">
        <v>1.378</v>
      </c>
      <c r="G1565" s="10">
        <v>1.515</v>
      </c>
      <c r="H1565" s="10"/>
      <c r="I1565" s="9" t="s">
        <v>74</v>
      </c>
      <c r="J1565" s="9" t="s">
        <v>11436</v>
      </c>
      <c r="K1565" s="9" t="s">
        <v>11437</v>
      </c>
      <c r="L1565" s="8" t="s">
        <v>11438</v>
      </c>
      <c r="M1565" s="9" t="s">
        <v>49</v>
      </c>
      <c r="N1565" s="9" t="s">
        <v>11439</v>
      </c>
      <c r="O1565" s="9">
        <f>HYPERLINK("https://www.google.com/maps/search/?api=1&amp;query=41.78000551,-3.69584254", "https://www.google.com/maps/search/?api=1&amp;query=41.78000551,-3.69584254")</f>
      </c>
      <c r="P1565" s="9" t="s">
        <v>521</v>
      </c>
      <c r="Q1565" s="9" t="s">
        <v>11440</v>
      </c>
    </row>
    <row r="1566" spans="1:17" x14ac:dyDescent="0.25">
      <c r="A1566" s="8" t="s">
        <v>11441</v>
      </c>
      <c r="B1566" s="8" t="s">
        <v>11442</v>
      </c>
      <c r="C1566" s="9" t="s">
        <v>11443</v>
      </c>
      <c r="D1566" s="9" t="s">
        <v>197</v>
      </c>
      <c r="E1566" s="9" t="s">
        <v>11444</v>
      </c>
      <c r="F1566" s="10">
        <v>1.378</v>
      </c>
      <c r="G1566" s="10">
        <v>1.515</v>
      </c>
      <c r="H1566" s="10"/>
      <c r="I1566" s="9" t="s">
        <v>168</v>
      </c>
      <c r="J1566" s="9" t="s">
        <v>11445</v>
      </c>
      <c r="K1566" s="9" t="s">
        <v>11446</v>
      </c>
      <c r="L1566" s="8" t="s">
        <v>11447</v>
      </c>
      <c r="M1566" s="9" t="s">
        <v>36</v>
      </c>
      <c r="N1566" s="9" t="s">
        <v>592</v>
      </c>
      <c r="O1566" s="9">
        <f>HYPERLINK("https://www.google.com/maps/search/?api=1&amp;query=39.89481878,-5.3037312", "https://www.google.com/maps/search/?api=1&amp;query=39.89481878,-5.3037312")</f>
      </c>
      <c r="P1566" s="9" t="s">
        <v>3400</v>
      </c>
      <c r="Q1566" s="9" t="s">
        <v>11448</v>
      </c>
    </row>
    <row r="1567" spans="1:17" x14ac:dyDescent="0.25">
      <c r="A1567" s="8" t="s">
        <v>11449</v>
      </c>
      <c r="B1567" s="8" t="s">
        <v>11450</v>
      </c>
      <c r="C1567" s="9" t="s">
        <v>11451</v>
      </c>
      <c r="D1567" s="9" t="s">
        <v>138</v>
      </c>
      <c r="E1567" s="9" t="s">
        <v>11452</v>
      </c>
      <c r="F1567" s="10">
        <v>1.378</v>
      </c>
      <c r="G1567" s="10">
        <v>1.515</v>
      </c>
      <c r="H1567" s="10"/>
      <c r="I1567" s="9" t="s">
        <v>140</v>
      </c>
      <c r="J1567" s="9" t="s">
        <v>11453</v>
      </c>
      <c r="K1567" s="9" t="s">
        <v>11454</v>
      </c>
      <c r="L1567" s="8" t="s">
        <v>11455</v>
      </c>
      <c r="M1567" s="9" t="s">
        <v>49</v>
      </c>
      <c r="N1567" s="9" t="s">
        <v>8548</v>
      </c>
      <c r="O1567" s="9">
        <f>HYPERLINK("https://www.google.com/maps/search/?api=1&amp;query=42.38752901,-8.49171729", "https://www.google.com/maps/search/?api=1&amp;query=42.38752901,-8.49171729")</f>
      </c>
      <c r="P1567" s="9" t="s">
        <v>3165</v>
      </c>
      <c r="Q1567" s="9" t="s">
        <v>3885</v>
      </c>
    </row>
    <row r="1568" spans="1:17" x14ac:dyDescent="0.25">
      <c r="A1568" s="8" t="s">
        <v>11456</v>
      </c>
      <c r="B1568" s="8" t="s">
        <v>11457</v>
      </c>
      <c r="C1568" s="9" t="s">
        <v>11458</v>
      </c>
      <c r="D1568" s="9" t="s">
        <v>83</v>
      </c>
      <c r="E1568" s="9" t="s">
        <v>11459</v>
      </c>
      <c r="F1568" s="10">
        <v>1.378</v>
      </c>
      <c r="G1568" s="10">
        <v>1.515</v>
      </c>
      <c r="H1568" s="10"/>
      <c r="I1568" s="9" t="s">
        <v>83</v>
      </c>
      <c r="J1568" s="9" t="s">
        <v>11460</v>
      </c>
      <c r="K1568" s="9" t="s">
        <v>11461</v>
      </c>
      <c r="L1568" s="8" t="s">
        <v>11462</v>
      </c>
      <c r="M1568" s="9" t="s">
        <v>100</v>
      </c>
      <c r="N1568" s="9" t="s">
        <v>66</v>
      </c>
      <c r="O1568" s="9">
        <f>HYPERLINK("https://www.google.com/maps/search/?api=1&amp;query=40.58824547,-3.54612089", "https://www.google.com/maps/search/?api=1&amp;query=40.58824547,-3.54612089")</f>
      </c>
      <c r="P1568" s="9" t="s">
        <v>78</v>
      </c>
      <c r="Q1568" s="9" t="s">
        <v>3771</v>
      </c>
    </row>
    <row r="1569" spans="1:17" x14ac:dyDescent="0.25">
      <c r="A1569" s="8" t="s">
        <v>11463</v>
      </c>
      <c r="B1569" s="8" t="s">
        <v>11464</v>
      </c>
      <c r="C1569" s="9" t="s">
        <v>11465</v>
      </c>
      <c r="D1569" s="9" t="s">
        <v>409</v>
      </c>
      <c r="E1569" s="9" t="s">
        <v>409</v>
      </c>
      <c r="F1569" s="10">
        <v>1.378</v>
      </c>
      <c r="G1569" s="10">
        <v>1.515</v>
      </c>
      <c r="H1569" s="10"/>
      <c r="I1569" s="9" t="s">
        <v>292</v>
      </c>
      <c r="J1569" s="9" t="s">
        <v>8899</v>
      </c>
      <c r="K1569" s="9" t="s">
        <v>11466</v>
      </c>
      <c r="L1569" s="8" t="s">
        <v>8901</v>
      </c>
      <c r="M1569" s="9" t="s">
        <v>49</v>
      </c>
      <c r="N1569" s="9" t="s">
        <v>88</v>
      </c>
      <c r="O1569" s="9">
        <f>HYPERLINK("https://www.google.com/maps/search/?api=1&amp;query=41.67720081,-0.95830945", "https://www.google.com/maps/search/?api=1&amp;query=41.67720081,-0.95830945")</f>
      </c>
      <c r="P1569" s="9" t="s">
        <v>3165</v>
      </c>
      <c r="Q1569" s="9" t="s">
        <v>7937</v>
      </c>
    </row>
    <row r="1570" spans="1:17" x14ac:dyDescent="0.25">
      <c r="A1570" s="8" t="s">
        <v>11467</v>
      </c>
      <c r="B1570" s="8" t="s">
        <v>11468</v>
      </c>
      <c r="C1570" s="9" t="s">
        <v>11469</v>
      </c>
      <c r="D1570" s="9" t="s">
        <v>138</v>
      </c>
      <c r="E1570" s="9" t="s">
        <v>11470</v>
      </c>
      <c r="F1570" s="10">
        <v>1.378</v>
      </c>
      <c r="G1570" s="10">
        <v>1.515</v>
      </c>
      <c r="H1570" s="10"/>
      <c r="I1570" s="9" t="s">
        <v>140</v>
      </c>
      <c r="J1570" s="9" t="s">
        <v>11471</v>
      </c>
      <c r="K1570" s="9" t="s">
        <v>11472</v>
      </c>
      <c r="L1570" s="8" t="s">
        <v>11473</v>
      </c>
      <c r="M1570" s="9" t="s">
        <v>36</v>
      </c>
      <c r="N1570" s="9" t="s">
        <v>37</v>
      </c>
      <c r="O1570" s="9">
        <f>HYPERLINK("https://www.google.com/maps/search/?api=1&amp;query=42.66501819,-8.12157161", "https://www.google.com/maps/search/?api=1&amp;query=42.66501819,-8.12157161")</f>
      </c>
      <c r="P1570" s="9" t="s">
        <v>915</v>
      </c>
      <c r="Q1570" s="9" t="s">
        <v>11474</v>
      </c>
    </row>
    <row r="1571" spans="1:17" x14ac:dyDescent="0.25">
      <c r="A1571" s="8" t="s">
        <v>11475</v>
      </c>
      <c r="B1571" s="8" t="s">
        <v>11476</v>
      </c>
      <c r="C1571" s="9" t="s">
        <v>11477</v>
      </c>
      <c r="D1571" s="9" t="s">
        <v>488</v>
      </c>
      <c r="E1571" s="9" t="s">
        <v>2652</v>
      </c>
      <c r="F1571" s="10">
        <v>1.378</v>
      </c>
      <c r="G1571" s="10">
        <v>1.515</v>
      </c>
      <c r="H1571" s="10"/>
      <c r="I1571" s="9" t="s">
        <v>45</v>
      </c>
      <c r="J1571" s="9" t="s">
        <v>11478</v>
      </c>
      <c r="K1571" s="9" t="s">
        <v>11479</v>
      </c>
      <c r="L1571" s="8" t="s">
        <v>2655</v>
      </c>
      <c r="M1571" s="9" t="s">
        <v>49</v>
      </c>
      <c r="N1571" s="9" t="s">
        <v>88</v>
      </c>
      <c r="O1571" s="9">
        <f>HYPERLINK("https://www.google.com/maps/search/?api=1&amp;query=37.9900203,-4.26134647", "https://www.google.com/maps/search/?api=1&amp;query=37.9900203,-4.26134647")</f>
      </c>
      <c r="P1571" s="9" t="s">
        <v>4029</v>
      </c>
      <c r="Q1571" s="9" t="s">
        <v>11480</v>
      </c>
    </row>
    <row r="1572" spans="1:17" x14ac:dyDescent="0.25">
      <c r="A1572" s="8" t="s">
        <v>11481</v>
      </c>
      <c r="B1572" s="8" t="s">
        <v>11482</v>
      </c>
      <c r="C1572" s="9" t="s">
        <v>11483</v>
      </c>
      <c r="D1572" s="9" t="s">
        <v>434</v>
      </c>
      <c r="E1572" s="9" t="s">
        <v>11484</v>
      </c>
      <c r="F1572" s="10">
        <v>1.378</v>
      </c>
      <c r="G1572" s="10">
        <v>1.515</v>
      </c>
      <c r="H1572" s="10"/>
      <c r="I1572" s="9" t="s">
        <v>96</v>
      </c>
      <c r="J1572" s="9" t="s">
        <v>11485</v>
      </c>
      <c r="K1572" s="9" t="s">
        <v>11486</v>
      </c>
      <c r="L1572" s="8" t="s">
        <v>11487</v>
      </c>
      <c r="M1572" s="9" t="s">
        <v>36</v>
      </c>
      <c r="N1572" s="9" t="s">
        <v>1695</v>
      </c>
      <c r="O1572" s="9">
        <f>HYPERLINK("https://www.google.com/maps/search/?api=1&amp;query=41.9901351,2.76824699", "https://www.google.com/maps/search/?api=1&amp;query=41.9901351,2.76824699")</f>
      </c>
      <c r="P1572" s="9" t="s">
        <v>5097</v>
      </c>
      <c r="Q1572" s="9" t="s">
        <v>11488</v>
      </c>
    </row>
    <row r="1573" spans="1:17" x14ac:dyDescent="0.25">
      <c r="A1573" s="8" t="s">
        <v>11489</v>
      </c>
      <c r="B1573" s="8" t="s">
        <v>11490</v>
      </c>
      <c r="C1573" s="9" t="s">
        <v>11491</v>
      </c>
      <c r="D1573" s="9" t="s">
        <v>516</v>
      </c>
      <c r="E1573" s="9" t="s">
        <v>11492</v>
      </c>
      <c r="F1573" s="10">
        <v>1.378</v>
      </c>
      <c r="G1573" s="10">
        <v>1.515</v>
      </c>
      <c r="H1573" s="10"/>
      <c r="I1573" s="9" t="s">
        <v>140</v>
      </c>
      <c r="J1573" s="9" t="s">
        <v>11493</v>
      </c>
      <c r="K1573" s="9" t="s">
        <v>11494</v>
      </c>
      <c r="L1573" s="8" t="s">
        <v>11495</v>
      </c>
      <c r="M1573" s="9" t="s">
        <v>36</v>
      </c>
      <c r="N1573" s="9" t="s">
        <v>211</v>
      </c>
      <c r="O1573" s="9">
        <f>HYPERLINK("https://www.google.com/maps/search/?api=1&amp;query=43.43325902,-7.36161586", "https://www.google.com/maps/search/?api=1&amp;query=43.43325902,-7.36161586")</f>
      </c>
      <c r="P1573" s="9" t="s">
        <v>771</v>
      </c>
      <c r="Q1573" s="9" t="s">
        <v>11496</v>
      </c>
    </row>
    <row r="1574" spans="1:17" x14ac:dyDescent="0.25">
      <c r="A1574" s="8" t="s">
        <v>11497</v>
      </c>
      <c r="B1574" s="8" t="s">
        <v>11498</v>
      </c>
      <c r="C1574" s="9" t="s">
        <v>11499</v>
      </c>
      <c r="D1574" s="9" t="s">
        <v>83</v>
      </c>
      <c r="E1574" s="9" t="s">
        <v>11500</v>
      </c>
      <c r="F1574" s="10">
        <v>1.378</v>
      </c>
      <c r="G1574" s="10">
        <v>1.515</v>
      </c>
      <c r="H1574" s="10"/>
      <c r="I1574" s="9" t="s">
        <v>83</v>
      </c>
      <c r="J1574" s="9" t="s">
        <v>11501</v>
      </c>
      <c r="K1574" s="9" t="s">
        <v>11502</v>
      </c>
      <c r="L1574" s="8" t="s">
        <v>11503</v>
      </c>
      <c r="M1574" s="9" t="s">
        <v>36</v>
      </c>
      <c r="N1574" s="9" t="s">
        <v>88</v>
      </c>
      <c r="O1574" s="9">
        <f>HYPERLINK("https://www.google.com/maps/search/?api=1&amp;query=40.25671793,-3.82383542", "https://www.google.com/maps/search/?api=1&amp;query=40.25671793,-3.82383542")</f>
      </c>
      <c r="P1574" s="9" t="s">
        <v>172</v>
      </c>
      <c r="Q1574" s="9" t="s">
        <v>11504</v>
      </c>
    </row>
    <row r="1575" spans="1:17" x14ac:dyDescent="0.25">
      <c r="A1575" s="8" t="s">
        <v>11505</v>
      </c>
      <c r="B1575" s="8" t="s">
        <v>11506</v>
      </c>
      <c r="C1575" s="9" t="s">
        <v>11507</v>
      </c>
      <c r="D1575" s="9" t="s">
        <v>3841</v>
      </c>
      <c r="E1575" s="9" t="s">
        <v>11508</v>
      </c>
      <c r="F1575" s="10">
        <v>1.378</v>
      </c>
      <c r="G1575" s="10">
        <v>1.515</v>
      </c>
      <c r="H1575" s="10"/>
      <c r="I1575" s="9" t="s">
        <v>74</v>
      </c>
      <c r="J1575" s="9" t="s">
        <v>11509</v>
      </c>
      <c r="K1575" s="9" t="s">
        <v>11510</v>
      </c>
      <c r="L1575" s="8" t="s">
        <v>11511</v>
      </c>
      <c r="M1575" s="9" t="s">
        <v>36</v>
      </c>
      <c r="N1575" s="9" t="s">
        <v>11512</v>
      </c>
      <c r="O1575" s="9">
        <f>HYPERLINK("https://www.google.com/maps/search/?api=1&amp;query=41.18922782,-2.40437151", "https://www.google.com/maps/search/?api=1&amp;query=41.18922782,-2.40437151")</f>
      </c>
      <c r="P1575" s="9" t="s">
        <v>680</v>
      </c>
      <c r="Q1575" s="9" t="s">
        <v>1304</v>
      </c>
    </row>
    <row r="1576" spans="1:17" x14ac:dyDescent="0.25">
      <c r="A1576" s="8" t="s">
        <v>11513</v>
      </c>
      <c r="B1576" s="8" t="s">
        <v>11514</v>
      </c>
      <c r="C1576" s="9" t="s">
        <v>11515</v>
      </c>
      <c r="D1576" s="9" t="s">
        <v>138</v>
      </c>
      <c r="E1576" s="9" t="s">
        <v>11516</v>
      </c>
      <c r="F1576" s="10">
        <v>1.378</v>
      </c>
      <c r="G1576" s="10">
        <v>1.515</v>
      </c>
      <c r="H1576" s="10"/>
      <c r="I1576" s="9" t="s">
        <v>140</v>
      </c>
      <c r="J1576" s="9" t="s">
        <v>11517</v>
      </c>
      <c r="K1576" s="9" t="s">
        <v>11518</v>
      </c>
      <c r="L1576" s="8" t="s">
        <v>11519</v>
      </c>
      <c r="M1576" s="9" t="s">
        <v>36</v>
      </c>
      <c r="N1576" s="9" t="s">
        <v>11520</v>
      </c>
      <c r="O1576" s="9">
        <f>HYPERLINK("https://www.google.com/maps/search/?api=1&amp;query=42.76260135,-8.0245205", "https://www.google.com/maps/search/?api=1&amp;query=42.76260135,-8.0245205")</f>
      </c>
      <c r="P1576" s="9" t="s">
        <v>1927</v>
      </c>
      <c r="Q1576" s="9" t="s">
        <v>1131</v>
      </c>
    </row>
    <row r="1577" spans="1:17" x14ac:dyDescent="0.25">
      <c r="A1577" s="8" t="s">
        <v>11521</v>
      </c>
      <c r="B1577" s="8" t="s">
        <v>11522</v>
      </c>
      <c r="C1577" s="9" t="s">
        <v>11523</v>
      </c>
      <c r="D1577" s="9" t="s">
        <v>1434</v>
      </c>
      <c r="E1577" s="9" t="s">
        <v>11524</v>
      </c>
      <c r="F1577" s="10">
        <v>1.378</v>
      </c>
      <c r="G1577" s="10">
        <v>1.515</v>
      </c>
      <c r="H1577" s="10"/>
      <c r="I1577" s="9" t="s">
        <v>1434</v>
      </c>
      <c r="J1577" s="9" t="s">
        <v>11525</v>
      </c>
      <c r="K1577" s="9" t="s">
        <v>11526</v>
      </c>
      <c r="L1577" s="8" t="s">
        <v>11527</v>
      </c>
      <c r="M1577" s="9" t="s">
        <v>49</v>
      </c>
      <c r="N1577" s="9" t="s">
        <v>7851</v>
      </c>
      <c r="O1577" s="9">
        <f>HYPERLINK("https://www.google.com/maps/search/?api=1&amp;query=42.17352736,-2.88563323", "https://www.google.com/maps/search/?api=1&amp;query=42.17352736,-2.88563323")</f>
      </c>
      <c r="P1577" s="9" t="s">
        <v>1803</v>
      </c>
      <c r="Q1577" s="9" t="s">
        <v>1140</v>
      </c>
    </row>
    <row r="1578" spans="1:17" x14ac:dyDescent="0.25">
      <c r="A1578" s="8" t="s">
        <v>11528</v>
      </c>
      <c r="B1578" s="8" t="s">
        <v>11529</v>
      </c>
      <c r="C1578" s="9" t="s">
        <v>11458</v>
      </c>
      <c r="D1578" s="9" t="s">
        <v>83</v>
      </c>
      <c r="E1578" s="9" t="s">
        <v>11459</v>
      </c>
      <c r="F1578" s="10">
        <v>1.378</v>
      </c>
      <c r="G1578" s="10">
        <v>1.515</v>
      </c>
      <c r="H1578" s="10"/>
      <c r="I1578" s="9" t="s">
        <v>83</v>
      </c>
      <c r="J1578" s="9" t="s">
        <v>11460</v>
      </c>
      <c r="K1578" s="9" t="s">
        <v>11530</v>
      </c>
      <c r="L1578" s="8" t="s">
        <v>11462</v>
      </c>
      <c r="M1578" s="9" t="s">
        <v>100</v>
      </c>
      <c r="N1578" s="9" t="s">
        <v>37</v>
      </c>
      <c r="O1578" s="9">
        <f>HYPERLINK("https://www.google.com/maps/search/?api=1&amp;query=40.58764027,-3.54536496", "https://www.google.com/maps/search/?api=1&amp;query=40.58764027,-3.54536496")</f>
      </c>
      <c r="P1578" s="9" t="s">
        <v>5469</v>
      </c>
      <c r="Q1578" s="9" t="s">
        <v>11531</v>
      </c>
    </row>
    <row r="1579" spans="1:17" x14ac:dyDescent="0.25">
      <c r="A1579" s="8" t="s">
        <v>11532</v>
      </c>
      <c r="B1579" s="8" t="s">
        <v>11533</v>
      </c>
      <c r="C1579" s="9" t="s">
        <v>7239</v>
      </c>
      <c r="D1579" s="9" t="s">
        <v>138</v>
      </c>
      <c r="E1579" s="9" t="s">
        <v>10313</v>
      </c>
      <c r="F1579" s="10">
        <v>1.378</v>
      </c>
      <c r="G1579" s="10">
        <v>1.515</v>
      </c>
      <c r="H1579" s="10"/>
      <c r="I1579" s="9" t="s">
        <v>140</v>
      </c>
      <c r="J1579" s="9" t="s">
        <v>11534</v>
      </c>
      <c r="K1579" s="9" t="s">
        <v>11535</v>
      </c>
      <c r="L1579" s="8" t="s">
        <v>10316</v>
      </c>
      <c r="M1579" s="9" t="s">
        <v>36</v>
      </c>
      <c r="N1579" s="9" t="s">
        <v>7244</v>
      </c>
      <c r="O1579" s="9">
        <f>HYPERLINK("https://www.google.com/maps/search/?api=1&amp;query=42.50150387,-8.65680445", "https://www.google.com/maps/search/?api=1&amp;query=42.50150387,-8.65680445")</f>
      </c>
      <c r="P1579" s="9" t="s">
        <v>4763</v>
      </c>
      <c r="Q1579" s="9" t="s">
        <v>11536</v>
      </c>
    </row>
    <row r="1580" spans="1:17" x14ac:dyDescent="0.25">
      <c r="A1580" s="8" t="s">
        <v>11537</v>
      </c>
      <c r="B1580" s="8" t="s">
        <v>11538</v>
      </c>
      <c r="C1580" s="9" t="s">
        <v>11539</v>
      </c>
      <c r="D1580" s="9" t="s">
        <v>72</v>
      </c>
      <c r="E1580" s="9" t="s">
        <v>11540</v>
      </c>
      <c r="F1580" s="10">
        <v>1.378</v>
      </c>
      <c r="G1580" s="10">
        <v>1.515</v>
      </c>
      <c r="H1580" s="10"/>
      <c r="I1580" s="9" t="s">
        <v>74</v>
      </c>
      <c r="J1580" s="9" t="s">
        <v>11541</v>
      </c>
      <c r="K1580" s="9" t="s">
        <v>11542</v>
      </c>
      <c r="L1580" s="8" t="s">
        <v>1526</v>
      </c>
      <c r="M1580" s="9" t="s">
        <v>49</v>
      </c>
      <c r="N1580" s="9" t="s">
        <v>592</v>
      </c>
      <c r="O1580" s="9">
        <f>HYPERLINK("https://www.google.com/maps/search/?api=1&amp;query=42.24075556,-4.60471147", "https://www.google.com/maps/search/?api=1&amp;query=42.24075556,-4.60471147")</f>
      </c>
      <c r="P1580" s="9" t="s">
        <v>321</v>
      </c>
      <c r="Q1580" s="9" t="s">
        <v>9924</v>
      </c>
    </row>
    <row r="1581" spans="1:17" x14ac:dyDescent="0.25">
      <c r="A1581" s="8" t="s">
        <v>11543</v>
      </c>
      <c r="B1581" s="8" t="s">
        <v>11544</v>
      </c>
      <c r="C1581" s="9" t="s">
        <v>11545</v>
      </c>
      <c r="D1581" s="9" t="s">
        <v>400</v>
      </c>
      <c r="E1581" s="9" t="s">
        <v>11546</v>
      </c>
      <c r="F1581" s="10">
        <v>1.378</v>
      </c>
      <c r="G1581" s="10">
        <v>1.515</v>
      </c>
      <c r="H1581" s="10"/>
      <c r="I1581" s="9" t="s">
        <v>400</v>
      </c>
      <c r="J1581" s="9" t="s">
        <v>11547</v>
      </c>
      <c r="K1581" s="9" t="s">
        <v>11548</v>
      </c>
      <c r="L1581" s="8" t="s">
        <v>11549</v>
      </c>
      <c r="M1581" s="9" t="s">
        <v>49</v>
      </c>
      <c r="N1581" s="9" t="s">
        <v>11550</v>
      </c>
      <c r="O1581" s="9">
        <f>HYPERLINK("https://www.google.com/maps/search/?api=1&amp;query=38.93963228,-0.15235215", "https://www.google.com/maps/search/?api=1&amp;query=38.93963228,-0.15235215")</f>
      </c>
      <c r="P1581" s="9" t="s">
        <v>321</v>
      </c>
      <c r="Q1581" s="9" t="s">
        <v>10498</v>
      </c>
    </row>
    <row r="1582" spans="1:17" x14ac:dyDescent="0.25">
      <c r="A1582" s="8" t="s">
        <v>11551</v>
      </c>
      <c r="B1582" s="8" t="s">
        <v>11552</v>
      </c>
      <c r="C1582" s="9" t="s">
        <v>11553</v>
      </c>
      <c r="D1582" s="9" t="s">
        <v>226</v>
      </c>
      <c r="E1582" s="9" t="s">
        <v>9329</v>
      </c>
      <c r="F1582" s="10">
        <v>1.378</v>
      </c>
      <c r="G1582" s="10">
        <v>1.515</v>
      </c>
      <c r="H1582" s="10"/>
      <c r="I1582" s="9" t="s">
        <v>168</v>
      </c>
      <c r="J1582" s="9" t="s">
        <v>11554</v>
      </c>
      <c r="K1582" s="9" t="s">
        <v>11555</v>
      </c>
      <c r="L1582" s="8" t="s">
        <v>9332</v>
      </c>
      <c r="M1582" s="9" t="s">
        <v>36</v>
      </c>
      <c r="N1582" s="9" t="s">
        <v>11556</v>
      </c>
      <c r="O1582" s="9">
        <f>HYPERLINK("https://www.google.com/maps/search/?api=1&amp;query=39.84206507,-2.50968268", "https://www.google.com/maps/search/?api=1&amp;query=39.84206507,-2.50968268")</f>
      </c>
      <c r="P1582" s="9" t="s">
        <v>1927</v>
      </c>
      <c r="Q1582" s="9" t="s">
        <v>8878</v>
      </c>
    </row>
    <row r="1583" spans="1:17" x14ac:dyDescent="0.25">
      <c r="A1583" s="8" t="s">
        <v>11557</v>
      </c>
      <c r="B1583" s="8" t="s">
        <v>11558</v>
      </c>
      <c r="C1583" s="9" t="s">
        <v>11559</v>
      </c>
      <c r="D1583" s="9" t="s">
        <v>344</v>
      </c>
      <c r="E1583" s="9" t="s">
        <v>11560</v>
      </c>
      <c r="F1583" s="10">
        <v>1.378</v>
      </c>
      <c r="G1583" s="10">
        <v>1.515</v>
      </c>
      <c r="H1583" s="10"/>
      <c r="I1583" s="9" t="s">
        <v>140</v>
      </c>
      <c r="J1583" s="9" t="s">
        <v>11561</v>
      </c>
      <c r="K1583" s="9" t="s">
        <v>11562</v>
      </c>
      <c r="L1583" s="8" t="s">
        <v>11563</v>
      </c>
      <c r="M1583" s="9" t="s">
        <v>49</v>
      </c>
      <c r="N1583" s="9" t="s">
        <v>211</v>
      </c>
      <c r="O1583" s="9">
        <f>HYPERLINK("https://www.google.com/maps/search/?api=1&amp;query=43.15767934,-8.00374515", "https://www.google.com/maps/search/?api=1&amp;query=43.15767934,-8.00374515")</f>
      </c>
      <c r="P1583" s="9" t="s">
        <v>11564</v>
      </c>
      <c r="Q1583" s="9" t="s">
        <v>1131</v>
      </c>
    </row>
    <row r="1584" spans="1:17" x14ac:dyDescent="0.25">
      <c r="A1584" s="8" t="s">
        <v>11565</v>
      </c>
      <c r="B1584" s="8" t="s">
        <v>11566</v>
      </c>
      <c r="C1584" s="9" t="s">
        <v>11567</v>
      </c>
      <c r="D1584" s="9" t="s">
        <v>83</v>
      </c>
      <c r="E1584" s="9" t="s">
        <v>11568</v>
      </c>
      <c r="F1584" s="10">
        <v>1.378</v>
      </c>
      <c r="G1584" s="10">
        <v>1.515</v>
      </c>
      <c r="H1584" s="10"/>
      <c r="I1584" s="9" t="s">
        <v>83</v>
      </c>
      <c r="J1584" s="9" t="s">
        <v>11569</v>
      </c>
      <c r="K1584" s="9" t="s">
        <v>11570</v>
      </c>
      <c r="L1584" s="8" t="s">
        <v>11571</v>
      </c>
      <c r="M1584" s="9" t="s">
        <v>36</v>
      </c>
      <c r="N1584" s="9" t="s">
        <v>645</v>
      </c>
      <c r="O1584" s="9">
        <f>HYPERLINK("https://www.google.com/maps/search/?api=1&amp;query=40.28279635,-3.20727829", "https://www.google.com/maps/search/?api=1&amp;query=40.28279635,-3.20727829")</f>
      </c>
      <c r="P1584" s="9" t="s">
        <v>992</v>
      </c>
      <c r="Q1584" s="9" t="s">
        <v>2998</v>
      </c>
    </row>
    <row r="1585" spans="1:17" x14ac:dyDescent="0.25">
      <c r="A1585" s="8" t="s">
        <v>11572</v>
      </c>
      <c r="B1585" s="8" t="s">
        <v>11573</v>
      </c>
      <c r="C1585" s="9" t="s">
        <v>11574</v>
      </c>
      <c r="D1585" s="9" t="s">
        <v>1617</v>
      </c>
      <c r="E1585" s="9" t="s">
        <v>1617</v>
      </c>
      <c r="F1585" s="10">
        <v>1.378</v>
      </c>
      <c r="G1585" s="10">
        <v>1.515</v>
      </c>
      <c r="H1585" s="10"/>
      <c r="I1585" s="9" t="s">
        <v>292</v>
      </c>
      <c r="J1585" s="9" t="s">
        <v>11575</v>
      </c>
      <c r="K1585" s="9" t="s">
        <v>11576</v>
      </c>
      <c r="L1585" s="8" t="s">
        <v>2283</v>
      </c>
      <c r="M1585" s="9" t="s">
        <v>49</v>
      </c>
      <c r="N1585" s="9" t="s">
        <v>88</v>
      </c>
      <c r="O1585" s="9">
        <f>HYPERLINK("https://www.google.com/maps/search/?api=1&amp;query=42.115889,-0.391806", "https://www.google.com/maps/search/?api=1&amp;query=42.115889,-0.391806")</f>
      </c>
      <c r="P1585" s="9" t="s">
        <v>11577</v>
      </c>
      <c r="Q1585" s="9" t="s">
        <v>1131</v>
      </c>
    </row>
    <row r="1586" spans="1:17" x14ac:dyDescent="0.25">
      <c r="A1586" s="8" t="s">
        <v>11578</v>
      </c>
      <c r="B1586" s="8" t="s">
        <v>11579</v>
      </c>
      <c r="C1586" s="9" t="s">
        <v>11580</v>
      </c>
      <c r="D1586" s="9" t="s">
        <v>94</v>
      </c>
      <c r="E1586" s="9" t="s">
        <v>3986</v>
      </c>
      <c r="F1586" s="10">
        <v>1.378</v>
      </c>
      <c r="G1586" s="10">
        <v>1.515</v>
      </c>
      <c r="H1586" s="10"/>
      <c r="I1586" s="9" t="s">
        <v>96</v>
      </c>
      <c r="J1586" s="9" t="s">
        <v>11581</v>
      </c>
      <c r="K1586" s="9" t="s">
        <v>11582</v>
      </c>
      <c r="L1586" s="8" t="s">
        <v>11583</v>
      </c>
      <c r="M1586" s="9" t="s">
        <v>49</v>
      </c>
      <c r="N1586" s="9" t="s">
        <v>11584</v>
      </c>
      <c r="O1586" s="9">
        <f>HYPERLINK("https://www.google.com/maps/search/?api=1&amp;query=41.3630498,2.1197926", "https://www.google.com/maps/search/?api=1&amp;query=41.3630498,2.1197926")</f>
      </c>
      <c r="P1586" s="9" t="s">
        <v>4183</v>
      </c>
      <c r="Q1586" s="9" t="s">
        <v>11585</v>
      </c>
    </row>
    <row r="1587" spans="1:17" x14ac:dyDescent="0.25">
      <c r="A1587" s="8" t="s">
        <v>11586</v>
      </c>
      <c r="B1587" s="8" t="s">
        <v>11587</v>
      </c>
      <c r="C1587" s="9" t="s">
        <v>11588</v>
      </c>
      <c r="D1587" s="9" t="s">
        <v>516</v>
      </c>
      <c r="E1587" s="9" t="s">
        <v>11589</v>
      </c>
      <c r="F1587" s="10">
        <v>1.378</v>
      </c>
      <c r="G1587" s="10">
        <v>1.515</v>
      </c>
      <c r="H1587" s="10"/>
      <c r="I1587" s="9" t="s">
        <v>140</v>
      </c>
      <c r="J1587" s="9" t="s">
        <v>11590</v>
      </c>
      <c r="K1587" s="9" t="s">
        <v>11591</v>
      </c>
      <c r="L1587" s="8" t="s">
        <v>11592</v>
      </c>
      <c r="M1587" s="9" t="s">
        <v>36</v>
      </c>
      <c r="N1587" s="9" t="s">
        <v>7531</v>
      </c>
      <c r="O1587" s="9">
        <f>HYPERLINK("https://www.google.com/maps/search/?api=1&amp;query=43.68166396,-7.49328436", "https://www.google.com/maps/search/?api=1&amp;query=43.68166396,-7.49328436")</f>
      </c>
      <c r="P1587" s="9" t="s">
        <v>2158</v>
      </c>
      <c r="Q1587" s="9" t="s">
        <v>11593</v>
      </c>
    </row>
    <row r="1588" spans="1:17" x14ac:dyDescent="0.25">
      <c r="A1588" s="8" t="s">
        <v>11594</v>
      </c>
      <c r="B1588" s="8" t="s">
        <v>11595</v>
      </c>
      <c r="C1588" s="9" t="s">
        <v>11596</v>
      </c>
      <c r="D1588" s="9" t="s">
        <v>94</v>
      </c>
      <c r="E1588" s="9" t="s">
        <v>94</v>
      </c>
      <c r="F1588" s="10">
        <v>1.378</v>
      </c>
      <c r="G1588" s="10">
        <v>1.515</v>
      </c>
      <c r="H1588" s="10"/>
      <c r="I1588" s="9" t="s">
        <v>96</v>
      </c>
      <c r="J1588" s="9" t="s">
        <v>11597</v>
      </c>
      <c r="K1588" s="9" t="s">
        <v>11598</v>
      </c>
      <c r="L1588" s="8" t="s">
        <v>5215</v>
      </c>
      <c r="M1588" s="9" t="s">
        <v>49</v>
      </c>
      <c r="N1588" s="9" t="s">
        <v>88</v>
      </c>
      <c r="O1588" s="9">
        <f>HYPERLINK("https://www.google.com/maps/search/?api=1&amp;query=41.44391534,2.18827094", "https://www.google.com/maps/search/?api=1&amp;query=41.44391534,2.18827094")</f>
      </c>
      <c r="P1588" s="9" t="s">
        <v>705</v>
      </c>
      <c r="Q1588" s="9" t="s">
        <v>565</v>
      </c>
    </row>
    <row r="1589" spans="1:17" x14ac:dyDescent="0.25">
      <c r="A1589" s="8" t="s">
        <v>11599</v>
      </c>
      <c r="B1589" s="8" t="s">
        <v>11600</v>
      </c>
      <c r="C1589" s="9" t="s">
        <v>11601</v>
      </c>
      <c r="D1589" s="9" t="s">
        <v>1617</v>
      </c>
      <c r="E1589" s="9" t="s">
        <v>11602</v>
      </c>
      <c r="F1589" s="10">
        <v>1.378</v>
      </c>
      <c r="G1589" s="10">
        <v>1.515</v>
      </c>
      <c r="H1589" s="10"/>
      <c r="I1589" s="9" t="s">
        <v>292</v>
      </c>
      <c r="J1589" s="9" t="s">
        <v>11603</v>
      </c>
      <c r="K1589" s="9" t="s">
        <v>11604</v>
      </c>
      <c r="L1589" s="8" t="s">
        <v>11605</v>
      </c>
      <c r="M1589" s="9" t="s">
        <v>36</v>
      </c>
      <c r="N1589" s="9" t="s">
        <v>11606</v>
      </c>
      <c r="O1589" s="9">
        <f>HYPERLINK("https://www.google.com/maps/search/?api=1&amp;query=41.79241755,-0.15324319", "https://www.google.com/maps/search/?api=1&amp;query=41.79241755,-0.15324319")</f>
      </c>
      <c r="P1589" s="9" t="s">
        <v>1203</v>
      </c>
      <c r="Q1589" s="9" t="s">
        <v>11262</v>
      </c>
    </row>
    <row r="1590" spans="1:17" x14ac:dyDescent="0.25">
      <c r="A1590" s="8" t="s">
        <v>11607</v>
      </c>
      <c r="B1590" s="8" t="s">
        <v>11608</v>
      </c>
      <c r="C1590" s="9" t="s">
        <v>11609</v>
      </c>
      <c r="D1590" s="9" t="s">
        <v>1434</v>
      </c>
      <c r="E1590" s="9" t="s">
        <v>11610</v>
      </c>
      <c r="F1590" s="10">
        <v>1.378</v>
      </c>
      <c r="G1590" s="10">
        <v>1.515</v>
      </c>
      <c r="H1590" s="10"/>
      <c r="I1590" s="9" t="s">
        <v>1434</v>
      </c>
      <c r="J1590" s="9" t="s">
        <v>11611</v>
      </c>
      <c r="K1590" s="9" t="s">
        <v>11612</v>
      </c>
      <c r="L1590" s="8" t="s">
        <v>11613</v>
      </c>
      <c r="M1590" s="9" t="s">
        <v>36</v>
      </c>
      <c r="N1590" s="9" t="s">
        <v>122</v>
      </c>
      <c r="O1590" s="9">
        <f>HYPERLINK("https://www.google.com/maps/search/?api=1&amp;query=42.32814476,-2.7609249", "https://www.google.com/maps/search/?api=1&amp;query=42.32814476,-2.7609249")</f>
      </c>
      <c r="P1590" s="9" t="s">
        <v>7403</v>
      </c>
      <c r="Q1590" s="9" t="s">
        <v>1131</v>
      </c>
    </row>
    <row r="1591" spans="1:17" x14ac:dyDescent="0.25">
      <c r="A1591" s="8" t="s">
        <v>11614</v>
      </c>
      <c r="B1591" s="8" t="s">
        <v>11615</v>
      </c>
      <c r="C1591" s="9" t="s">
        <v>11616</v>
      </c>
      <c r="D1591" s="9" t="s">
        <v>94</v>
      </c>
      <c r="E1591" s="9" t="s">
        <v>950</v>
      </c>
      <c r="F1591" s="10">
        <v>1.378</v>
      </c>
      <c r="G1591" s="10">
        <v>1.515</v>
      </c>
      <c r="H1591" s="10"/>
      <c r="I1591" s="9" t="s">
        <v>96</v>
      </c>
      <c r="J1591" s="9" t="s">
        <v>11617</v>
      </c>
      <c r="K1591" s="9" t="s">
        <v>11618</v>
      </c>
      <c r="L1591" s="8" t="s">
        <v>11619</v>
      </c>
      <c r="M1591" s="9" t="s">
        <v>49</v>
      </c>
      <c r="N1591" s="9" t="s">
        <v>88</v>
      </c>
      <c r="O1591" s="9">
        <f>HYPERLINK("https://www.google.com/maps/search/?api=1&amp;query=41.45320321,2.25070053", "https://www.google.com/maps/search/?api=1&amp;query=41.45320321,2.25070053")</f>
      </c>
      <c r="P1591" s="9" t="s">
        <v>419</v>
      </c>
      <c r="Q1591" s="9" t="s">
        <v>112</v>
      </c>
    </row>
    <row r="1592" spans="1:17" x14ac:dyDescent="0.25">
      <c r="A1592" s="8" t="s">
        <v>11620</v>
      </c>
      <c r="B1592" s="8" t="s">
        <v>11621</v>
      </c>
      <c r="C1592" s="9" t="s">
        <v>11622</v>
      </c>
      <c r="D1592" s="9" t="s">
        <v>409</v>
      </c>
      <c r="E1592" s="9" t="s">
        <v>409</v>
      </c>
      <c r="F1592" s="10">
        <v>1.378</v>
      </c>
      <c r="G1592" s="10">
        <v>1.515</v>
      </c>
      <c r="H1592" s="10"/>
      <c r="I1592" s="9" t="s">
        <v>292</v>
      </c>
      <c r="J1592" s="9" t="s">
        <v>11623</v>
      </c>
      <c r="K1592" s="9" t="s">
        <v>11624</v>
      </c>
      <c r="L1592" s="8" t="s">
        <v>11625</v>
      </c>
      <c r="M1592" s="9" t="s">
        <v>49</v>
      </c>
      <c r="N1592" s="9" t="s">
        <v>88</v>
      </c>
      <c r="O1592" s="9">
        <f>HYPERLINK("https://www.google.com/maps/search/?api=1&amp;query=41.62541138,-0.88840923", "https://www.google.com/maps/search/?api=1&amp;query=41.62541138,-0.88840923")</f>
      </c>
      <c r="P1592" s="9" t="s">
        <v>1139</v>
      </c>
      <c r="Q1592" s="9" t="s">
        <v>5645</v>
      </c>
    </row>
    <row r="1593" spans="1:17" x14ac:dyDescent="0.25">
      <c r="A1593" s="8" t="s">
        <v>11626</v>
      </c>
      <c r="B1593" s="8" t="s">
        <v>11627</v>
      </c>
      <c r="C1593" s="9" t="s">
        <v>11628</v>
      </c>
      <c r="D1593" s="9" t="s">
        <v>138</v>
      </c>
      <c r="E1593" s="9" t="s">
        <v>11629</v>
      </c>
      <c r="F1593" s="10">
        <v>1.378</v>
      </c>
      <c r="G1593" s="10">
        <v>1.515</v>
      </c>
      <c r="H1593" s="10"/>
      <c r="I1593" s="9" t="s">
        <v>140</v>
      </c>
      <c r="J1593" s="9" t="s">
        <v>11630</v>
      </c>
      <c r="K1593" s="9" t="s">
        <v>11631</v>
      </c>
      <c r="L1593" s="8" t="s">
        <v>6950</v>
      </c>
      <c r="M1593" s="9" t="s">
        <v>36</v>
      </c>
      <c r="N1593" s="9" t="s">
        <v>3164</v>
      </c>
      <c r="O1593" s="9">
        <f>HYPERLINK("https://www.google.com/maps/search/?api=1&amp;query=42.11218301,-8.77068714", "https://www.google.com/maps/search/?api=1&amp;query=42.11218301,-8.77068714")</f>
      </c>
      <c r="P1593" s="9" t="s">
        <v>349</v>
      </c>
      <c r="Q1593" s="9" t="s">
        <v>7200</v>
      </c>
    </row>
    <row r="1594" spans="1:17" x14ac:dyDescent="0.25">
      <c r="A1594" s="8" t="s">
        <v>11632</v>
      </c>
      <c r="B1594" s="8" t="s">
        <v>11633</v>
      </c>
      <c r="C1594" s="9" t="s">
        <v>11634</v>
      </c>
      <c r="D1594" s="9" t="s">
        <v>83</v>
      </c>
      <c r="E1594" s="9" t="s">
        <v>83</v>
      </c>
      <c r="F1594" s="10">
        <v>1.378</v>
      </c>
      <c r="G1594" s="10">
        <v>1.515</v>
      </c>
      <c r="H1594" s="10"/>
      <c r="I1594" s="9" t="s">
        <v>83</v>
      </c>
      <c r="J1594" s="9" t="s">
        <v>11635</v>
      </c>
      <c r="K1594" s="9" t="s">
        <v>11636</v>
      </c>
      <c r="L1594" s="8" t="s">
        <v>931</v>
      </c>
      <c r="M1594" s="9" t="s">
        <v>49</v>
      </c>
      <c r="N1594" s="9" t="s">
        <v>9679</v>
      </c>
      <c r="O1594" s="9">
        <f>HYPERLINK("https://www.google.com/maps/search/?api=1&amp;query=40.37933628,-3.66568781", "https://www.google.com/maps/search/?api=1&amp;query=40.37933628,-3.66568781")</f>
      </c>
      <c r="P1594" s="9" t="s">
        <v>2594</v>
      </c>
      <c r="Q1594" s="9" t="s">
        <v>1131</v>
      </c>
    </row>
    <row r="1595" spans="1:17" x14ac:dyDescent="0.25">
      <c r="A1595" s="8" t="s">
        <v>11637</v>
      </c>
      <c r="B1595" s="8" t="s">
        <v>11638</v>
      </c>
      <c r="C1595" s="9" t="s">
        <v>7772</v>
      </c>
      <c r="D1595" s="9" t="s">
        <v>1560</v>
      </c>
      <c r="E1595" s="9" t="s">
        <v>7773</v>
      </c>
      <c r="F1595" s="10">
        <v>1.378</v>
      </c>
      <c r="G1595" s="10">
        <v>1.515</v>
      </c>
      <c r="H1595" s="10"/>
      <c r="I1595" s="9" t="s">
        <v>400</v>
      </c>
      <c r="J1595" s="9" t="s">
        <v>11639</v>
      </c>
      <c r="K1595" s="9" t="s">
        <v>11640</v>
      </c>
      <c r="L1595" s="8" t="s">
        <v>7776</v>
      </c>
      <c r="M1595" s="9" t="s">
        <v>36</v>
      </c>
      <c r="N1595" s="9" t="s">
        <v>88</v>
      </c>
      <c r="O1595" s="9">
        <f>HYPERLINK("https://www.google.com/maps/search/?api=1&amp;query=40.42178316,0.41711192", "https://www.google.com/maps/search/?api=1&amp;query=40.42178316,0.41711192")</f>
      </c>
      <c r="P1595" s="9" t="s">
        <v>11641</v>
      </c>
      <c r="Q1595" s="9" t="s">
        <v>11642</v>
      </c>
    </row>
    <row r="1596" spans="1:17" x14ac:dyDescent="0.25">
      <c r="A1596" s="8" t="s">
        <v>11643</v>
      </c>
      <c r="B1596" s="8" t="s">
        <v>11644</v>
      </c>
      <c r="C1596" s="9" t="s">
        <v>11645</v>
      </c>
      <c r="D1596" s="9" t="s">
        <v>1617</v>
      </c>
      <c r="E1596" s="9" t="s">
        <v>11646</v>
      </c>
      <c r="F1596" s="10">
        <v>1.378</v>
      </c>
      <c r="G1596" s="10">
        <v>1.515</v>
      </c>
      <c r="H1596" s="10"/>
      <c r="I1596" s="9" t="s">
        <v>292</v>
      </c>
      <c r="J1596" s="9" t="s">
        <v>11647</v>
      </c>
      <c r="K1596" s="9" t="s">
        <v>11648</v>
      </c>
      <c r="L1596" s="8" t="s">
        <v>11649</v>
      </c>
      <c r="M1596" s="9" t="s">
        <v>36</v>
      </c>
      <c r="N1596" s="9" t="s">
        <v>88</v>
      </c>
      <c r="O1596" s="9">
        <f>HYPERLINK("https://www.google.com/maps/search/?api=1&amp;query=42.03615276,-0.57554126", "https://www.google.com/maps/search/?api=1&amp;query=42.03615276,-0.57554126")</f>
      </c>
      <c r="P1596" s="9" t="s">
        <v>11650</v>
      </c>
      <c r="Q1596" s="9" t="s">
        <v>11651</v>
      </c>
    </row>
    <row r="1597" spans="1:17" x14ac:dyDescent="0.25">
      <c r="A1597" s="8" t="s">
        <v>11652</v>
      </c>
      <c r="B1597" s="8" t="s">
        <v>11653</v>
      </c>
      <c r="C1597" s="9" t="s">
        <v>9878</v>
      </c>
      <c r="D1597" s="9" t="s">
        <v>3841</v>
      </c>
      <c r="E1597" s="9" t="s">
        <v>11654</v>
      </c>
      <c r="F1597" s="10">
        <v>1.378</v>
      </c>
      <c r="G1597" s="10">
        <v>1.515</v>
      </c>
      <c r="H1597" s="10"/>
      <c r="I1597" s="9" t="s">
        <v>74</v>
      </c>
      <c r="J1597" s="9" t="s">
        <v>11655</v>
      </c>
      <c r="K1597" s="9" t="s">
        <v>11656</v>
      </c>
      <c r="L1597" s="8" t="s">
        <v>11657</v>
      </c>
      <c r="M1597" s="9" t="s">
        <v>36</v>
      </c>
      <c r="N1597" s="9" t="s">
        <v>88</v>
      </c>
      <c r="O1597" s="9">
        <f>HYPERLINK("https://www.google.com/maps/search/?api=1&amp;query=41.84068451,-2.04439881", "https://www.google.com/maps/search/?api=1&amp;query=41.84068451,-2.04439881")</f>
      </c>
      <c r="P1597" s="9" t="s">
        <v>646</v>
      </c>
      <c r="Q1597" s="9" t="s">
        <v>5429</v>
      </c>
    </row>
    <row r="1598" spans="1:17" x14ac:dyDescent="0.25">
      <c r="A1598" s="8" t="s">
        <v>11658</v>
      </c>
      <c r="B1598" s="8" t="s">
        <v>11659</v>
      </c>
      <c r="C1598" s="9" t="s">
        <v>11660</v>
      </c>
      <c r="D1598" s="9" t="s">
        <v>197</v>
      </c>
      <c r="E1598" s="9" t="s">
        <v>3615</v>
      </c>
      <c r="F1598" s="10">
        <v>1.378</v>
      </c>
      <c r="G1598" s="10">
        <v>1.515</v>
      </c>
      <c r="H1598" s="10"/>
      <c r="I1598" s="9" t="s">
        <v>168</v>
      </c>
      <c r="J1598" s="9" t="s">
        <v>11661</v>
      </c>
      <c r="K1598" s="9" t="s">
        <v>11662</v>
      </c>
      <c r="L1598" s="8" t="s">
        <v>3618</v>
      </c>
      <c r="M1598" s="9" t="s">
        <v>49</v>
      </c>
      <c r="N1598" s="9" t="s">
        <v>88</v>
      </c>
      <c r="O1598" s="9">
        <f>HYPERLINK("https://www.google.com/maps/search/?api=1&amp;query=39.95335368,-4.84760067", "https://www.google.com/maps/search/?api=1&amp;query=39.95335368,-4.84760067")</f>
      </c>
      <c r="P1598" s="9" t="s">
        <v>1067</v>
      </c>
      <c r="Q1598" s="9" t="s">
        <v>297</v>
      </c>
    </row>
    <row r="1599" spans="1:17" x14ac:dyDescent="0.25">
      <c r="A1599" s="8" t="s">
        <v>11663</v>
      </c>
      <c r="B1599" s="8" t="s">
        <v>11664</v>
      </c>
      <c r="C1599" s="9" t="s">
        <v>11665</v>
      </c>
      <c r="D1599" s="9" t="s">
        <v>128</v>
      </c>
      <c r="E1599" s="9" t="s">
        <v>11666</v>
      </c>
      <c r="F1599" s="10">
        <v>1.378</v>
      </c>
      <c r="G1599" s="10">
        <v>1.515</v>
      </c>
      <c r="H1599" s="10"/>
      <c r="I1599" s="9" t="s">
        <v>45</v>
      </c>
      <c r="J1599" s="9" t="s">
        <v>11667</v>
      </c>
      <c r="K1599" s="9" t="s">
        <v>11668</v>
      </c>
      <c r="L1599" s="8" t="s">
        <v>11669</v>
      </c>
      <c r="M1599" s="9" t="s">
        <v>36</v>
      </c>
      <c r="N1599" s="9" t="s">
        <v>11382</v>
      </c>
      <c r="O1599" s="9">
        <f>HYPERLINK("https://www.google.com/maps/search/?api=1&amp;query=36.75171061,-5.78403077", "https://www.google.com/maps/search/?api=1&amp;query=36.75171061,-5.78403077")</f>
      </c>
      <c r="P1599" s="9" t="s">
        <v>182</v>
      </c>
      <c r="Q1599" s="9" t="s">
        <v>11670</v>
      </c>
    </row>
    <row r="1600" spans="1:17" x14ac:dyDescent="0.25">
      <c r="A1600" s="8" t="s">
        <v>11671</v>
      </c>
      <c r="B1600" s="8" t="s">
        <v>11672</v>
      </c>
      <c r="C1600" s="9" t="s">
        <v>11673</v>
      </c>
      <c r="D1600" s="9" t="s">
        <v>344</v>
      </c>
      <c r="E1600" s="9" t="s">
        <v>11674</v>
      </c>
      <c r="F1600" s="10">
        <v>1.378</v>
      </c>
      <c r="G1600" s="10">
        <v>1.515</v>
      </c>
      <c r="H1600" s="10"/>
      <c r="I1600" s="9" t="s">
        <v>140</v>
      </c>
      <c r="J1600" s="9" t="s">
        <v>11675</v>
      </c>
      <c r="K1600" s="9" t="s">
        <v>11676</v>
      </c>
      <c r="L1600" s="8" t="s">
        <v>11677</v>
      </c>
      <c r="M1600" s="9" t="s">
        <v>100</v>
      </c>
      <c r="N1600" s="9" t="s">
        <v>211</v>
      </c>
      <c r="O1600" s="9">
        <f>HYPERLINK("https://www.google.com/maps/search/?api=1&amp;query=43.24429571,-8.89326027", "https://www.google.com/maps/search/?api=1&amp;query=43.24429571,-8.89326027")</f>
      </c>
      <c r="P1600" s="9" t="s">
        <v>771</v>
      </c>
      <c r="Q1600" s="9" t="s">
        <v>11678</v>
      </c>
    </row>
    <row r="1601" spans="1:17" x14ac:dyDescent="0.25">
      <c r="A1601" s="8" t="s">
        <v>11679</v>
      </c>
      <c r="B1601" s="8" t="s">
        <v>11680</v>
      </c>
      <c r="C1601" s="9" t="s">
        <v>11681</v>
      </c>
      <c r="D1601" s="9" t="s">
        <v>83</v>
      </c>
      <c r="E1601" s="9" t="s">
        <v>11682</v>
      </c>
      <c r="F1601" s="10">
        <v>1.378</v>
      </c>
      <c r="G1601" s="10">
        <v>1.515</v>
      </c>
      <c r="H1601" s="10"/>
      <c r="I1601" s="9" t="s">
        <v>83</v>
      </c>
      <c r="J1601" s="9" t="s">
        <v>11683</v>
      </c>
      <c r="K1601" s="9" t="s">
        <v>11684</v>
      </c>
      <c r="L1601" s="8" t="s">
        <v>11685</v>
      </c>
      <c r="M1601" s="9" t="s">
        <v>36</v>
      </c>
      <c r="N1601" s="9" t="s">
        <v>11686</v>
      </c>
      <c r="O1601" s="9">
        <f>HYPERLINK("https://www.google.com/maps/search/?api=1&amp;query=40.54090937,-3.45222294", "https://www.google.com/maps/search/?api=1&amp;query=40.54090937,-3.45222294")</f>
      </c>
      <c r="P1601" s="9" t="s">
        <v>1759</v>
      </c>
      <c r="Q1601" s="9" t="s">
        <v>11687</v>
      </c>
    </row>
    <row r="1602" spans="1:17" x14ac:dyDescent="0.25">
      <c r="A1602" s="8" t="s">
        <v>11688</v>
      </c>
      <c r="B1602" s="8" t="s">
        <v>11689</v>
      </c>
      <c r="C1602" s="9" t="s">
        <v>11690</v>
      </c>
      <c r="D1602" s="9" t="s">
        <v>808</v>
      </c>
      <c r="E1602" s="9" t="s">
        <v>11691</v>
      </c>
      <c r="F1602" s="10">
        <v>1.378</v>
      </c>
      <c r="G1602" s="10">
        <v>1.515</v>
      </c>
      <c r="H1602" s="10"/>
      <c r="I1602" s="9" t="s">
        <v>808</v>
      </c>
      <c r="J1602" s="9" t="s">
        <v>11692</v>
      </c>
      <c r="K1602" s="9" t="s">
        <v>11693</v>
      </c>
      <c r="L1602" s="8" t="s">
        <v>11694</v>
      </c>
      <c r="M1602" s="9" t="s">
        <v>36</v>
      </c>
      <c r="N1602" s="9" t="s">
        <v>11695</v>
      </c>
      <c r="O1602" s="9">
        <f>HYPERLINK("https://www.google.com/maps/search/?api=1&amp;query=43.30936223,-4.23498613", "https://www.google.com/maps/search/?api=1&amp;query=43.30936223,-4.23498613")</f>
      </c>
      <c r="P1602" s="9" t="s">
        <v>2594</v>
      </c>
      <c r="Q1602" s="9" t="s">
        <v>1131</v>
      </c>
    </row>
    <row r="1603" spans="1:17" x14ac:dyDescent="0.25">
      <c r="A1603" s="8" t="s">
        <v>11696</v>
      </c>
      <c r="B1603" s="8" t="s">
        <v>11697</v>
      </c>
      <c r="C1603" s="9" t="s">
        <v>11698</v>
      </c>
      <c r="D1603" s="9" t="s">
        <v>138</v>
      </c>
      <c r="E1603" s="9" t="s">
        <v>11699</v>
      </c>
      <c r="F1603" s="10">
        <v>1.378</v>
      </c>
      <c r="G1603" s="10">
        <v>1.515</v>
      </c>
      <c r="H1603" s="10"/>
      <c r="I1603" s="9" t="s">
        <v>140</v>
      </c>
      <c r="J1603" s="9" t="s">
        <v>11700</v>
      </c>
      <c r="K1603" s="9" t="s">
        <v>11701</v>
      </c>
      <c r="L1603" s="8" t="s">
        <v>11702</v>
      </c>
      <c r="M1603" s="9" t="s">
        <v>36</v>
      </c>
      <c r="N1603" s="9" t="s">
        <v>11703</v>
      </c>
      <c r="O1603" s="9">
        <f>HYPERLINK("https://www.google.com/maps/search/?api=1&amp;query=42.04872494,-8.64375136", "https://www.google.com/maps/search/?api=1&amp;query=42.04872494,-8.64375136")</f>
      </c>
      <c r="P1603" s="9" t="s">
        <v>1439</v>
      </c>
      <c r="Q1603" s="9" t="s">
        <v>1131</v>
      </c>
    </row>
    <row r="1604" spans="1:17" x14ac:dyDescent="0.25">
      <c r="A1604" s="8" t="s">
        <v>11704</v>
      </c>
      <c r="B1604" s="8" t="s">
        <v>11705</v>
      </c>
      <c r="C1604" s="9" t="s">
        <v>11706</v>
      </c>
      <c r="D1604" s="9" t="s">
        <v>106</v>
      </c>
      <c r="E1604" s="9" t="s">
        <v>11707</v>
      </c>
      <c r="F1604" s="10">
        <v>1.378</v>
      </c>
      <c r="G1604" s="10">
        <v>1.515</v>
      </c>
      <c r="H1604" s="10"/>
      <c r="I1604" s="9" t="s">
        <v>106</v>
      </c>
      <c r="J1604" s="9" t="s">
        <v>11708</v>
      </c>
      <c r="K1604" s="9" t="s">
        <v>11709</v>
      </c>
      <c r="L1604" s="8" t="s">
        <v>11710</v>
      </c>
      <c r="M1604" s="9" t="s">
        <v>49</v>
      </c>
      <c r="N1604" s="9" t="s">
        <v>37</v>
      </c>
      <c r="O1604" s="9">
        <f>HYPERLINK("https://www.google.com/maps/search/?api=1&amp;query=37.632222,-1.736722", "https://www.google.com/maps/search/?api=1&amp;query=37.632222,-1.736722")</f>
      </c>
      <c r="P1604" s="9" t="s">
        <v>3165</v>
      </c>
      <c r="Q1604" s="9" t="s">
        <v>11711</v>
      </c>
    </row>
    <row r="1605" spans="1:17" x14ac:dyDescent="0.25">
      <c r="A1605" s="8" t="s">
        <v>11712</v>
      </c>
      <c r="B1605" s="8" t="s">
        <v>11713</v>
      </c>
      <c r="C1605" s="9" t="s">
        <v>11714</v>
      </c>
      <c r="D1605" s="9" t="s">
        <v>94</v>
      </c>
      <c r="E1605" s="9" t="s">
        <v>2673</v>
      </c>
      <c r="F1605" s="10">
        <v>1.378</v>
      </c>
      <c r="G1605" s="10">
        <v>1.515</v>
      </c>
      <c r="H1605" s="10"/>
      <c r="I1605" s="9" t="s">
        <v>96</v>
      </c>
      <c r="J1605" s="9" t="s">
        <v>11715</v>
      </c>
      <c r="K1605" s="9" t="s">
        <v>11716</v>
      </c>
      <c r="L1605" s="8" t="s">
        <v>2676</v>
      </c>
      <c r="M1605" s="9" t="s">
        <v>49</v>
      </c>
      <c r="N1605" s="9" t="s">
        <v>88</v>
      </c>
      <c r="O1605" s="9">
        <f>HYPERLINK("https://www.google.com/maps/search/?api=1&amp;query=41.38465042,2.00361434", "https://www.google.com/maps/search/?api=1&amp;query=41.38465042,2.00361434")</f>
      </c>
      <c r="P1605" s="9" t="s">
        <v>2233</v>
      </c>
      <c r="Q1605" s="9" t="s">
        <v>7794</v>
      </c>
    </row>
    <row r="1606" spans="1:17" x14ac:dyDescent="0.25">
      <c r="A1606" s="8" t="s">
        <v>11717</v>
      </c>
      <c r="B1606" s="8" t="s">
        <v>11718</v>
      </c>
      <c r="C1606" s="9" t="s">
        <v>11719</v>
      </c>
      <c r="D1606" s="9" t="s">
        <v>631</v>
      </c>
      <c r="E1606" s="9" t="s">
        <v>1047</v>
      </c>
      <c r="F1606" s="10">
        <v>1.378</v>
      </c>
      <c r="G1606" s="10">
        <v>1.515</v>
      </c>
      <c r="H1606" s="10"/>
      <c r="I1606" s="9" t="s">
        <v>45</v>
      </c>
      <c r="J1606" s="9" t="s">
        <v>11720</v>
      </c>
      <c r="K1606" s="9" t="s">
        <v>11721</v>
      </c>
      <c r="L1606" s="8" t="s">
        <v>7936</v>
      </c>
      <c r="M1606" s="9" t="s">
        <v>49</v>
      </c>
      <c r="N1606" s="9" t="s">
        <v>11722</v>
      </c>
      <c r="O1606" s="9">
        <f>HYPERLINK("https://www.google.com/maps/search/?api=1&amp;query=37.89808763,-4.74122722", "https://www.google.com/maps/search/?api=1&amp;query=37.89808763,-4.74122722")</f>
      </c>
      <c r="P1606" s="9" t="s">
        <v>1203</v>
      </c>
      <c r="Q1606" s="9" t="s">
        <v>1204</v>
      </c>
    </row>
    <row r="1607" spans="1:17" x14ac:dyDescent="0.25">
      <c r="A1607" s="8" t="s">
        <v>11723</v>
      </c>
      <c r="B1607" s="8" t="s">
        <v>11724</v>
      </c>
      <c r="C1607" s="9" t="s">
        <v>11725</v>
      </c>
      <c r="D1607" s="9" t="s">
        <v>631</v>
      </c>
      <c r="E1607" s="9" t="s">
        <v>11726</v>
      </c>
      <c r="F1607" s="10">
        <v>1.378</v>
      </c>
      <c r="G1607" s="10">
        <v>1.515</v>
      </c>
      <c r="H1607" s="10"/>
      <c r="I1607" s="9" t="s">
        <v>45</v>
      </c>
      <c r="J1607" s="9" t="s">
        <v>11727</v>
      </c>
      <c r="K1607" s="9" t="s">
        <v>11728</v>
      </c>
      <c r="L1607" s="8" t="s">
        <v>11729</v>
      </c>
      <c r="M1607" s="9" t="s">
        <v>36</v>
      </c>
      <c r="N1607" s="9" t="s">
        <v>88</v>
      </c>
      <c r="O1607" s="9">
        <f>HYPERLINK("https://www.google.com/maps/search/?api=1&amp;query=37.43045189,-4.60228075", "https://www.google.com/maps/search/?api=1&amp;query=37.43045189,-4.60228075")</f>
      </c>
      <c r="P1607" s="9" t="s">
        <v>1927</v>
      </c>
      <c r="Q1607" s="9" t="s">
        <v>907</v>
      </c>
    </row>
    <row r="1608" spans="1:17" x14ac:dyDescent="0.25">
      <c r="A1608" s="8" t="s">
        <v>11730</v>
      </c>
      <c r="B1608" s="8" t="s">
        <v>11731</v>
      </c>
      <c r="C1608" s="9" t="s">
        <v>11732</v>
      </c>
      <c r="D1608" s="9" t="s">
        <v>1483</v>
      </c>
      <c r="E1608" s="9" t="s">
        <v>11733</v>
      </c>
      <c r="F1608" s="10">
        <v>1.378</v>
      </c>
      <c r="G1608" s="10">
        <v>1.515</v>
      </c>
      <c r="H1608" s="10"/>
      <c r="I1608" s="9" t="s">
        <v>74</v>
      </c>
      <c r="J1608" s="9" t="s">
        <v>11734</v>
      </c>
      <c r="K1608" s="9" t="s">
        <v>11735</v>
      </c>
      <c r="L1608" s="8" t="s">
        <v>11736</v>
      </c>
      <c r="M1608" s="9" t="s">
        <v>49</v>
      </c>
      <c r="N1608" s="9" t="s">
        <v>11737</v>
      </c>
      <c r="O1608" s="9">
        <f>HYPERLINK("https://www.google.com/maps/search/?api=1&amp;query=43.16688736,-3.22911341", "https://www.google.com/maps/search/?api=1&amp;query=43.16688736,-3.22911341")</f>
      </c>
      <c r="P1608" s="9" t="s">
        <v>7037</v>
      </c>
      <c r="Q1608" s="9" t="s">
        <v>1131</v>
      </c>
    </row>
    <row r="1609" spans="1:17" x14ac:dyDescent="0.25">
      <c r="A1609" s="8" t="s">
        <v>11738</v>
      </c>
      <c r="B1609" s="8" t="s">
        <v>11739</v>
      </c>
      <c r="C1609" s="9" t="s">
        <v>11740</v>
      </c>
      <c r="D1609" s="9" t="s">
        <v>138</v>
      </c>
      <c r="E1609" s="9" t="s">
        <v>11741</v>
      </c>
      <c r="F1609" s="10">
        <v>1.378</v>
      </c>
      <c r="G1609" s="10">
        <v>1.515</v>
      </c>
      <c r="H1609" s="10"/>
      <c r="I1609" s="9" t="s">
        <v>140</v>
      </c>
      <c r="J1609" s="9" t="s">
        <v>11742</v>
      </c>
      <c r="K1609" s="9" t="s">
        <v>11743</v>
      </c>
      <c r="L1609" s="8" t="s">
        <v>11744</v>
      </c>
      <c r="M1609" s="9" t="s">
        <v>36</v>
      </c>
      <c r="N1609" s="9" t="s">
        <v>11745</v>
      </c>
      <c r="O1609" s="9">
        <f>HYPERLINK("https://www.google.com/maps/search/?api=1&amp;query=42.52886252,-8.63811681", "https://www.google.com/maps/search/?api=1&amp;query=42.52886252,-8.63811681")</f>
      </c>
      <c r="P1609" s="9" t="s">
        <v>2213</v>
      </c>
      <c r="Q1609" s="9" t="s">
        <v>11746</v>
      </c>
    </row>
    <row r="1610" spans="1:17" x14ac:dyDescent="0.25">
      <c r="A1610" s="8" t="s">
        <v>9705</v>
      </c>
      <c r="B1610" s="8" t="s">
        <v>11747</v>
      </c>
      <c r="C1610" s="9" t="s">
        <v>11748</v>
      </c>
      <c r="D1610" s="9" t="s">
        <v>83</v>
      </c>
      <c r="E1610" s="9" t="s">
        <v>83</v>
      </c>
      <c r="F1610" s="10">
        <v>1.378</v>
      </c>
      <c r="G1610" s="10">
        <v>1.515</v>
      </c>
      <c r="H1610" s="10"/>
      <c r="I1610" s="9" t="s">
        <v>83</v>
      </c>
      <c r="J1610" s="9" t="s">
        <v>11749</v>
      </c>
      <c r="K1610" s="9" t="s">
        <v>11750</v>
      </c>
      <c r="L1610" s="8" t="s">
        <v>11751</v>
      </c>
      <c r="M1610" s="9" t="s">
        <v>49</v>
      </c>
      <c r="N1610" s="9" t="s">
        <v>9444</v>
      </c>
      <c r="O1610" s="9">
        <f>HYPERLINK("https://www.google.com/maps/search/?api=1&amp;query=40.47983421,-3.69777975", "https://www.google.com/maps/search/?api=1&amp;query=40.47983421,-3.69777975")</f>
      </c>
      <c r="P1610" s="9" t="s">
        <v>2594</v>
      </c>
      <c r="Q1610" s="9" t="s">
        <v>1131</v>
      </c>
    </row>
    <row r="1611" spans="1:17" x14ac:dyDescent="0.25">
      <c r="A1611" s="8" t="s">
        <v>11752</v>
      </c>
      <c r="B1611" s="8" t="s">
        <v>11753</v>
      </c>
      <c r="C1611" s="9" t="s">
        <v>11754</v>
      </c>
      <c r="D1611" s="9" t="s">
        <v>72</v>
      </c>
      <c r="E1611" s="9" t="s">
        <v>11755</v>
      </c>
      <c r="F1611" s="10">
        <v>1.378</v>
      </c>
      <c r="G1611" s="10">
        <v>1.515</v>
      </c>
      <c r="H1611" s="10"/>
      <c r="I1611" s="9" t="s">
        <v>74</v>
      </c>
      <c r="J1611" s="9" t="s">
        <v>11756</v>
      </c>
      <c r="K1611" s="9" t="s">
        <v>11757</v>
      </c>
      <c r="L1611" s="8" t="s">
        <v>11758</v>
      </c>
      <c r="M1611" s="9" t="s">
        <v>36</v>
      </c>
      <c r="N1611" s="9" t="s">
        <v>1719</v>
      </c>
      <c r="O1611" s="9">
        <f>HYPERLINK("https://www.google.com/maps/search/?api=1&amp;query=42.58757829,-4.32790556", "https://www.google.com/maps/search/?api=1&amp;query=42.58757829,-4.32790556")</f>
      </c>
      <c r="P1611" s="9" t="s">
        <v>880</v>
      </c>
      <c r="Q1611" s="9" t="s">
        <v>11759</v>
      </c>
    </row>
    <row r="1612" spans="1:17" x14ac:dyDescent="0.25">
      <c r="A1612" s="8" t="s">
        <v>11760</v>
      </c>
      <c r="B1612" s="8" t="s">
        <v>11761</v>
      </c>
      <c r="C1612" s="9" t="s">
        <v>11762</v>
      </c>
      <c r="D1612" s="9" t="s">
        <v>290</v>
      </c>
      <c r="E1612" s="9" t="s">
        <v>290</v>
      </c>
      <c r="F1612" s="10">
        <v>1.378</v>
      </c>
      <c r="G1612" s="10">
        <v>1.515</v>
      </c>
      <c r="H1612" s="10"/>
      <c r="I1612" s="9" t="s">
        <v>292</v>
      </c>
      <c r="J1612" s="9" t="s">
        <v>8124</v>
      </c>
      <c r="K1612" s="9" t="s">
        <v>11763</v>
      </c>
      <c r="L1612" s="8" t="s">
        <v>8126</v>
      </c>
      <c r="M1612" s="9" t="s">
        <v>36</v>
      </c>
      <c r="N1612" s="9" t="s">
        <v>11764</v>
      </c>
      <c r="O1612" s="9">
        <f>HYPERLINK("https://www.google.com/maps/search/?api=1&amp;query=40.35712795,-1.13635487", "https://www.google.com/maps/search/?api=1&amp;query=40.35712795,-1.13635487")</f>
      </c>
      <c r="P1612" s="9" t="s">
        <v>8007</v>
      </c>
      <c r="Q1612" s="9" t="s">
        <v>11765</v>
      </c>
    </row>
    <row r="1613" spans="1:17" x14ac:dyDescent="0.25">
      <c r="A1613" s="8" t="s">
        <v>11766</v>
      </c>
      <c r="B1613" s="8" t="s">
        <v>11767</v>
      </c>
      <c r="C1613" s="9" t="s">
        <v>11768</v>
      </c>
      <c r="D1613" s="9" t="s">
        <v>1617</v>
      </c>
      <c r="E1613" s="9" t="s">
        <v>11769</v>
      </c>
      <c r="F1613" s="10">
        <v>1.378</v>
      </c>
      <c r="G1613" s="10">
        <v>1.515</v>
      </c>
      <c r="H1613" s="10"/>
      <c r="I1613" s="9" t="s">
        <v>292</v>
      </c>
      <c r="J1613" s="9" t="s">
        <v>11770</v>
      </c>
      <c r="K1613" s="9" t="s">
        <v>11771</v>
      </c>
      <c r="L1613" s="8" t="s">
        <v>11772</v>
      </c>
      <c r="M1613" s="9" t="s">
        <v>100</v>
      </c>
      <c r="N1613" s="9" t="s">
        <v>1695</v>
      </c>
      <c r="O1613" s="9">
        <f>HYPERLINK("https://www.google.com/maps/search/?api=1&amp;query=42.12321996,-0.27162779", "https://www.google.com/maps/search/?api=1&amp;query=42.12321996,-0.27162779")</f>
      </c>
      <c r="P1613" s="9" t="s">
        <v>449</v>
      </c>
      <c r="Q1613" s="9" t="s">
        <v>1204</v>
      </c>
    </row>
    <row r="1614" spans="1:17" x14ac:dyDescent="0.25">
      <c r="A1614" s="8" t="s">
        <v>11773</v>
      </c>
      <c r="B1614" s="8" t="s">
        <v>11774</v>
      </c>
      <c r="C1614" s="9" t="s">
        <v>11775</v>
      </c>
      <c r="D1614" s="9" t="s">
        <v>398</v>
      </c>
      <c r="E1614" s="9" t="s">
        <v>7262</v>
      </c>
      <c r="F1614" s="10">
        <v>1.378</v>
      </c>
      <c r="G1614" s="10">
        <v>1.515</v>
      </c>
      <c r="H1614" s="10"/>
      <c r="I1614" s="9" t="s">
        <v>400</v>
      </c>
      <c r="J1614" s="9" t="s">
        <v>11776</v>
      </c>
      <c r="K1614" s="9" t="s">
        <v>11777</v>
      </c>
      <c r="L1614" s="8" t="s">
        <v>7265</v>
      </c>
      <c r="M1614" s="9" t="s">
        <v>49</v>
      </c>
      <c r="N1614" s="9" t="s">
        <v>88</v>
      </c>
      <c r="O1614" s="9">
        <f>HYPERLINK("https://www.google.com/maps/search/?api=1&amp;query=38.738726,-0.43960271", "https://www.google.com/maps/search/?api=1&amp;query=38.738726,-0.43960271")</f>
      </c>
      <c r="P1614" s="9" t="s">
        <v>1139</v>
      </c>
      <c r="Q1614" s="9" t="s">
        <v>11778</v>
      </c>
    </row>
    <row r="1615" spans="1:17" x14ac:dyDescent="0.25">
      <c r="A1615" s="8" t="s">
        <v>11779</v>
      </c>
      <c r="B1615" s="8" t="s">
        <v>11780</v>
      </c>
      <c r="C1615" s="9" t="s">
        <v>11781</v>
      </c>
      <c r="D1615" s="9" t="s">
        <v>83</v>
      </c>
      <c r="E1615" s="9" t="s">
        <v>83</v>
      </c>
      <c r="F1615" s="10">
        <v>1.378</v>
      </c>
      <c r="G1615" s="10">
        <v>1.515</v>
      </c>
      <c r="H1615" s="10"/>
      <c r="I1615" s="9" t="s">
        <v>83</v>
      </c>
      <c r="J1615" s="9" t="s">
        <v>11782</v>
      </c>
      <c r="K1615" s="9" t="s">
        <v>11783</v>
      </c>
      <c r="L1615" s="8" t="s">
        <v>695</v>
      </c>
      <c r="M1615" s="9" t="s">
        <v>49</v>
      </c>
      <c r="N1615" s="9" t="s">
        <v>11784</v>
      </c>
      <c r="O1615" s="9">
        <f>HYPERLINK("https://www.google.com/maps/search/?api=1&amp;query=40.45154726,-3.67589834", "https://www.google.com/maps/search/?api=1&amp;query=40.45154726,-3.67589834")</f>
      </c>
      <c r="P1615" s="9" t="s">
        <v>2594</v>
      </c>
      <c r="Q1615" s="9" t="s">
        <v>1131</v>
      </c>
    </row>
    <row r="1616" spans="1:17" x14ac:dyDescent="0.25">
      <c r="A1616" s="8" t="s">
        <v>11785</v>
      </c>
      <c r="B1616" s="8" t="s">
        <v>11786</v>
      </c>
      <c r="C1616" s="9" t="s">
        <v>11787</v>
      </c>
      <c r="D1616" s="9" t="s">
        <v>892</v>
      </c>
      <c r="E1616" s="9" t="s">
        <v>11788</v>
      </c>
      <c r="F1616" s="10">
        <v>1.378</v>
      </c>
      <c r="G1616" s="10">
        <v>1.515</v>
      </c>
      <c r="H1616" s="10"/>
      <c r="I1616" s="9" t="s">
        <v>32</v>
      </c>
      <c r="J1616" s="9" t="s">
        <v>11789</v>
      </c>
      <c r="K1616" s="9" t="s">
        <v>11790</v>
      </c>
      <c r="L1616" s="8" t="s">
        <v>11791</v>
      </c>
      <c r="M1616" s="9" t="s">
        <v>49</v>
      </c>
      <c r="N1616" s="9" t="s">
        <v>3164</v>
      </c>
      <c r="O1616" s="9">
        <f>HYPERLINK("https://www.google.com/maps/search/?api=1&amp;query=39.33991893,-5.85761542", "https://www.google.com/maps/search/?api=1&amp;query=39.33991893,-5.85761542")</f>
      </c>
      <c r="P1616" s="9" t="s">
        <v>4917</v>
      </c>
      <c r="Q1616" s="9" t="s">
        <v>8812</v>
      </c>
    </row>
    <row r="1617" spans="1:17" x14ac:dyDescent="0.25">
      <c r="A1617" s="8" t="s">
        <v>11792</v>
      </c>
      <c r="B1617" s="8" t="s">
        <v>11793</v>
      </c>
      <c r="C1617" s="9" t="s">
        <v>11794</v>
      </c>
      <c r="D1617" s="9" t="s">
        <v>1282</v>
      </c>
      <c r="E1617" s="9" t="s">
        <v>11795</v>
      </c>
      <c r="F1617" s="10">
        <v>1.378</v>
      </c>
      <c r="G1617" s="10">
        <v>1.515</v>
      </c>
      <c r="H1617" s="10"/>
      <c r="I1617" s="9" t="s">
        <v>45</v>
      </c>
      <c r="J1617" s="9" t="s">
        <v>11796</v>
      </c>
      <c r="K1617" s="9" t="s">
        <v>11797</v>
      </c>
      <c r="L1617" s="8" t="s">
        <v>11798</v>
      </c>
      <c r="M1617" s="9" t="s">
        <v>49</v>
      </c>
      <c r="N1617" s="9" t="s">
        <v>211</v>
      </c>
      <c r="O1617" s="9">
        <f>HYPERLINK("https://www.google.com/maps/search/?api=1&amp;query=37.23387867,-3.49718775", "https://www.google.com/maps/search/?api=1&amp;query=37.23387867,-3.49718775")</f>
      </c>
      <c r="P1617" s="9" t="s">
        <v>321</v>
      </c>
      <c r="Q1617" s="9" t="s">
        <v>11799</v>
      </c>
    </row>
    <row r="1618" spans="1:17" x14ac:dyDescent="0.25">
      <c r="A1618" s="8" t="s">
        <v>11800</v>
      </c>
      <c r="B1618" s="8" t="s">
        <v>11801</v>
      </c>
      <c r="C1618" s="9" t="s">
        <v>11802</v>
      </c>
      <c r="D1618" s="9" t="s">
        <v>424</v>
      </c>
      <c r="E1618" s="9" t="s">
        <v>424</v>
      </c>
      <c r="F1618" s="10">
        <v>1.378</v>
      </c>
      <c r="G1618" s="10">
        <v>1.515</v>
      </c>
      <c r="H1618" s="10"/>
      <c r="I1618" s="9" t="s">
        <v>96</v>
      </c>
      <c r="J1618" s="9" t="s">
        <v>11803</v>
      </c>
      <c r="K1618" s="9" t="s">
        <v>11804</v>
      </c>
      <c r="L1618" s="8" t="s">
        <v>3473</v>
      </c>
      <c r="M1618" s="9" t="s">
        <v>100</v>
      </c>
      <c r="N1618" s="9" t="s">
        <v>66</v>
      </c>
      <c r="O1618" s="9">
        <f>HYPERLINK("https://www.google.com/maps/search/?api=1&amp;query=41.61134657,0.64388285", "https://www.google.com/maps/search/?api=1&amp;query=41.61134657,0.64388285")</f>
      </c>
      <c r="P1618" s="9" t="s">
        <v>240</v>
      </c>
      <c r="Q1618" s="9" t="s">
        <v>11805</v>
      </c>
    </row>
    <row r="1619" spans="1:17" x14ac:dyDescent="0.25">
      <c r="A1619" s="8" t="s">
        <v>11806</v>
      </c>
      <c r="B1619" s="8" t="s">
        <v>11807</v>
      </c>
      <c r="C1619" s="9" t="s">
        <v>11808</v>
      </c>
      <c r="D1619" s="9" t="s">
        <v>344</v>
      </c>
      <c r="E1619" s="9" t="s">
        <v>11809</v>
      </c>
      <c r="F1619" s="10">
        <v>1.378</v>
      </c>
      <c r="G1619" s="10">
        <v>1.515</v>
      </c>
      <c r="H1619" s="10"/>
      <c r="I1619" s="9" t="s">
        <v>140</v>
      </c>
      <c r="J1619" s="9" t="s">
        <v>11810</v>
      </c>
      <c r="K1619" s="9" t="s">
        <v>11811</v>
      </c>
      <c r="L1619" s="8" t="s">
        <v>11812</v>
      </c>
      <c r="M1619" s="9" t="s">
        <v>36</v>
      </c>
      <c r="N1619" s="9" t="s">
        <v>211</v>
      </c>
      <c r="O1619" s="9">
        <f>HYPERLINK("https://www.google.com/maps/search/?api=1&amp;query=43.44265956,-7.84616461", "https://www.google.com/maps/search/?api=1&amp;query=43.44265956,-7.84616461")</f>
      </c>
      <c r="P1619" s="9" t="s">
        <v>493</v>
      </c>
      <c r="Q1619" s="9" t="s">
        <v>10247</v>
      </c>
    </row>
    <row r="1620" spans="1:17" x14ac:dyDescent="0.25">
      <c r="A1620" s="8" t="s">
        <v>11813</v>
      </c>
      <c r="B1620" s="8" t="s">
        <v>11814</v>
      </c>
      <c r="C1620" s="9" t="s">
        <v>11815</v>
      </c>
      <c r="D1620" s="9" t="s">
        <v>409</v>
      </c>
      <c r="E1620" s="9" t="s">
        <v>409</v>
      </c>
      <c r="F1620" s="10">
        <v>1.378</v>
      </c>
      <c r="G1620" s="10">
        <v>1.515</v>
      </c>
      <c r="H1620" s="10"/>
      <c r="I1620" s="9" t="s">
        <v>292</v>
      </c>
      <c r="J1620" s="9" t="s">
        <v>11816</v>
      </c>
      <c r="K1620" s="9" t="s">
        <v>11817</v>
      </c>
      <c r="L1620" s="8" t="s">
        <v>3899</v>
      </c>
      <c r="M1620" s="9" t="s">
        <v>36</v>
      </c>
      <c r="N1620" s="9" t="s">
        <v>122</v>
      </c>
      <c r="O1620" s="9">
        <f>HYPERLINK("https://www.google.com/maps/search/?api=1&amp;query=41.62110978,-0.91506264", "https://www.google.com/maps/search/?api=1&amp;query=41.62110978,-0.91506264")</f>
      </c>
      <c r="P1620" s="9" t="s">
        <v>1364</v>
      </c>
      <c r="Q1620" s="9" t="s">
        <v>11818</v>
      </c>
    </row>
    <row r="1621" spans="1:17" x14ac:dyDescent="0.25">
      <c r="A1621" s="8" t="s">
        <v>11819</v>
      </c>
      <c r="B1621" s="8" t="s">
        <v>11820</v>
      </c>
      <c r="C1621" s="9" t="s">
        <v>11821</v>
      </c>
      <c r="D1621" s="9" t="s">
        <v>434</v>
      </c>
      <c r="E1621" s="9" t="s">
        <v>3585</v>
      </c>
      <c r="F1621" s="10">
        <v>1.378</v>
      </c>
      <c r="G1621" s="10">
        <v>1.515</v>
      </c>
      <c r="H1621" s="10"/>
      <c r="I1621" s="9" t="s">
        <v>96</v>
      </c>
      <c r="J1621" s="9" t="s">
        <v>11822</v>
      </c>
      <c r="K1621" s="9" t="s">
        <v>11823</v>
      </c>
      <c r="L1621" s="8" t="s">
        <v>3588</v>
      </c>
      <c r="M1621" s="9" t="s">
        <v>49</v>
      </c>
      <c r="N1621" s="9" t="s">
        <v>37</v>
      </c>
      <c r="O1621" s="9">
        <f>HYPERLINK("https://www.google.com/maps/search/?api=1&amp;query=42.25604237,2.96846812", "https://www.google.com/maps/search/?api=1&amp;query=42.25604237,2.96846812")</f>
      </c>
      <c r="P1621" s="9" t="s">
        <v>965</v>
      </c>
      <c r="Q1621" s="9" t="s">
        <v>3771</v>
      </c>
    </row>
    <row r="1622" spans="1:17" x14ac:dyDescent="0.25">
      <c r="A1622" s="8" t="s">
        <v>11824</v>
      </c>
      <c r="B1622" s="8" t="s">
        <v>11825</v>
      </c>
      <c r="C1622" s="9" t="s">
        <v>11826</v>
      </c>
      <c r="D1622" s="9" t="s">
        <v>398</v>
      </c>
      <c r="E1622" s="9" t="s">
        <v>399</v>
      </c>
      <c r="F1622" s="10">
        <v>1.378</v>
      </c>
      <c r="G1622" s="10">
        <v>1.515</v>
      </c>
      <c r="H1622" s="10"/>
      <c r="I1622" s="9" t="s">
        <v>400</v>
      </c>
      <c r="J1622" s="9" t="s">
        <v>11827</v>
      </c>
      <c r="K1622" s="9" t="s">
        <v>11828</v>
      </c>
      <c r="L1622" s="8" t="s">
        <v>403</v>
      </c>
      <c r="M1622" s="9" t="s">
        <v>49</v>
      </c>
      <c r="N1622" s="9" t="s">
        <v>122</v>
      </c>
      <c r="O1622" s="9">
        <f>HYPERLINK("https://www.google.com/maps/search/?api=1&amp;query=38.79425823,0.17720041", "https://www.google.com/maps/search/?api=1&amp;query=38.79425823,0.17720041")</f>
      </c>
      <c r="P1622" s="9" t="s">
        <v>1565</v>
      </c>
      <c r="Q1622" s="9" t="s">
        <v>1131</v>
      </c>
    </row>
    <row r="1623" spans="1:17" x14ac:dyDescent="0.25">
      <c r="A1623" s="8" t="s">
        <v>11829</v>
      </c>
      <c r="B1623" s="8" t="s">
        <v>11830</v>
      </c>
      <c r="C1623" s="9" t="s">
        <v>11831</v>
      </c>
      <c r="D1623" s="9" t="s">
        <v>106</v>
      </c>
      <c r="E1623" s="9" t="s">
        <v>5964</v>
      </c>
      <c r="F1623" s="10">
        <v>1.378</v>
      </c>
      <c r="G1623" s="10">
        <v>1.515</v>
      </c>
      <c r="H1623" s="10"/>
      <c r="I1623" s="9" t="s">
        <v>106</v>
      </c>
      <c r="J1623" s="9" t="s">
        <v>11832</v>
      </c>
      <c r="K1623" s="9" t="s">
        <v>11833</v>
      </c>
      <c r="L1623" s="8" t="s">
        <v>11834</v>
      </c>
      <c r="M1623" s="9" t="s">
        <v>49</v>
      </c>
      <c r="N1623" s="9" t="s">
        <v>88</v>
      </c>
      <c r="O1623" s="9">
        <f>HYPERLINK("https://www.google.com/maps/search/?api=1&amp;query=37.62333232,-0.96470658", "https://www.google.com/maps/search/?api=1&amp;query=37.62333232,-0.96470658")</f>
      </c>
      <c r="P1623" s="9" t="s">
        <v>813</v>
      </c>
      <c r="Q1623" s="9" t="s">
        <v>11835</v>
      </c>
    </row>
    <row r="1624" spans="1:17" x14ac:dyDescent="0.25">
      <c r="A1624" s="8" t="s">
        <v>11836</v>
      </c>
      <c r="B1624" s="8" t="s">
        <v>11837</v>
      </c>
      <c r="C1624" s="9" t="s">
        <v>11838</v>
      </c>
      <c r="D1624" s="9" t="s">
        <v>344</v>
      </c>
      <c r="E1624" s="9" t="s">
        <v>3412</v>
      </c>
      <c r="F1624" s="10">
        <v>1.378</v>
      </c>
      <c r="G1624" s="10">
        <v>1.515</v>
      </c>
      <c r="H1624" s="10"/>
      <c r="I1624" s="9" t="s">
        <v>140</v>
      </c>
      <c r="J1624" s="9" t="s">
        <v>11839</v>
      </c>
      <c r="K1624" s="9" t="s">
        <v>11840</v>
      </c>
      <c r="L1624" s="8" t="s">
        <v>3415</v>
      </c>
      <c r="M1624" s="9" t="s">
        <v>49</v>
      </c>
      <c r="N1624" s="9" t="s">
        <v>11841</v>
      </c>
      <c r="O1624" s="9">
        <f>HYPERLINK("https://www.google.com/maps/search/?api=1&amp;query=42.59859356,-8.94327604", "https://www.google.com/maps/search/?api=1&amp;query=42.59859356,-8.94327604")</f>
      </c>
      <c r="P1624" s="9" t="s">
        <v>705</v>
      </c>
      <c r="Q1624" s="9" t="s">
        <v>11842</v>
      </c>
    </row>
    <row r="1625" spans="1:17" x14ac:dyDescent="0.25">
      <c r="A1625" s="8" t="s">
        <v>11843</v>
      </c>
      <c r="B1625" s="8" t="s">
        <v>11844</v>
      </c>
      <c r="C1625" s="9" t="s">
        <v>11845</v>
      </c>
      <c r="D1625" s="9" t="s">
        <v>106</v>
      </c>
      <c r="E1625" s="9" t="s">
        <v>11846</v>
      </c>
      <c r="F1625" s="10">
        <v>1.378</v>
      </c>
      <c r="G1625" s="10">
        <v>1.515</v>
      </c>
      <c r="H1625" s="10"/>
      <c r="I1625" s="9" t="s">
        <v>106</v>
      </c>
      <c r="J1625" s="9" t="s">
        <v>11847</v>
      </c>
      <c r="K1625" s="9" t="s">
        <v>11848</v>
      </c>
      <c r="L1625" s="8" t="s">
        <v>11849</v>
      </c>
      <c r="M1625" s="9" t="s">
        <v>49</v>
      </c>
      <c r="N1625" s="9" t="s">
        <v>11850</v>
      </c>
      <c r="O1625" s="9">
        <f>HYPERLINK("https://www.google.com/maps/search/?api=1&amp;query=38.0429245,-1.08566622", "https://www.google.com/maps/search/?api=1&amp;query=38.0429245,-1.08566622")</f>
      </c>
      <c r="P1625" s="9" t="s">
        <v>3165</v>
      </c>
      <c r="Q1625" s="9" t="s">
        <v>6696</v>
      </c>
    </row>
    <row r="1626" spans="1:17" x14ac:dyDescent="0.25">
      <c r="A1626" s="8" t="s">
        <v>11851</v>
      </c>
      <c r="B1626" s="8" t="s">
        <v>11852</v>
      </c>
      <c r="C1626" s="9" t="s">
        <v>11853</v>
      </c>
      <c r="D1626" s="9" t="s">
        <v>434</v>
      </c>
      <c r="E1626" s="9" t="s">
        <v>434</v>
      </c>
      <c r="F1626" s="10">
        <v>1.378</v>
      </c>
      <c r="G1626" s="10">
        <v>1.515</v>
      </c>
      <c r="H1626" s="10"/>
      <c r="I1626" s="9" t="s">
        <v>96</v>
      </c>
      <c r="J1626" s="9" t="s">
        <v>11854</v>
      </c>
      <c r="K1626" s="9" t="s">
        <v>11855</v>
      </c>
      <c r="L1626" s="8" t="s">
        <v>11856</v>
      </c>
      <c r="M1626" s="9" t="s">
        <v>49</v>
      </c>
      <c r="N1626" s="9" t="s">
        <v>88</v>
      </c>
      <c r="O1626" s="9">
        <f>HYPERLINK("https://www.google.com/maps/search/?api=1&amp;query=41.9699976,2.8392405", "https://www.google.com/maps/search/?api=1&amp;query=41.9699976,2.8392405")</f>
      </c>
      <c r="P1626" s="9" t="s">
        <v>6218</v>
      </c>
      <c r="Q1626" s="9" t="s">
        <v>874</v>
      </c>
    </row>
    <row r="1627" spans="1:17" x14ac:dyDescent="0.25">
      <c r="A1627" s="8" t="s">
        <v>11857</v>
      </c>
      <c r="B1627" s="8" t="s">
        <v>11858</v>
      </c>
      <c r="C1627" s="9" t="s">
        <v>11859</v>
      </c>
      <c r="D1627" s="9" t="s">
        <v>398</v>
      </c>
      <c r="E1627" s="9" t="s">
        <v>11860</v>
      </c>
      <c r="F1627" s="10">
        <v>1.378</v>
      </c>
      <c r="G1627" s="10">
        <v>1.515</v>
      </c>
      <c r="H1627" s="10"/>
      <c r="I1627" s="9" t="s">
        <v>400</v>
      </c>
      <c r="J1627" s="9" t="s">
        <v>11861</v>
      </c>
      <c r="K1627" s="9" t="s">
        <v>11862</v>
      </c>
      <c r="L1627" s="8" t="s">
        <v>11863</v>
      </c>
      <c r="M1627" s="9" t="s">
        <v>49</v>
      </c>
      <c r="N1627" s="9" t="s">
        <v>88</v>
      </c>
      <c r="O1627" s="9">
        <f>HYPERLINK("https://www.google.com/maps/search/?api=1&amp;query=38.46863104,-0.80731627", "https://www.google.com/maps/search/?api=1&amp;query=38.46863104,-0.80731627")</f>
      </c>
      <c r="P1627" s="9" t="s">
        <v>11163</v>
      </c>
      <c r="Q1627" s="9" t="s">
        <v>11864</v>
      </c>
    </row>
    <row r="1628" spans="1:17" x14ac:dyDescent="0.25">
      <c r="A1628" s="8" t="s">
        <v>11865</v>
      </c>
      <c r="B1628" s="8" t="s">
        <v>11866</v>
      </c>
      <c r="C1628" s="9" t="s">
        <v>11867</v>
      </c>
      <c r="D1628" s="9" t="s">
        <v>253</v>
      </c>
      <c r="E1628" s="9" t="s">
        <v>11868</v>
      </c>
      <c r="F1628" s="10">
        <v>1.378</v>
      </c>
      <c r="G1628" s="10">
        <v>1.515</v>
      </c>
      <c r="H1628" s="10"/>
      <c r="I1628" s="9" t="s">
        <v>96</v>
      </c>
      <c r="J1628" s="9" t="s">
        <v>11869</v>
      </c>
      <c r="K1628" s="9" t="s">
        <v>11870</v>
      </c>
      <c r="L1628" s="8" t="s">
        <v>11871</v>
      </c>
      <c r="M1628" s="9" t="s">
        <v>100</v>
      </c>
      <c r="N1628" s="9" t="s">
        <v>11872</v>
      </c>
      <c r="O1628" s="9">
        <f>HYPERLINK("https://www.google.com/maps/search/?api=1&amp;query=40.94933038,0.85687643", "https://www.google.com/maps/search/?api=1&amp;query=40.94933038,0.85687643")</f>
      </c>
      <c r="P1628" s="9" t="s">
        <v>5187</v>
      </c>
      <c r="Q1628" s="9" t="s">
        <v>1566</v>
      </c>
    </row>
    <row r="1629" spans="1:17" x14ac:dyDescent="0.25">
      <c r="A1629" s="8" t="s">
        <v>11873</v>
      </c>
      <c r="B1629" s="8" t="s">
        <v>11874</v>
      </c>
      <c r="C1629" s="9" t="s">
        <v>11875</v>
      </c>
      <c r="D1629" s="9" t="s">
        <v>61</v>
      </c>
      <c r="E1629" s="9" t="s">
        <v>11876</v>
      </c>
      <c r="F1629" s="10">
        <v>1.378</v>
      </c>
      <c r="G1629" s="10">
        <v>1.515</v>
      </c>
      <c r="H1629" s="10"/>
      <c r="I1629" s="9" t="s">
        <v>45</v>
      </c>
      <c r="J1629" s="9" t="s">
        <v>11877</v>
      </c>
      <c r="K1629" s="9" t="s">
        <v>11878</v>
      </c>
      <c r="L1629" s="8" t="s">
        <v>11879</v>
      </c>
      <c r="M1629" s="9" t="s">
        <v>49</v>
      </c>
      <c r="N1629" s="9" t="s">
        <v>11880</v>
      </c>
      <c r="O1629" s="9">
        <f>HYPERLINK("https://www.google.com/maps/search/?api=1&amp;query=37.22722446,-5.31967484", "https://www.google.com/maps/search/?api=1&amp;query=37.22722446,-5.31967484")</f>
      </c>
      <c r="P1629" s="9" t="s">
        <v>11881</v>
      </c>
      <c r="Q1629" s="9" t="s">
        <v>8959</v>
      </c>
    </row>
    <row r="1630" spans="1:17" x14ac:dyDescent="0.25">
      <c r="A1630" s="8" t="s">
        <v>11882</v>
      </c>
      <c r="B1630" s="8" t="s">
        <v>11883</v>
      </c>
      <c r="C1630" s="9" t="s">
        <v>11884</v>
      </c>
      <c r="D1630" s="9" t="s">
        <v>409</v>
      </c>
      <c r="E1630" s="9" t="s">
        <v>11885</v>
      </c>
      <c r="F1630" s="10">
        <v>1.378</v>
      </c>
      <c r="G1630" s="10">
        <v>1.515</v>
      </c>
      <c r="H1630" s="10"/>
      <c r="I1630" s="9" t="s">
        <v>292</v>
      </c>
      <c r="J1630" s="9" t="s">
        <v>11886</v>
      </c>
      <c r="K1630" s="9" t="s">
        <v>11887</v>
      </c>
      <c r="L1630" s="8" t="s">
        <v>11888</v>
      </c>
      <c r="M1630" s="9" t="s">
        <v>49</v>
      </c>
      <c r="N1630" s="9" t="s">
        <v>88</v>
      </c>
      <c r="O1630" s="9">
        <f>HYPERLINK("https://www.google.com/maps/search/?api=1&amp;query=41.43299143,-0.50420463", "https://www.google.com/maps/search/?api=1&amp;query=41.43299143,-0.50420463")</f>
      </c>
      <c r="P1630" s="9" t="s">
        <v>1373</v>
      </c>
      <c r="Q1630" s="9" t="s">
        <v>11889</v>
      </c>
    </row>
    <row r="1631" spans="1:17" x14ac:dyDescent="0.25">
      <c r="A1631" s="8" t="s">
        <v>11890</v>
      </c>
      <c r="B1631" s="8" t="s">
        <v>11891</v>
      </c>
      <c r="C1631" s="9" t="s">
        <v>11892</v>
      </c>
      <c r="D1631" s="9" t="s">
        <v>516</v>
      </c>
      <c r="E1631" s="9" t="s">
        <v>8934</v>
      </c>
      <c r="F1631" s="10">
        <v>1.378</v>
      </c>
      <c r="G1631" s="10">
        <v>1.515</v>
      </c>
      <c r="H1631" s="10"/>
      <c r="I1631" s="9" t="s">
        <v>140</v>
      </c>
      <c r="J1631" s="9" t="s">
        <v>11893</v>
      </c>
      <c r="K1631" s="9" t="s">
        <v>11894</v>
      </c>
      <c r="L1631" s="8" t="s">
        <v>8937</v>
      </c>
      <c r="M1631" s="9" t="s">
        <v>36</v>
      </c>
      <c r="N1631" s="9" t="s">
        <v>211</v>
      </c>
      <c r="O1631" s="9">
        <f>HYPERLINK("https://www.google.com/maps/search/?api=1&amp;query=42.60424855,-7.77008519", "https://www.google.com/maps/search/?api=1&amp;query=42.60424855,-7.77008519")</f>
      </c>
      <c r="P1631" s="9" t="s">
        <v>1423</v>
      </c>
      <c r="Q1631" s="9" t="s">
        <v>11895</v>
      </c>
    </row>
    <row r="1632" spans="1:17" x14ac:dyDescent="0.25">
      <c r="A1632" s="8" t="s">
        <v>11896</v>
      </c>
      <c r="B1632" s="8" t="s">
        <v>11897</v>
      </c>
      <c r="C1632" s="9" t="s">
        <v>11898</v>
      </c>
      <c r="D1632" s="9" t="s">
        <v>658</v>
      </c>
      <c r="E1632" s="9" t="s">
        <v>11899</v>
      </c>
      <c r="F1632" s="10">
        <v>1.378</v>
      </c>
      <c r="G1632" s="10">
        <v>1.515</v>
      </c>
      <c r="H1632" s="10"/>
      <c r="I1632" s="9" t="s">
        <v>45</v>
      </c>
      <c r="J1632" s="9" t="s">
        <v>11900</v>
      </c>
      <c r="K1632" s="9" t="s">
        <v>11901</v>
      </c>
      <c r="L1632" s="8" t="s">
        <v>11902</v>
      </c>
      <c r="M1632" s="9" t="s">
        <v>49</v>
      </c>
      <c r="N1632" s="9" t="s">
        <v>37</v>
      </c>
      <c r="O1632" s="9">
        <f>HYPERLINK("https://www.google.com/maps/search/?api=1&amp;query=36.75691722,-3.00198499", "https://www.google.com/maps/search/?api=1&amp;query=36.75691722,-3.00198499")</f>
      </c>
      <c r="P1632" s="9" t="s">
        <v>547</v>
      </c>
      <c r="Q1632" s="9" t="s">
        <v>11903</v>
      </c>
    </row>
    <row r="1633" spans="1:17" x14ac:dyDescent="0.25">
      <c r="A1633" s="8" t="s">
        <v>11904</v>
      </c>
      <c r="B1633" s="8" t="s">
        <v>11905</v>
      </c>
      <c r="C1633" s="9" t="s">
        <v>11906</v>
      </c>
      <c r="D1633" s="9" t="s">
        <v>400</v>
      </c>
      <c r="E1633" s="9" t="s">
        <v>11907</v>
      </c>
      <c r="F1633" s="10">
        <v>1.378</v>
      </c>
      <c r="G1633" s="10">
        <v>1.515</v>
      </c>
      <c r="H1633" s="10"/>
      <c r="I1633" s="9" t="s">
        <v>400</v>
      </c>
      <c r="J1633" s="9" t="s">
        <v>11908</v>
      </c>
      <c r="K1633" s="9" t="s">
        <v>11909</v>
      </c>
      <c r="L1633" s="8" t="s">
        <v>11910</v>
      </c>
      <c r="M1633" s="9" t="s">
        <v>49</v>
      </c>
      <c r="N1633" s="9" t="s">
        <v>3234</v>
      </c>
      <c r="O1633" s="9">
        <f>HYPERLINK("https://www.google.com/maps/search/?api=1&amp;query=39.56414766,-0.33423574", "https://www.google.com/maps/search/?api=1&amp;query=39.56414766,-0.33423574")</f>
      </c>
      <c r="P1633" s="9" t="s">
        <v>11911</v>
      </c>
      <c r="Q1633" s="9" t="s">
        <v>11912</v>
      </c>
    </row>
    <row r="1634" spans="1:17" x14ac:dyDescent="0.25">
      <c r="A1634" s="8" t="s">
        <v>11913</v>
      </c>
      <c r="B1634" s="8" t="s">
        <v>11914</v>
      </c>
      <c r="C1634" s="9" t="s">
        <v>11915</v>
      </c>
      <c r="D1634" s="9" t="s">
        <v>631</v>
      </c>
      <c r="E1634" s="9" t="s">
        <v>11916</v>
      </c>
      <c r="F1634" s="10">
        <v>1.378</v>
      </c>
      <c r="G1634" s="10">
        <v>1.515</v>
      </c>
      <c r="H1634" s="10"/>
      <c r="I1634" s="9" t="s">
        <v>45</v>
      </c>
      <c r="J1634" s="9" t="s">
        <v>11917</v>
      </c>
      <c r="K1634" s="9" t="s">
        <v>11918</v>
      </c>
      <c r="L1634" s="8" t="s">
        <v>11919</v>
      </c>
      <c r="M1634" s="9" t="s">
        <v>36</v>
      </c>
      <c r="N1634" s="9" t="s">
        <v>37</v>
      </c>
      <c r="O1634" s="9">
        <f>HYPERLINK("https://www.google.com/maps/search/?api=1&amp;query=37.95564208,-4.54610873", "https://www.google.com/maps/search/?api=1&amp;query=37.95564208,-4.54610873")</f>
      </c>
      <c r="P1634" s="9" t="s">
        <v>11920</v>
      </c>
      <c r="Q1634" s="9" t="s">
        <v>1131</v>
      </c>
    </row>
    <row r="1635" spans="1:17" x14ac:dyDescent="0.25">
      <c r="A1635" s="8" t="s">
        <v>11921</v>
      </c>
      <c r="B1635" s="8" t="s">
        <v>11922</v>
      </c>
      <c r="C1635" s="9" t="s">
        <v>11923</v>
      </c>
      <c r="D1635" s="9" t="s">
        <v>138</v>
      </c>
      <c r="E1635" s="9" t="s">
        <v>11924</v>
      </c>
      <c r="F1635" s="10">
        <v>1.378</v>
      </c>
      <c r="G1635" s="10">
        <v>1.515</v>
      </c>
      <c r="H1635" s="10"/>
      <c r="I1635" s="9" t="s">
        <v>140</v>
      </c>
      <c r="J1635" s="9" t="s">
        <v>11925</v>
      </c>
      <c r="K1635" s="9" t="s">
        <v>11926</v>
      </c>
      <c r="L1635" s="8" t="s">
        <v>5068</v>
      </c>
      <c r="M1635" s="9" t="s">
        <v>49</v>
      </c>
      <c r="N1635" s="9" t="s">
        <v>211</v>
      </c>
      <c r="O1635" s="9">
        <f>HYPERLINK("https://www.google.com/maps/search/?api=1&amp;query=42.19059815,-8.72124585", "https://www.google.com/maps/search/?api=1&amp;query=42.19059815,-8.72124585")</f>
      </c>
      <c r="P1635" s="9" t="s">
        <v>1287</v>
      </c>
      <c r="Q1635" s="9" t="s">
        <v>11927</v>
      </c>
    </row>
    <row r="1636" spans="1:17" x14ac:dyDescent="0.25">
      <c r="A1636" s="8" t="s">
        <v>11928</v>
      </c>
      <c r="B1636" s="8" t="s">
        <v>11929</v>
      </c>
      <c r="C1636" s="9" t="s">
        <v>9972</v>
      </c>
      <c r="D1636" s="9" t="s">
        <v>106</v>
      </c>
      <c r="E1636" s="9" t="s">
        <v>11930</v>
      </c>
      <c r="F1636" s="10">
        <v>1.378</v>
      </c>
      <c r="G1636" s="10">
        <v>1.515</v>
      </c>
      <c r="H1636" s="10"/>
      <c r="I1636" s="9" t="s">
        <v>106</v>
      </c>
      <c r="J1636" s="9" t="s">
        <v>11931</v>
      </c>
      <c r="K1636" s="9" t="s">
        <v>11932</v>
      </c>
      <c r="L1636" s="8" t="s">
        <v>4843</v>
      </c>
      <c r="M1636" s="9" t="s">
        <v>49</v>
      </c>
      <c r="N1636" s="9" t="s">
        <v>11722</v>
      </c>
      <c r="O1636" s="9">
        <f>HYPERLINK("https://www.google.com/maps/search/?api=1&amp;query=37.61108285,-1.76050587", "https://www.google.com/maps/search/?api=1&amp;query=37.61108285,-1.76050587")</f>
      </c>
      <c r="P1636" s="9" t="s">
        <v>172</v>
      </c>
      <c r="Q1636" s="9" t="s">
        <v>11933</v>
      </c>
    </row>
    <row r="1637" spans="1:17" x14ac:dyDescent="0.25">
      <c r="A1637" s="8" t="s">
        <v>11934</v>
      </c>
      <c r="B1637" s="8" t="s">
        <v>11935</v>
      </c>
      <c r="C1637" s="9" t="s">
        <v>11808</v>
      </c>
      <c r="D1637" s="9" t="s">
        <v>344</v>
      </c>
      <c r="E1637" s="9" t="s">
        <v>11936</v>
      </c>
      <c r="F1637" s="10">
        <v>1.378</v>
      </c>
      <c r="G1637" s="10">
        <v>1.515</v>
      </c>
      <c r="H1637" s="10"/>
      <c r="I1637" s="9" t="s">
        <v>140</v>
      </c>
      <c r="J1637" s="9" t="s">
        <v>11937</v>
      </c>
      <c r="K1637" s="9" t="s">
        <v>11938</v>
      </c>
      <c r="L1637" s="8" t="s">
        <v>11812</v>
      </c>
      <c r="M1637" s="9" t="s">
        <v>36</v>
      </c>
      <c r="N1637" s="9" t="s">
        <v>11939</v>
      </c>
      <c r="O1637" s="9">
        <f>HYPERLINK("https://www.google.com/maps/search/?api=1&amp;query=43.4524316,-7.86725118", "https://www.google.com/maps/search/?api=1&amp;query=43.4524316,-7.86725118")</f>
      </c>
      <c r="P1637" s="9" t="s">
        <v>172</v>
      </c>
      <c r="Q1637" s="9" t="s">
        <v>1204</v>
      </c>
    </row>
    <row r="1638" spans="1:17" x14ac:dyDescent="0.25">
      <c r="A1638" s="8" t="s">
        <v>11940</v>
      </c>
      <c r="B1638" s="8" t="s">
        <v>11941</v>
      </c>
      <c r="C1638" s="9" t="s">
        <v>11942</v>
      </c>
      <c r="D1638" s="9" t="s">
        <v>106</v>
      </c>
      <c r="E1638" s="9" t="s">
        <v>10068</v>
      </c>
      <c r="F1638" s="10">
        <v>1.378</v>
      </c>
      <c r="G1638" s="10">
        <v>1.515</v>
      </c>
      <c r="H1638" s="10"/>
      <c r="I1638" s="9" t="s">
        <v>106</v>
      </c>
      <c r="J1638" s="9" t="s">
        <v>11943</v>
      </c>
      <c r="K1638" s="9" t="s">
        <v>11944</v>
      </c>
      <c r="L1638" s="8" t="s">
        <v>8281</v>
      </c>
      <c r="M1638" s="9" t="s">
        <v>36</v>
      </c>
      <c r="N1638" s="9" t="s">
        <v>66</v>
      </c>
      <c r="O1638" s="9">
        <f>HYPERLINK("https://www.google.com/maps/search/?api=1&amp;query=37.65410845,-0.9820705", "https://www.google.com/maps/search/?api=1&amp;query=37.65410845,-0.9820705")</f>
      </c>
      <c r="P1638" s="9" t="s">
        <v>646</v>
      </c>
      <c r="Q1638" s="9" t="s">
        <v>11945</v>
      </c>
    </row>
    <row r="1639" spans="1:17" x14ac:dyDescent="0.25">
      <c r="A1639" s="8" t="s">
        <v>11946</v>
      </c>
      <c r="B1639" s="8" t="s">
        <v>11947</v>
      </c>
      <c r="C1639" s="9" t="s">
        <v>11948</v>
      </c>
      <c r="D1639" s="9" t="s">
        <v>424</v>
      </c>
      <c r="E1639" s="9" t="s">
        <v>11949</v>
      </c>
      <c r="F1639" s="10">
        <v>1.378</v>
      </c>
      <c r="G1639" s="10">
        <v>1.515</v>
      </c>
      <c r="H1639" s="10"/>
      <c r="I1639" s="9" t="s">
        <v>96</v>
      </c>
      <c r="J1639" s="9" t="s">
        <v>11950</v>
      </c>
      <c r="K1639" s="9" t="s">
        <v>11951</v>
      </c>
      <c r="L1639" s="8" t="s">
        <v>11952</v>
      </c>
      <c r="M1639" s="9" t="s">
        <v>100</v>
      </c>
      <c r="N1639" s="9" t="s">
        <v>37</v>
      </c>
      <c r="O1639" s="9">
        <f>HYPERLINK("https://www.google.com/maps/search/?api=1&amp;query=41.72773906,0.44171781", "https://www.google.com/maps/search/?api=1&amp;query=41.72773906,0.44171781")</f>
      </c>
      <c r="P1639" s="9" t="s">
        <v>10950</v>
      </c>
      <c r="Q1639" s="9" t="s">
        <v>11953</v>
      </c>
    </row>
    <row r="1640" spans="1:17" x14ac:dyDescent="0.25">
      <c r="A1640" s="8" t="s">
        <v>11954</v>
      </c>
      <c r="B1640" s="8" t="s">
        <v>11955</v>
      </c>
      <c r="C1640" s="9" t="s">
        <v>11956</v>
      </c>
      <c r="D1640" s="9" t="s">
        <v>72</v>
      </c>
      <c r="E1640" s="9" t="s">
        <v>8376</v>
      </c>
      <c r="F1640" s="10">
        <v>1.378</v>
      </c>
      <c r="G1640" s="10">
        <v>1.515</v>
      </c>
      <c r="H1640" s="10"/>
      <c r="I1640" s="9" t="s">
        <v>74</v>
      </c>
      <c r="J1640" s="9" t="s">
        <v>11957</v>
      </c>
      <c r="K1640" s="9" t="s">
        <v>11958</v>
      </c>
      <c r="L1640" s="8" t="s">
        <v>8379</v>
      </c>
      <c r="M1640" s="9" t="s">
        <v>49</v>
      </c>
      <c r="N1640" s="9" t="s">
        <v>11959</v>
      </c>
      <c r="O1640" s="9">
        <f>HYPERLINK("https://www.google.com/maps/search/?api=1&amp;query=42.04722883,-4.25510281", "https://www.google.com/maps/search/?api=1&amp;query=42.04722883,-4.25510281")</f>
      </c>
      <c r="P1640" s="9" t="s">
        <v>321</v>
      </c>
      <c r="Q1640" s="9" t="s">
        <v>881</v>
      </c>
    </row>
    <row r="1641" spans="1:17" x14ac:dyDescent="0.25">
      <c r="A1641" s="8" t="s">
        <v>11960</v>
      </c>
      <c r="B1641" s="8" t="s">
        <v>11961</v>
      </c>
      <c r="C1641" s="9" t="s">
        <v>11962</v>
      </c>
      <c r="D1641" s="9" t="s">
        <v>400</v>
      </c>
      <c r="E1641" s="9" t="s">
        <v>400</v>
      </c>
      <c r="F1641" s="10">
        <v>1.378</v>
      </c>
      <c r="G1641" s="10">
        <v>1.515</v>
      </c>
      <c r="H1641" s="10"/>
      <c r="I1641" s="9" t="s">
        <v>400</v>
      </c>
      <c r="J1641" s="9" t="s">
        <v>11963</v>
      </c>
      <c r="K1641" s="9" t="s">
        <v>11964</v>
      </c>
      <c r="L1641" s="8" t="s">
        <v>11965</v>
      </c>
      <c r="M1641" s="9" t="s">
        <v>49</v>
      </c>
      <c r="N1641" s="9" t="s">
        <v>88</v>
      </c>
      <c r="O1641" s="9">
        <f>HYPERLINK("https://www.google.com/maps/search/?api=1&amp;query=39.45244325,-0.33414845", "https://www.google.com/maps/search/?api=1&amp;query=39.45244325,-0.33414845")</f>
      </c>
      <c r="P1641" s="9" t="s">
        <v>646</v>
      </c>
      <c r="Q1641" s="9" t="s">
        <v>1188</v>
      </c>
    </row>
    <row r="1642" spans="1:17" x14ac:dyDescent="0.25">
      <c r="A1642" s="8" t="s">
        <v>11966</v>
      </c>
      <c r="B1642" s="8" t="s">
        <v>11967</v>
      </c>
      <c r="C1642" s="9" t="s">
        <v>11968</v>
      </c>
      <c r="D1642" s="9" t="s">
        <v>434</v>
      </c>
      <c r="E1642" s="9" t="s">
        <v>434</v>
      </c>
      <c r="F1642" s="10">
        <v>1.378</v>
      </c>
      <c r="G1642" s="10">
        <v>1.515</v>
      </c>
      <c r="H1642" s="10"/>
      <c r="I1642" s="9" t="s">
        <v>96</v>
      </c>
      <c r="J1642" s="9" t="s">
        <v>11969</v>
      </c>
      <c r="K1642" s="9" t="s">
        <v>11970</v>
      </c>
      <c r="L1642" s="8" t="s">
        <v>11971</v>
      </c>
      <c r="M1642" s="9" t="s">
        <v>49</v>
      </c>
      <c r="N1642" s="9" t="s">
        <v>88</v>
      </c>
      <c r="O1642" s="9">
        <f>HYPERLINK("https://www.google.com/maps/search/?api=1&amp;query=41.97809219,2.80815725", "https://www.google.com/maps/search/?api=1&amp;query=41.97809219,2.80815725")</f>
      </c>
      <c r="P1642" s="9" t="s">
        <v>831</v>
      </c>
      <c r="Q1642" s="9" t="s">
        <v>1092</v>
      </c>
    </row>
    <row r="1643" spans="1:17" x14ac:dyDescent="0.25">
      <c r="A1643" s="8" t="s">
        <v>11972</v>
      </c>
      <c r="B1643" s="8" t="s">
        <v>11973</v>
      </c>
      <c r="C1643" s="9" t="s">
        <v>11974</v>
      </c>
      <c r="D1643" s="9" t="s">
        <v>197</v>
      </c>
      <c r="E1643" s="9" t="s">
        <v>11975</v>
      </c>
      <c r="F1643" s="10">
        <v>1.378</v>
      </c>
      <c r="G1643" s="10">
        <v>1.515</v>
      </c>
      <c r="H1643" s="10"/>
      <c r="I1643" s="9" t="s">
        <v>168</v>
      </c>
      <c r="J1643" s="9" t="s">
        <v>11976</v>
      </c>
      <c r="K1643" s="9" t="s">
        <v>11977</v>
      </c>
      <c r="L1643" s="8" t="s">
        <v>11978</v>
      </c>
      <c r="M1643" s="9" t="s">
        <v>36</v>
      </c>
      <c r="N1643" s="9" t="s">
        <v>88</v>
      </c>
      <c r="O1643" s="9">
        <f>HYPERLINK("https://www.google.com/maps/search/?api=1&amp;query=40.07292657,-3.87826097", "https://www.google.com/maps/search/?api=1&amp;query=40.07292657,-3.87826097")</f>
      </c>
      <c r="P1643" s="9" t="s">
        <v>172</v>
      </c>
      <c r="Q1643" s="9" t="s">
        <v>7556</v>
      </c>
    </row>
    <row r="1644" spans="1:17" x14ac:dyDescent="0.25">
      <c r="A1644" s="8" t="s">
        <v>11979</v>
      </c>
      <c r="B1644" s="8" t="s">
        <v>11980</v>
      </c>
      <c r="C1644" s="9" t="s">
        <v>8434</v>
      </c>
      <c r="D1644" s="9" t="s">
        <v>128</v>
      </c>
      <c r="E1644" s="9" t="s">
        <v>11981</v>
      </c>
      <c r="F1644" s="10">
        <v>1.378</v>
      </c>
      <c r="G1644" s="10">
        <v>1.515</v>
      </c>
      <c r="H1644" s="10"/>
      <c r="I1644" s="9" t="s">
        <v>45</v>
      </c>
      <c r="J1644" s="9" t="s">
        <v>11982</v>
      </c>
      <c r="K1644" s="9" t="s">
        <v>11983</v>
      </c>
      <c r="L1644" s="8" t="s">
        <v>11984</v>
      </c>
      <c r="M1644" s="9" t="s">
        <v>100</v>
      </c>
      <c r="N1644" s="9" t="s">
        <v>9862</v>
      </c>
      <c r="O1644" s="9">
        <f>HYPERLINK("https://www.google.com/maps/search/?api=1&amp;query=36.19915275,-5.34576346", "https://www.google.com/maps/search/?api=1&amp;query=36.19915275,-5.34576346")</f>
      </c>
      <c r="P1644" s="9" t="s">
        <v>1287</v>
      </c>
      <c r="Q1644" s="9" t="s">
        <v>1131</v>
      </c>
    </row>
    <row r="1645" spans="1:17" x14ac:dyDescent="0.25">
      <c r="A1645" s="8" t="s">
        <v>11985</v>
      </c>
      <c r="B1645" s="8" t="s">
        <v>11986</v>
      </c>
      <c r="C1645" s="9" t="s">
        <v>11987</v>
      </c>
      <c r="D1645" s="9" t="s">
        <v>253</v>
      </c>
      <c r="E1645" s="9" t="s">
        <v>11988</v>
      </c>
      <c r="F1645" s="10">
        <v>1.378</v>
      </c>
      <c r="G1645" s="10">
        <v>1.515</v>
      </c>
      <c r="H1645" s="10"/>
      <c r="I1645" s="9" t="s">
        <v>96</v>
      </c>
      <c r="J1645" s="9" t="s">
        <v>11989</v>
      </c>
      <c r="K1645" s="9" t="s">
        <v>11990</v>
      </c>
      <c r="L1645" s="8" t="s">
        <v>11991</v>
      </c>
      <c r="M1645" s="9" t="s">
        <v>49</v>
      </c>
      <c r="N1645" s="9" t="s">
        <v>88</v>
      </c>
      <c r="O1645" s="9">
        <f>HYPERLINK("https://www.google.com/maps/search/?api=1&amp;query=41.01286991,0.61044077", "https://www.google.com/maps/search/?api=1&amp;query=41.01286991,0.61044077")</f>
      </c>
      <c r="P1645" s="9" t="s">
        <v>8236</v>
      </c>
      <c r="Q1645" s="9" t="s">
        <v>9403</v>
      </c>
    </row>
    <row r="1646" spans="1:17" x14ac:dyDescent="0.25">
      <c r="A1646" s="8" t="s">
        <v>11992</v>
      </c>
      <c r="B1646" s="8" t="s">
        <v>11993</v>
      </c>
      <c r="C1646" s="9" t="s">
        <v>11994</v>
      </c>
      <c r="D1646" s="9" t="s">
        <v>1282</v>
      </c>
      <c r="E1646" s="9" t="s">
        <v>11995</v>
      </c>
      <c r="F1646" s="10">
        <v>1.378</v>
      </c>
      <c r="G1646" s="10">
        <v>1.515</v>
      </c>
      <c r="H1646" s="10"/>
      <c r="I1646" s="9" t="s">
        <v>45</v>
      </c>
      <c r="J1646" s="9" t="s">
        <v>11996</v>
      </c>
      <c r="K1646" s="9" t="s">
        <v>11997</v>
      </c>
      <c r="L1646" s="8" t="s">
        <v>11998</v>
      </c>
      <c r="M1646" s="9" t="s">
        <v>49</v>
      </c>
      <c r="N1646" s="9" t="s">
        <v>66</v>
      </c>
      <c r="O1646" s="9">
        <f>HYPERLINK("https://www.google.com/maps/search/?api=1&amp;query=37.12472206,-3.61992675", "https://www.google.com/maps/search/?api=1&amp;query=37.12472206,-3.61992675")</f>
      </c>
      <c r="P1646" s="9" t="s">
        <v>1751</v>
      </c>
      <c r="Q1646" s="9" t="s">
        <v>11999</v>
      </c>
    </row>
    <row r="1647" spans="1:17" x14ac:dyDescent="0.25">
      <c r="A1647" s="8" t="s">
        <v>12000</v>
      </c>
      <c r="B1647" s="8" t="s">
        <v>12001</v>
      </c>
      <c r="C1647" s="9" t="s">
        <v>12002</v>
      </c>
      <c r="D1647" s="9" t="s">
        <v>1282</v>
      </c>
      <c r="E1647" s="9" t="s">
        <v>10509</v>
      </c>
      <c r="F1647" s="10">
        <v>1.378</v>
      </c>
      <c r="G1647" s="10">
        <v>1.515</v>
      </c>
      <c r="H1647" s="10"/>
      <c r="I1647" s="9" t="s">
        <v>45</v>
      </c>
      <c r="J1647" s="9" t="s">
        <v>12003</v>
      </c>
      <c r="K1647" s="9" t="s">
        <v>12004</v>
      </c>
      <c r="L1647" s="8" t="s">
        <v>10512</v>
      </c>
      <c r="M1647" s="9" t="s">
        <v>49</v>
      </c>
      <c r="N1647" s="9" t="s">
        <v>12005</v>
      </c>
      <c r="O1647" s="9">
        <f>HYPERLINK("https://www.google.com/maps/search/?api=1&amp;query=37.14922116,-3.63011929", "https://www.google.com/maps/search/?api=1&amp;query=37.14922116,-3.63011929")</f>
      </c>
      <c r="P1647" s="9" t="s">
        <v>831</v>
      </c>
      <c r="Q1647" s="9" t="s">
        <v>12006</v>
      </c>
    </row>
    <row r="1648" spans="1:17" x14ac:dyDescent="0.25">
      <c r="A1648" s="8" t="s">
        <v>12007</v>
      </c>
      <c r="B1648" s="8" t="s">
        <v>12008</v>
      </c>
      <c r="C1648" s="9" t="s">
        <v>12009</v>
      </c>
      <c r="D1648" s="9" t="s">
        <v>631</v>
      </c>
      <c r="E1648" s="9" t="s">
        <v>1047</v>
      </c>
      <c r="F1648" s="10">
        <v>1.378</v>
      </c>
      <c r="G1648" s="10">
        <v>1.515</v>
      </c>
      <c r="H1648" s="10"/>
      <c r="I1648" s="9" t="s">
        <v>45</v>
      </c>
      <c r="J1648" s="9" t="s">
        <v>12010</v>
      </c>
      <c r="K1648" s="9" t="s">
        <v>12011</v>
      </c>
      <c r="L1648" s="8" t="s">
        <v>7936</v>
      </c>
      <c r="M1648" s="9" t="s">
        <v>49</v>
      </c>
      <c r="N1648" s="9" t="s">
        <v>12012</v>
      </c>
      <c r="O1648" s="9">
        <f>HYPERLINK("https://www.google.com/maps/search/?api=1&amp;query=37.9066644,-4.71818543", "https://www.google.com/maps/search/?api=1&amp;query=37.9066644,-4.71818543")</f>
      </c>
      <c r="P1648" s="9" t="s">
        <v>12013</v>
      </c>
      <c r="Q1648" s="9" t="s">
        <v>12014</v>
      </c>
    </row>
    <row r="1649" spans="1:17" x14ac:dyDescent="0.25">
      <c r="A1649" s="8" t="s">
        <v>12015</v>
      </c>
      <c r="B1649" s="8" t="s">
        <v>12016</v>
      </c>
      <c r="C1649" s="9" t="s">
        <v>12017</v>
      </c>
      <c r="D1649" s="9" t="s">
        <v>658</v>
      </c>
      <c r="E1649" s="9" t="s">
        <v>12018</v>
      </c>
      <c r="F1649" s="10">
        <v>1.378</v>
      </c>
      <c r="G1649" s="10">
        <v>1.515</v>
      </c>
      <c r="H1649" s="10"/>
      <c r="I1649" s="9" t="s">
        <v>45</v>
      </c>
      <c r="J1649" s="9" t="s">
        <v>12019</v>
      </c>
      <c r="K1649" s="9" t="s">
        <v>12020</v>
      </c>
      <c r="L1649" s="8" t="s">
        <v>12021</v>
      </c>
      <c r="M1649" s="9" t="s">
        <v>49</v>
      </c>
      <c r="N1649" s="9" t="s">
        <v>3164</v>
      </c>
      <c r="O1649" s="9">
        <f>HYPERLINK("https://www.google.com/maps/search/?api=1&amp;query=37.38952665,-1.94110001", "https://www.google.com/maps/search/?api=1&amp;query=37.38952665,-1.94110001")</f>
      </c>
      <c r="P1649" s="9" t="s">
        <v>258</v>
      </c>
      <c r="Q1649" s="9" t="s">
        <v>6974</v>
      </c>
    </row>
    <row r="1650" spans="1:17" x14ac:dyDescent="0.25">
      <c r="A1650" s="8" t="s">
        <v>12022</v>
      </c>
      <c r="B1650" s="8" t="s">
        <v>12023</v>
      </c>
      <c r="C1650" s="9" t="s">
        <v>12024</v>
      </c>
      <c r="D1650" s="9" t="s">
        <v>83</v>
      </c>
      <c r="E1650" s="9" t="s">
        <v>12025</v>
      </c>
      <c r="F1650" s="10">
        <v>1.378</v>
      </c>
      <c r="G1650" s="10">
        <v>1.515</v>
      </c>
      <c r="H1650" s="10"/>
      <c r="I1650" s="9" t="s">
        <v>83</v>
      </c>
      <c r="J1650" s="9" t="s">
        <v>12026</v>
      </c>
      <c r="K1650" s="9" t="s">
        <v>12027</v>
      </c>
      <c r="L1650" s="8" t="s">
        <v>12028</v>
      </c>
      <c r="M1650" s="9" t="s">
        <v>49</v>
      </c>
      <c r="N1650" s="9" t="s">
        <v>211</v>
      </c>
      <c r="O1650" s="9">
        <f>HYPERLINK("https://www.google.com/maps/search/?api=1&amp;query=40.357389,-3.559", "https://www.google.com/maps/search/?api=1&amp;query=40.357389,-3.559")</f>
      </c>
      <c r="P1650" s="9" t="s">
        <v>3443</v>
      </c>
      <c r="Q1650" s="9" t="s">
        <v>12029</v>
      </c>
    </row>
    <row r="1651" spans="1:17" x14ac:dyDescent="0.25">
      <c r="A1651" s="8" t="s">
        <v>12030</v>
      </c>
      <c r="B1651" s="8" t="s">
        <v>12031</v>
      </c>
      <c r="C1651" s="9" t="s">
        <v>3263</v>
      </c>
      <c r="D1651" s="9" t="s">
        <v>106</v>
      </c>
      <c r="E1651" s="9" t="s">
        <v>12032</v>
      </c>
      <c r="F1651" s="10">
        <v>1.378</v>
      </c>
      <c r="G1651" s="10">
        <v>1.515</v>
      </c>
      <c r="H1651" s="10"/>
      <c r="I1651" s="9" t="s">
        <v>106</v>
      </c>
      <c r="J1651" s="9" t="s">
        <v>12033</v>
      </c>
      <c r="K1651" s="9" t="s">
        <v>12034</v>
      </c>
      <c r="L1651" s="8" t="s">
        <v>12035</v>
      </c>
      <c r="M1651" s="9" t="s">
        <v>49</v>
      </c>
      <c r="N1651" s="9" t="s">
        <v>66</v>
      </c>
      <c r="O1651" s="9">
        <f>HYPERLINK("https://www.google.com/maps/search/?api=1&amp;query=38.0351111,-1.2533611", "https://www.google.com/maps/search/?api=1&amp;query=38.0351111,-1.2533611")</f>
      </c>
      <c r="P1651" s="9" t="s">
        <v>10045</v>
      </c>
      <c r="Q1651" s="9" t="s">
        <v>12036</v>
      </c>
    </row>
    <row r="1652" spans="1:17" x14ac:dyDescent="0.25">
      <c r="A1652" s="8" t="s">
        <v>12037</v>
      </c>
      <c r="B1652" s="8" t="s">
        <v>12038</v>
      </c>
      <c r="C1652" s="9" t="s">
        <v>12039</v>
      </c>
      <c r="D1652" s="9" t="s">
        <v>72</v>
      </c>
      <c r="E1652" s="9" t="s">
        <v>72</v>
      </c>
      <c r="F1652" s="10">
        <v>1.378</v>
      </c>
      <c r="G1652" s="10">
        <v>1.515</v>
      </c>
      <c r="H1652" s="10"/>
      <c r="I1652" s="9" t="s">
        <v>74</v>
      </c>
      <c r="J1652" s="9" t="s">
        <v>12040</v>
      </c>
      <c r="K1652" s="9" t="s">
        <v>12041</v>
      </c>
      <c r="L1652" s="8" t="s">
        <v>9172</v>
      </c>
      <c r="M1652" s="9" t="s">
        <v>36</v>
      </c>
      <c r="N1652" s="9" t="s">
        <v>12042</v>
      </c>
      <c r="O1652" s="9">
        <f>HYPERLINK("https://www.google.com/maps/search/?api=1&amp;query=42.00453577,-4.51116664", "https://www.google.com/maps/search/?api=1&amp;query=42.00453577,-4.51116664")</f>
      </c>
      <c r="P1652" s="9" t="s">
        <v>880</v>
      </c>
      <c r="Q1652" s="9" t="s">
        <v>12043</v>
      </c>
    </row>
    <row r="1653" spans="1:17" x14ac:dyDescent="0.25">
      <c r="A1653" s="8" t="s">
        <v>12044</v>
      </c>
      <c r="B1653" s="8" t="s">
        <v>12045</v>
      </c>
      <c r="C1653" s="9" t="s">
        <v>12046</v>
      </c>
      <c r="D1653" s="9" t="s">
        <v>658</v>
      </c>
      <c r="E1653" s="9" t="s">
        <v>9287</v>
      </c>
      <c r="F1653" s="10">
        <v>1.378</v>
      </c>
      <c r="G1653" s="10">
        <v>1.515</v>
      </c>
      <c r="H1653" s="10"/>
      <c r="I1653" s="9" t="s">
        <v>45</v>
      </c>
      <c r="J1653" s="9" t="s">
        <v>12047</v>
      </c>
      <c r="K1653" s="9" t="s">
        <v>12048</v>
      </c>
      <c r="L1653" s="8" t="s">
        <v>9290</v>
      </c>
      <c r="M1653" s="9" t="s">
        <v>49</v>
      </c>
      <c r="N1653" s="9" t="s">
        <v>66</v>
      </c>
      <c r="O1653" s="9">
        <f>HYPERLINK("https://www.google.com/maps/search/?api=1&amp;query=36.75850779,-2.80558676", "https://www.google.com/maps/search/?api=1&amp;query=36.75850779,-2.80558676")</f>
      </c>
      <c r="P1653" s="9" t="s">
        <v>8181</v>
      </c>
      <c r="Q1653" s="9" t="s">
        <v>12014</v>
      </c>
    </row>
    <row r="1654" spans="1:17" x14ac:dyDescent="0.25">
      <c r="A1654" s="8" t="s">
        <v>12049</v>
      </c>
      <c r="B1654" s="8" t="s">
        <v>12050</v>
      </c>
      <c r="C1654" s="9" t="s">
        <v>12051</v>
      </c>
      <c r="D1654" s="9" t="s">
        <v>83</v>
      </c>
      <c r="E1654" s="9" t="s">
        <v>11500</v>
      </c>
      <c r="F1654" s="10">
        <v>1.378</v>
      </c>
      <c r="G1654" s="10">
        <v>1.515</v>
      </c>
      <c r="H1654" s="10"/>
      <c r="I1654" s="9" t="s">
        <v>83</v>
      </c>
      <c r="J1654" s="9" t="s">
        <v>12052</v>
      </c>
      <c r="K1654" s="9" t="s">
        <v>12053</v>
      </c>
      <c r="L1654" s="8" t="s">
        <v>11503</v>
      </c>
      <c r="M1654" s="9" t="s">
        <v>49</v>
      </c>
      <c r="N1654" s="9" t="s">
        <v>88</v>
      </c>
      <c r="O1654" s="9">
        <f>HYPERLINK("https://www.google.com/maps/search/?api=1&amp;query=40.27260062,-3.81975917", "https://www.google.com/maps/search/?api=1&amp;query=40.27260062,-3.81975917")</f>
      </c>
      <c r="P1654" s="9" t="s">
        <v>1471</v>
      </c>
      <c r="Q1654" s="9" t="s">
        <v>12054</v>
      </c>
    </row>
    <row r="1655" spans="1:17" x14ac:dyDescent="0.25">
      <c r="A1655" s="8" t="s">
        <v>12055</v>
      </c>
      <c r="B1655" s="8" t="s">
        <v>12056</v>
      </c>
      <c r="C1655" s="9" t="s">
        <v>12057</v>
      </c>
      <c r="D1655" s="9" t="s">
        <v>344</v>
      </c>
      <c r="E1655" s="9" t="s">
        <v>12058</v>
      </c>
      <c r="F1655" s="10">
        <v>1.378</v>
      </c>
      <c r="G1655" s="10">
        <v>1.515</v>
      </c>
      <c r="H1655" s="10"/>
      <c r="I1655" s="9" t="s">
        <v>140</v>
      </c>
      <c r="J1655" s="9" t="s">
        <v>12059</v>
      </c>
      <c r="K1655" s="9" t="s">
        <v>12060</v>
      </c>
      <c r="L1655" s="8" t="s">
        <v>12061</v>
      </c>
      <c r="M1655" s="9" t="s">
        <v>49</v>
      </c>
      <c r="N1655" s="9" t="s">
        <v>122</v>
      </c>
      <c r="O1655" s="9">
        <f>HYPERLINK("https://www.google.com/maps/search/?api=1&amp;query=42.91655679,-9.26785988", "https://www.google.com/maps/search/?api=1&amp;query=42.91655679,-9.26785988")</f>
      </c>
      <c r="P1655" s="9" t="s">
        <v>172</v>
      </c>
      <c r="Q1655" s="9" t="s">
        <v>12062</v>
      </c>
    </row>
    <row r="1656" spans="1:17" x14ac:dyDescent="0.25">
      <c r="A1656" s="8" t="s">
        <v>12063</v>
      </c>
      <c r="B1656" s="8" t="s">
        <v>12064</v>
      </c>
      <c r="C1656" s="9" t="s">
        <v>12065</v>
      </c>
      <c r="D1656" s="9" t="s">
        <v>226</v>
      </c>
      <c r="E1656" s="9" t="s">
        <v>11265</v>
      </c>
      <c r="F1656" s="10">
        <v>1.378</v>
      </c>
      <c r="G1656" s="10">
        <v>1.515</v>
      </c>
      <c r="H1656" s="10"/>
      <c r="I1656" s="9" t="s">
        <v>168</v>
      </c>
      <c r="J1656" s="9" t="s">
        <v>12066</v>
      </c>
      <c r="K1656" s="9" t="s">
        <v>12067</v>
      </c>
      <c r="L1656" s="8" t="s">
        <v>11268</v>
      </c>
      <c r="M1656" s="9" t="s">
        <v>49</v>
      </c>
      <c r="N1656" s="9" t="s">
        <v>12068</v>
      </c>
      <c r="O1656" s="9">
        <f>HYPERLINK("https://www.google.com/maps/search/?api=1&amp;query=39.50311497,-2.87673983", "https://www.google.com/maps/search/?api=1&amp;query=39.50311497,-2.87673983")</f>
      </c>
      <c r="P1656" s="9" t="s">
        <v>172</v>
      </c>
      <c r="Q1656" s="9" t="s">
        <v>1131</v>
      </c>
    </row>
    <row r="1657" spans="1:17" x14ac:dyDescent="0.25">
      <c r="A1657" s="8" t="s">
        <v>12069</v>
      </c>
      <c r="B1657" s="8" t="s">
        <v>12070</v>
      </c>
      <c r="C1657" s="9" t="s">
        <v>7275</v>
      </c>
      <c r="D1657" s="9" t="s">
        <v>1483</v>
      </c>
      <c r="E1657" s="9" t="s">
        <v>7276</v>
      </c>
      <c r="F1657" s="10">
        <v>1.378</v>
      </c>
      <c r="G1657" s="10">
        <v>1.515</v>
      </c>
      <c r="H1657" s="10"/>
      <c r="I1657" s="9" t="s">
        <v>74</v>
      </c>
      <c r="J1657" s="9" t="s">
        <v>12071</v>
      </c>
      <c r="K1657" s="9" t="s">
        <v>12072</v>
      </c>
      <c r="L1657" s="8" t="s">
        <v>7279</v>
      </c>
      <c r="M1657" s="9" t="s">
        <v>36</v>
      </c>
      <c r="N1657" s="9" t="s">
        <v>12073</v>
      </c>
      <c r="O1657" s="9">
        <f>HYPERLINK("https://www.google.com/maps/search/?api=1&amp;query=42.68884078,-2.9527911", "https://www.google.com/maps/search/?api=1&amp;query=42.68884078,-2.9527911")</f>
      </c>
      <c r="P1657" s="9" t="s">
        <v>521</v>
      </c>
      <c r="Q1657" s="9" t="s">
        <v>12074</v>
      </c>
    </row>
    <row r="1658" spans="1:17" x14ac:dyDescent="0.25">
      <c r="A1658" s="8" t="s">
        <v>12075</v>
      </c>
      <c r="B1658" s="8" t="s">
        <v>12076</v>
      </c>
      <c r="C1658" s="9" t="s">
        <v>12077</v>
      </c>
      <c r="D1658" s="9" t="s">
        <v>398</v>
      </c>
      <c r="E1658" s="9" t="s">
        <v>12078</v>
      </c>
      <c r="F1658" s="10">
        <v>1.378</v>
      </c>
      <c r="G1658" s="10">
        <v>1.515</v>
      </c>
      <c r="H1658" s="10"/>
      <c r="I1658" s="9" t="s">
        <v>400</v>
      </c>
      <c r="J1658" s="9" t="s">
        <v>12079</v>
      </c>
      <c r="K1658" s="9" t="s">
        <v>12080</v>
      </c>
      <c r="L1658" s="8" t="s">
        <v>12081</v>
      </c>
      <c r="M1658" s="9" t="s">
        <v>100</v>
      </c>
      <c r="N1658" s="9" t="s">
        <v>12082</v>
      </c>
      <c r="O1658" s="9">
        <f>HYPERLINK("https://www.google.com/maps/search/?api=1&amp;query=38.28673554,-0.61353972", "https://www.google.com/maps/search/?api=1&amp;query=38.28673554,-0.61353972")</f>
      </c>
      <c r="P1658" s="9" t="s">
        <v>813</v>
      </c>
      <c r="Q1658" s="9" t="s">
        <v>3744</v>
      </c>
    </row>
    <row r="1659" spans="1:17" x14ac:dyDescent="0.25">
      <c r="A1659" s="8" t="s">
        <v>12083</v>
      </c>
      <c r="B1659" s="8" t="s">
        <v>12084</v>
      </c>
      <c r="C1659" s="9" t="s">
        <v>12085</v>
      </c>
      <c r="D1659" s="9" t="s">
        <v>30</v>
      </c>
      <c r="E1659" s="9" t="s">
        <v>7741</v>
      </c>
      <c r="F1659" s="10">
        <v>1.378</v>
      </c>
      <c r="G1659" s="10">
        <v>1.515</v>
      </c>
      <c r="H1659" s="10"/>
      <c r="I1659" s="9" t="s">
        <v>32</v>
      </c>
      <c r="J1659" s="9" t="s">
        <v>12086</v>
      </c>
      <c r="K1659" s="9" t="s">
        <v>12087</v>
      </c>
      <c r="L1659" s="8" t="s">
        <v>7744</v>
      </c>
      <c r="M1659" s="9" t="s">
        <v>49</v>
      </c>
      <c r="N1659" s="9" t="s">
        <v>66</v>
      </c>
      <c r="O1659" s="9">
        <f>HYPERLINK("https://www.google.com/maps/search/?api=1&amp;query=38.96991043,-5.87315263", "https://www.google.com/maps/search/?api=1&amp;query=38.96991043,-5.87315263")</f>
      </c>
      <c r="P1659" s="9" t="s">
        <v>12088</v>
      </c>
      <c r="Q1659" s="9" t="s">
        <v>12089</v>
      </c>
    </row>
    <row r="1660" spans="1:17" x14ac:dyDescent="0.25">
      <c r="A1660" s="8" t="s">
        <v>12090</v>
      </c>
      <c r="B1660" s="8" t="s">
        <v>12091</v>
      </c>
      <c r="C1660" s="9" t="s">
        <v>12092</v>
      </c>
      <c r="D1660" s="9" t="s">
        <v>444</v>
      </c>
      <c r="E1660" s="9" t="s">
        <v>12093</v>
      </c>
      <c r="F1660" s="10">
        <v>1.378</v>
      </c>
      <c r="G1660" s="10">
        <v>1.515</v>
      </c>
      <c r="H1660" s="10"/>
      <c r="I1660" s="9" t="s">
        <v>444</v>
      </c>
      <c r="J1660" s="9" t="s">
        <v>12094</v>
      </c>
      <c r="K1660" s="9" t="s">
        <v>12095</v>
      </c>
      <c r="L1660" s="8" t="s">
        <v>8039</v>
      </c>
      <c r="M1660" s="9" t="s">
        <v>49</v>
      </c>
      <c r="N1660" s="9" t="s">
        <v>88</v>
      </c>
      <c r="O1660" s="9">
        <f>HYPERLINK("https://www.google.com/maps/search/?api=1&amp;query=43.57120433,-5.95927532", "https://www.google.com/maps/search/?api=1&amp;query=43.57120433,-5.95927532")</f>
      </c>
      <c r="P1660" s="9" t="s">
        <v>880</v>
      </c>
      <c r="Q1660" s="9" t="s">
        <v>1131</v>
      </c>
    </row>
    <row r="1661" spans="1:17" x14ac:dyDescent="0.25">
      <c r="A1661" s="8" t="s">
        <v>12096</v>
      </c>
      <c r="B1661" s="8" t="s">
        <v>12097</v>
      </c>
      <c r="C1661" s="9" t="s">
        <v>12098</v>
      </c>
      <c r="D1661" s="9" t="s">
        <v>94</v>
      </c>
      <c r="E1661" s="9" t="s">
        <v>12099</v>
      </c>
      <c r="F1661" s="10">
        <v>1.378</v>
      </c>
      <c r="G1661" s="10">
        <v>1.515</v>
      </c>
      <c r="H1661" s="10"/>
      <c r="I1661" s="9" t="s">
        <v>96</v>
      </c>
      <c r="J1661" s="9" t="s">
        <v>12100</v>
      </c>
      <c r="K1661" s="9" t="s">
        <v>12101</v>
      </c>
      <c r="L1661" s="8" t="s">
        <v>729</v>
      </c>
      <c r="M1661" s="9" t="s">
        <v>49</v>
      </c>
      <c r="N1661" s="9" t="s">
        <v>88</v>
      </c>
      <c r="O1661" s="9">
        <f>HYPERLINK("https://www.google.com/maps/search/?api=1&amp;query=41.36774093,2.07858521", "https://www.google.com/maps/search/?api=1&amp;query=41.36774093,2.07858521")</f>
      </c>
      <c r="P1661" s="9" t="s">
        <v>1139</v>
      </c>
      <c r="Q1661" s="9" t="s">
        <v>12102</v>
      </c>
    </row>
    <row r="1662" spans="1:17" x14ac:dyDescent="0.25">
      <c r="A1662" s="8" t="s">
        <v>12103</v>
      </c>
      <c r="B1662" s="8" t="s">
        <v>12104</v>
      </c>
      <c r="C1662" s="9" t="s">
        <v>12105</v>
      </c>
      <c r="D1662" s="9" t="s">
        <v>488</v>
      </c>
      <c r="E1662" s="9" t="s">
        <v>12106</v>
      </c>
      <c r="F1662" s="10">
        <v>1.378</v>
      </c>
      <c r="G1662" s="10">
        <v>1.515</v>
      </c>
      <c r="H1662" s="10"/>
      <c r="I1662" s="9" t="s">
        <v>45</v>
      </c>
      <c r="J1662" s="9" t="s">
        <v>12107</v>
      </c>
      <c r="K1662" s="9" t="s">
        <v>12108</v>
      </c>
      <c r="L1662" s="8" t="s">
        <v>12109</v>
      </c>
      <c r="M1662" s="9" t="s">
        <v>49</v>
      </c>
      <c r="N1662" s="9" t="s">
        <v>12110</v>
      </c>
      <c r="O1662" s="9">
        <f>HYPERLINK("https://www.google.com/maps/search/?api=1&amp;query=37.58742033,-4.08110715", "https://www.google.com/maps/search/?api=1&amp;query=37.58742033,-4.08110715")</f>
      </c>
      <c r="P1662" s="9" t="s">
        <v>583</v>
      </c>
      <c r="Q1662" s="9" t="s">
        <v>9899</v>
      </c>
    </row>
    <row r="1663" spans="1:17" x14ac:dyDescent="0.25">
      <c r="A1663" s="8" t="s">
        <v>12111</v>
      </c>
      <c r="B1663" s="8" t="s">
        <v>12112</v>
      </c>
      <c r="C1663" s="9" t="s">
        <v>8976</v>
      </c>
      <c r="D1663" s="9" t="s">
        <v>83</v>
      </c>
      <c r="E1663" s="9" t="s">
        <v>83</v>
      </c>
      <c r="F1663" s="10">
        <v>1.378</v>
      </c>
      <c r="G1663" s="10">
        <v>1.515</v>
      </c>
      <c r="H1663" s="10"/>
      <c r="I1663" s="9" t="s">
        <v>83</v>
      </c>
      <c r="J1663" s="9" t="s">
        <v>8977</v>
      </c>
      <c r="K1663" s="9" t="s">
        <v>12113</v>
      </c>
      <c r="L1663" s="8" t="s">
        <v>679</v>
      </c>
      <c r="M1663" s="9" t="s">
        <v>49</v>
      </c>
      <c r="N1663" s="9" t="s">
        <v>12114</v>
      </c>
      <c r="O1663" s="9">
        <f>HYPERLINK("https://www.google.com/maps/search/?api=1&amp;query=40.38003313,-3.59612055", "https://www.google.com/maps/search/?api=1&amp;query=40.38003313,-3.59612055")</f>
      </c>
      <c r="P1663" s="9" t="s">
        <v>924</v>
      </c>
      <c r="Q1663" s="9" t="s">
        <v>12115</v>
      </c>
    </row>
    <row r="1664" spans="1:17" x14ac:dyDescent="0.25">
      <c r="A1664" s="8" t="s">
        <v>12116</v>
      </c>
      <c r="B1664" s="8" t="s">
        <v>12117</v>
      </c>
      <c r="C1664" s="9" t="s">
        <v>12118</v>
      </c>
      <c r="D1664" s="9" t="s">
        <v>434</v>
      </c>
      <c r="E1664" s="9" t="s">
        <v>3946</v>
      </c>
      <c r="F1664" s="10">
        <v>1.378</v>
      </c>
      <c r="G1664" s="10">
        <v>1.515</v>
      </c>
      <c r="H1664" s="10"/>
      <c r="I1664" s="9" t="s">
        <v>96</v>
      </c>
      <c r="J1664" s="9" t="s">
        <v>12119</v>
      </c>
      <c r="K1664" s="9" t="s">
        <v>12120</v>
      </c>
      <c r="L1664" s="8" t="s">
        <v>3949</v>
      </c>
      <c r="M1664" s="9" t="s">
        <v>36</v>
      </c>
      <c r="N1664" s="9" t="s">
        <v>12121</v>
      </c>
      <c r="O1664" s="9">
        <f>HYPERLINK("https://www.google.com/maps/search/?api=1&amp;query=41.81584126,2.89922079", "https://www.google.com/maps/search/?api=1&amp;query=41.81584126,2.89922079")</f>
      </c>
      <c r="P1664" s="9" t="s">
        <v>880</v>
      </c>
      <c r="Q1664" s="9" t="s">
        <v>12122</v>
      </c>
    </row>
    <row r="1665" spans="1:17" x14ac:dyDescent="0.25">
      <c r="A1665" s="8" t="s">
        <v>12123</v>
      </c>
      <c r="B1665" s="8" t="s">
        <v>12124</v>
      </c>
      <c r="C1665" s="9" t="s">
        <v>12125</v>
      </c>
      <c r="D1665" s="9" t="s">
        <v>444</v>
      </c>
      <c r="E1665" s="9" t="s">
        <v>12126</v>
      </c>
      <c r="F1665" s="10">
        <v>1.378</v>
      </c>
      <c r="G1665" s="10">
        <v>1.515</v>
      </c>
      <c r="H1665" s="10"/>
      <c r="I1665" s="9" t="s">
        <v>444</v>
      </c>
      <c r="J1665" s="9" t="s">
        <v>12127</v>
      </c>
      <c r="K1665" s="9" t="s">
        <v>12128</v>
      </c>
      <c r="L1665" s="8" t="s">
        <v>12129</v>
      </c>
      <c r="M1665" s="9" t="s">
        <v>36</v>
      </c>
      <c r="N1665" s="9" t="s">
        <v>12130</v>
      </c>
      <c r="O1665" s="9">
        <f>HYPERLINK("https://www.google.com/maps/search/?api=1&amp;query=43.53855617,-5.72122451", "https://www.google.com/maps/search/?api=1&amp;query=43.53855617,-5.72122451")</f>
      </c>
      <c r="P1665" s="9" t="s">
        <v>6241</v>
      </c>
      <c r="Q1665" s="9" t="s">
        <v>12131</v>
      </c>
    </row>
    <row r="1666" spans="1:17" x14ac:dyDescent="0.25">
      <c r="A1666" s="8" t="s">
        <v>12132</v>
      </c>
      <c r="B1666" s="8" t="s">
        <v>12133</v>
      </c>
      <c r="C1666" s="9" t="s">
        <v>9301</v>
      </c>
      <c r="D1666" s="9" t="s">
        <v>2288</v>
      </c>
      <c r="E1666" s="9" t="s">
        <v>7592</v>
      </c>
      <c r="F1666" s="10">
        <v>1.378</v>
      </c>
      <c r="G1666" s="10">
        <v>1.515</v>
      </c>
      <c r="H1666" s="10"/>
      <c r="I1666" s="9" t="s">
        <v>168</v>
      </c>
      <c r="J1666" s="9" t="s">
        <v>12134</v>
      </c>
      <c r="K1666" s="9" t="s">
        <v>12135</v>
      </c>
      <c r="L1666" s="8" t="s">
        <v>7595</v>
      </c>
      <c r="M1666" s="9" t="s">
        <v>36</v>
      </c>
      <c r="N1666" s="9" t="s">
        <v>88</v>
      </c>
      <c r="O1666" s="9">
        <f>HYPERLINK("https://www.google.com/maps/search/?api=1&amp;query=38.93863755,-1.75764087", "https://www.google.com/maps/search/?api=1&amp;query=38.93863755,-1.75764087")</f>
      </c>
      <c r="P1666" s="9" t="s">
        <v>1803</v>
      </c>
      <c r="Q1666" s="9" t="s">
        <v>8774</v>
      </c>
    </row>
    <row r="1667" spans="1:17" x14ac:dyDescent="0.25">
      <c r="A1667" s="8" t="s">
        <v>12136</v>
      </c>
      <c r="B1667" s="8" t="s">
        <v>12137</v>
      </c>
      <c r="C1667" s="9" t="s">
        <v>12138</v>
      </c>
      <c r="D1667" s="9" t="s">
        <v>138</v>
      </c>
      <c r="E1667" s="9" t="s">
        <v>12139</v>
      </c>
      <c r="F1667" s="10">
        <v>1.378</v>
      </c>
      <c r="G1667" s="10">
        <v>1.515</v>
      </c>
      <c r="H1667" s="10"/>
      <c r="I1667" s="9" t="s">
        <v>140</v>
      </c>
      <c r="J1667" s="9" t="s">
        <v>12140</v>
      </c>
      <c r="K1667" s="9" t="s">
        <v>12141</v>
      </c>
      <c r="L1667" s="8" t="s">
        <v>12142</v>
      </c>
      <c r="M1667" s="9" t="s">
        <v>49</v>
      </c>
      <c r="N1667" s="9" t="s">
        <v>37</v>
      </c>
      <c r="O1667" s="9">
        <f>HYPERLINK("https://www.google.com/maps/search/?api=1&amp;query=42.20711,-8.26760832", "https://www.google.com/maps/search/?api=1&amp;query=42.20711,-8.26760832")</f>
      </c>
      <c r="P1667" s="9" t="s">
        <v>4612</v>
      </c>
      <c r="Q1667" s="9" t="s">
        <v>12143</v>
      </c>
    </row>
    <row r="1668" spans="1:17" x14ac:dyDescent="0.25">
      <c r="A1668" s="8" t="s">
        <v>12144</v>
      </c>
      <c r="B1668" s="8" t="s">
        <v>12145</v>
      </c>
      <c r="C1668" s="9" t="s">
        <v>12146</v>
      </c>
      <c r="D1668" s="9" t="s">
        <v>409</v>
      </c>
      <c r="E1668" s="9" t="s">
        <v>12147</v>
      </c>
      <c r="F1668" s="10">
        <v>1.378</v>
      </c>
      <c r="G1668" s="10">
        <v>1.515</v>
      </c>
      <c r="H1668" s="10"/>
      <c r="I1668" s="9" t="s">
        <v>292</v>
      </c>
      <c r="J1668" s="9" t="s">
        <v>12148</v>
      </c>
      <c r="K1668" s="9" t="s">
        <v>12149</v>
      </c>
      <c r="L1668" s="8" t="s">
        <v>12150</v>
      </c>
      <c r="M1668" s="9" t="s">
        <v>100</v>
      </c>
      <c r="N1668" s="9" t="s">
        <v>37</v>
      </c>
      <c r="O1668" s="9">
        <f>HYPERLINK("https://www.google.com/maps/search/?api=1&amp;query=41.30362773,-1.94635176", "https://www.google.com/maps/search/?api=1&amp;query=41.30362773,-1.94635176")</f>
      </c>
      <c r="P1668" s="9" t="s">
        <v>349</v>
      </c>
      <c r="Q1668" s="9" t="s">
        <v>7038</v>
      </c>
    </row>
    <row r="1669" spans="1:17" x14ac:dyDescent="0.25">
      <c r="A1669" s="8" t="s">
        <v>12151</v>
      </c>
      <c r="B1669" s="8" t="s">
        <v>12152</v>
      </c>
      <c r="C1669" s="9" t="s">
        <v>12153</v>
      </c>
      <c r="D1669" s="9" t="s">
        <v>253</v>
      </c>
      <c r="E1669" s="9" t="s">
        <v>12154</v>
      </c>
      <c r="F1669" s="10">
        <v>1.378</v>
      </c>
      <c r="G1669" s="10">
        <v>1.515</v>
      </c>
      <c r="H1669" s="10"/>
      <c r="I1669" s="9" t="s">
        <v>96</v>
      </c>
      <c r="J1669" s="9" t="s">
        <v>12155</v>
      </c>
      <c r="K1669" s="9" t="s">
        <v>12156</v>
      </c>
      <c r="L1669" s="8" t="s">
        <v>12157</v>
      </c>
      <c r="M1669" s="9" t="s">
        <v>49</v>
      </c>
      <c r="N1669" s="9" t="s">
        <v>88</v>
      </c>
      <c r="O1669" s="9">
        <f>HYPERLINK("https://www.google.com/maps/search/?api=1&amp;query=41.14366086,0.8166832", "https://www.google.com/maps/search/?api=1&amp;query=41.14366086,0.8166832")</f>
      </c>
      <c r="P1669" s="9" t="s">
        <v>2017</v>
      </c>
      <c r="Q1669" s="9" t="s">
        <v>12158</v>
      </c>
    </row>
    <row r="1670" spans="1:17" x14ac:dyDescent="0.25">
      <c r="A1670" s="8" t="s">
        <v>12159</v>
      </c>
      <c r="B1670" s="8" t="s">
        <v>12160</v>
      </c>
      <c r="C1670" s="9" t="s">
        <v>12161</v>
      </c>
      <c r="D1670" s="9" t="s">
        <v>166</v>
      </c>
      <c r="E1670" s="9" t="s">
        <v>12162</v>
      </c>
      <c r="F1670" s="10">
        <v>1.378</v>
      </c>
      <c r="G1670" s="10">
        <v>1.515</v>
      </c>
      <c r="H1670" s="10"/>
      <c r="I1670" s="9" t="s">
        <v>168</v>
      </c>
      <c r="J1670" s="9" t="s">
        <v>12163</v>
      </c>
      <c r="K1670" s="9" t="s">
        <v>12164</v>
      </c>
      <c r="L1670" s="8" t="s">
        <v>12165</v>
      </c>
      <c r="M1670" s="9" t="s">
        <v>49</v>
      </c>
      <c r="N1670" s="9" t="s">
        <v>7863</v>
      </c>
      <c r="O1670" s="9">
        <f>HYPERLINK("https://www.google.com/maps/search/?api=1&amp;query=40.32738836,-3.11942577", "https://www.google.com/maps/search/?api=1&amp;query=40.32738836,-3.11942577")</f>
      </c>
      <c r="P1670" s="9" t="s">
        <v>1356</v>
      </c>
      <c r="Q1670" s="9" t="s">
        <v>12166</v>
      </c>
    </row>
    <row r="1671" spans="1:17" x14ac:dyDescent="0.25">
      <c r="A1671" s="8" t="s">
        <v>12167</v>
      </c>
      <c r="B1671" s="8" t="s">
        <v>12168</v>
      </c>
      <c r="C1671" s="9" t="s">
        <v>12169</v>
      </c>
      <c r="D1671" s="9" t="s">
        <v>106</v>
      </c>
      <c r="E1671" s="9" t="s">
        <v>8998</v>
      </c>
      <c r="F1671" s="10">
        <v>1.378</v>
      </c>
      <c r="G1671" s="10">
        <v>1.515</v>
      </c>
      <c r="H1671" s="10"/>
      <c r="I1671" s="9" t="s">
        <v>106</v>
      </c>
      <c r="J1671" s="9" t="s">
        <v>12170</v>
      </c>
      <c r="K1671" s="9" t="s">
        <v>12171</v>
      </c>
      <c r="L1671" s="8" t="s">
        <v>9001</v>
      </c>
      <c r="M1671" s="9" t="s">
        <v>36</v>
      </c>
      <c r="N1671" s="9" t="s">
        <v>88</v>
      </c>
      <c r="O1671" s="9">
        <f>HYPERLINK("https://www.google.com/maps/search/?api=1&amp;query=37.62238081,-1.34131262", "https://www.google.com/maps/search/?api=1&amp;query=37.62238081,-1.34131262")</f>
      </c>
      <c r="P1671" s="9" t="s">
        <v>3400</v>
      </c>
      <c r="Q1671" s="9" t="s">
        <v>12172</v>
      </c>
    </row>
    <row r="1672" spans="1:17" x14ac:dyDescent="0.25">
      <c r="A1672" s="8" t="s">
        <v>12173</v>
      </c>
      <c r="B1672" s="8" t="s">
        <v>12174</v>
      </c>
      <c r="C1672" s="9" t="s">
        <v>12175</v>
      </c>
      <c r="D1672" s="9" t="s">
        <v>2288</v>
      </c>
      <c r="E1672" s="9" t="s">
        <v>12176</v>
      </c>
      <c r="F1672" s="10">
        <v>1.378</v>
      </c>
      <c r="G1672" s="10">
        <v>1.515</v>
      </c>
      <c r="H1672" s="10"/>
      <c r="I1672" s="9" t="s">
        <v>168</v>
      </c>
      <c r="J1672" s="9" t="s">
        <v>12177</v>
      </c>
      <c r="K1672" s="9" t="s">
        <v>12178</v>
      </c>
      <c r="L1672" s="8" t="s">
        <v>12179</v>
      </c>
      <c r="M1672" s="9" t="s">
        <v>49</v>
      </c>
      <c r="N1672" s="9" t="s">
        <v>592</v>
      </c>
      <c r="O1672" s="9">
        <f>HYPERLINK("https://www.google.com/maps/search/?api=1&amp;query=38.45114916,-2.04456537", "https://www.google.com/maps/search/?api=1&amp;query=38.45114916,-2.04456537")</f>
      </c>
      <c r="P1672" s="9" t="s">
        <v>6210</v>
      </c>
      <c r="Q1672" s="9" t="s">
        <v>12180</v>
      </c>
    </row>
    <row r="1673" spans="1:17" x14ac:dyDescent="0.25">
      <c r="A1673" s="8" t="s">
        <v>12181</v>
      </c>
      <c r="B1673" s="8" t="s">
        <v>12182</v>
      </c>
      <c r="C1673" s="9" t="s">
        <v>7860</v>
      </c>
      <c r="D1673" s="9" t="s">
        <v>2288</v>
      </c>
      <c r="E1673" s="9" t="s">
        <v>9399</v>
      </c>
      <c r="F1673" s="10">
        <v>1.378</v>
      </c>
      <c r="G1673" s="10">
        <v>1.515</v>
      </c>
      <c r="H1673" s="10"/>
      <c r="I1673" s="9" t="s">
        <v>168</v>
      </c>
      <c r="J1673" s="9" t="s">
        <v>12183</v>
      </c>
      <c r="K1673" s="9" t="s">
        <v>12184</v>
      </c>
      <c r="L1673" s="8" t="s">
        <v>9402</v>
      </c>
      <c r="M1673" s="9" t="s">
        <v>36</v>
      </c>
      <c r="N1673" s="9" t="s">
        <v>88</v>
      </c>
      <c r="O1673" s="9">
        <f>HYPERLINK("https://www.google.com/maps/search/?api=1&amp;query=38.87616191,-1.3318052", "https://www.google.com/maps/search/?api=1&amp;query=38.87616191,-1.3318052")</f>
      </c>
      <c r="P1673" s="9" t="s">
        <v>144</v>
      </c>
      <c r="Q1673" s="9" t="s">
        <v>522</v>
      </c>
    </row>
    <row r="1674" spans="1:17" x14ac:dyDescent="0.25">
      <c r="A1674" s="8" t="s">
        <v>12185</v>
      </c>
      <c r="B1674" s="8" t="s">
        <v>12186</v>
      </c>
      <c r="C1674" s="9" t="s">
        <v>12187</v>
      </c>
      <c r="D1674" s="9" t="s">
        <v>1192</v>
      </c>
      <c r="E1674" s="9" t="s">
        <v>2354</v>
      </c>
      <c r="F1674" s="10">
        <v>1.378</v>
      </c>
      <c r="G1674" s="10">
        <v>1.515</v>
      </c>
      <c r="H1674" s="10"/>
      <c r="I1674" s="9" t="s">
        <v>168</v>
      </c>
      <c r="J1674" s="9" t="s">
        <v>12188</v>
      </c>
      <c r="K1674" s="9" t="s">
        <v>12189</v>
      </c>
      <c r="L1674" s="8" t="s">
        <v>2357</v>
      </c>
      <c r="M1674" s="9" t="s">
        <v>49</v>
      </c>
      <c r="N1674" s="9" t="s">
        <v>37</v>
      </c>
      <c r="O1674" s="9">
        <f>HYPERLINK("https://www.google.com/maps/search/?api=1&amp;query=38.98700607,-3.38030303", "https://www.google.com/maps/search/?api=1&amp;query=38.98700607,-3.38030303")</f>
      </c>
      <c r="P1674" s="9" t="s">
        <v>6803</v>
      </c>
      <c r="Q1674" s="9" t="s">
        <v>12190</v>
      </c>
    </row>
    <row r="1675" spans="1:17" x14ac:dyDescent="0.25">
      <c r="A1675" s="8" t="s">
        <v>12191</v>
      </c>
      <c r="B1675" s="8" t="s">
        <v>12192</v>
      </c>
      <c r="C1675" s="9" t="s">
        <v>12193</v>
      </c>
      <c r="D1675" s="9" t="s">
        <v>434</v>
      </c>
      <c r="E1675" s="9" t="s">
        <v>3946</v>
      </c>
      <c r="F1675" s="10">
        <v>1.378</v>
      </c>
      <c r="G1675" s="10">
        <v>1.515</v>
      </c>
      <c r="H1675" s="10"/>
      <c r="I1675" s="9" t="s">
        <v>96</v>
      </c>
      <c r="J1675" s="9" t="s">
        <v>12194</v>
      </c>
      <c r="K1675" s="9" t="s">
        <v>12195</v>
      </c>
      <c r="L1675" s="8" t="s">
        <v>3949</v>
      </c>
      <c r="M1675" s="9" t="s">
        <v>36</v>
      </c>
      <c r="N1675" s="9" t="s">
        <v>37</v>
      </c>
      <c r="O1675" s="9">
        <f>HYPERLINK("https://www.google.com/maps/search/?api=1&amp;query=41.82748756,2.94601953", "https://www.google.com/maps/search/?api=1&amp;query=41.82748756,2.94601953")</f>
      </c>
      <c r="P1675" s="9" t="s">
        <v>1250</v>
      </c>
      <c r="Q1675" s="9" t="s">
        <v>112</v>
      </c>
    </row>
    <row r="1676" spans="1:17" x14ac:dyDescent="0.25">
      <c r="A1676" s="8" t="s">
        <v>12196</v>
      </c>
      <c r="B1676" s="8" t="s">
        <v>12197</v>
      </c>
      <c r="C1676" s="9" t="s">
        <v>12198</v>
      </c>
      <c r="D1676" s="9" t="s">
        <v>1282</v>
      </c>
      <c r="E1676" s="9" t="s">
        <v>8101</v>
      </c>
      <c r="F1676" s="10">
        <v>1.378</v>
      </c>
      <c r="G1676" s="10">
        <v>1.515</v>
      </c>
      <c r="H1676" s="10"/>
      <c r="I1676" s="9" t="s">
        <v>45</v>
      </c>
      <c r="J1676" s="9" t="s">
        <v>8102</v>
      </c>
      <c r="K1676" s="9" t="s">
        <v>12199</v>
      </c>
      <c r="L1676" s="8" t="s">
        <v>8104</v>
      </c>
      <c r="M1676" s="9" t="s">
        <v>36</v>
      </c>
      <c r="N1676" s="9" t="s">
        <v>37</v>
      </c>
      <c r="O1676" s="9">
        <f>HYPERLINK("https://www.google.com/maps/search/?api=1&amp;query=37.18146775,-3.92952531", "https://www.google.com/maps/search/?api=1&amp;query=37.18146775,-3.92952531")</f>
      </c>
      <c r="P1676" s="9" t="s">
        <v>915</v>
      </c>
      <c r="Q1676" s="9" t="s">
        <v>5688</v>
      </c>
    </row>
    <row r="1677" spans="1:17" x14ac:dyDescent="0.25">
      <c r="A1677" s="8" t="s">
        <v>12200</v>
      </c>
      <c r="B1677" s="8" t="s">
        <v>12201</v>
      </c>
      <c r="C1677" s="9" t="s">
        <v>12202</v>
      </c>
      <c r="D1677" s="9" t="s">
        <v>344</v>
      </c>
      <c r="E1677" s="9" t="s">
        <v>1931</v>
      </c>
      <c r="F1677" s="10">
        <v>1.378</v>
      </c>
      <c r="G1677" s="10">
        <v>1.515</v>
      </c>
      <c r="H1677" s="10"/>
      <c r="I1677" s="9" t="s">
        <v>140</v>
      </c>
      <c r="J1677" s="9" t="s">
        <v>12203</v>
      </c>
      <c r="K1677" s="9" t="s">
        <v>12204</v>
      </c>
      <c r="L1677" s="8" t="s">
        <v>8803</v>
      </c>
      <c r="M1677" s="9" t="s">
        <v>49</v>
      </c>
      <c r="N1677" s="9" t="s">
        <v>3234</v>
      </c>
      <c r="O1677" s="9">
        <f>HYPERLINK("https://www.google.com/maps/search/?api=1&amp;query=43.35440461,-8.39328096", "https://www.google.com/maps/search/?api=1&amp;query=43.35440461,-8.39328096")</f>
      </c>
      <c r="P1677" s="9" t="s">
        <v>2032</v>
      </c>
      <c r="Q1677" s="9" t="s">
        <v>12205</v>
      </c>
    </row>
    <row r="1678" spans="1:17" x14ac:dyDescent="0.25">
      <c r="A1678" s="8" t="s">
        <v>12206</v>
      </c>
      <c r="B1678" s="8" t="s">
        <v>12207</v>
      </c>
      <c r="C1678" s="9" t="s">
        <v>8204</v>
      </c>
      <c r="D1678" s="9" t="s">
        <v>2288</v>
      </c>
      <c r="E1678" s="9" t="s">
        <v>12208</v>
      </c>
      <c r="F1678" s="10">
        <v>1.378</v>
      </c>
      <c r="G1678" s="10">
        <v>1.515</v>
      </c>
      <c r="H1678" s="10"/>
      <c r="I1678" s="9" t="s">
        <v>168</v>
      </c>
      <c r="J1678" s="9" t="s">
        <v>12209</v>
      </c>
      <c r="K1678" s="9" t="s">
        <v>12210</v>
      </c>
      <c r="L1678" s="8" t="s">
        <v>12211</v>
      </c>
      <c r="M1678" s="9" t="s">
        <v>49</v>
      </c>
      <c r="N1678" s="9" t="s">
        <v>66</v>
      </c>
      <c r="O1678" s="9">
        <f>HYPERLINK("https://www.google.com/maps/search/?api=1&amp;query=38.49201203,-1.74056672", "https://www.google.com/maps/search/?api=1&amp;query=38.49201203,-1.74056672")</f>
      </c>
      <c r="P1678" s="9" t="s">
        <v>8236</v>
      </c>
      <c r="Q1678" s="9" t="s">
        <v>1374</v>
      </c>
    </row>
    <row r="1679" spans="1:17" x14ac:dyDescent="0.25">
      <c r="A1679" s="8" t="s">
        <v>12212</v>
      </c>
      <c r="B1679" s="8" t="s">
        <v>12213</v>
      </c>
      <c r="C1679" s="9" t="s">
        <v>12214</v>
      </c>
      <c r="D1679" s="9" t="s">
        <v>83</v>
      </c>
      <c r="E1679" s="9" t="s">
        <v>12215</v>
      </c>
      <c r="F1679" s="10">
        <v>1.378</v>
      </c>
      <c r="G1679" s="10">
        <v>1.515</v>
      </c>
      <c r="H1679" s="10"/>
      <c r="I1679" s="9" t="s">
        <v>83</v>
      </c>
      <c r="J1679" s="9" t="s">
        <v>12216</v>
      </c>
      <c r="K1679" s="9" t="s">
        <v>12217</v>
      </c>
      <c r="L1679" s="8" t="s">
        <v>12218</v>
      </c>
      <c r="M1679" s="9" t="s">
        <v>36</v>
      </c>
      <c r="N1679" s="9" t="s">
        <v>88</v>
      </c>
      <c r="O1679" s="9">
        <f>HYPERLINK("https://www.google.com/maps/search/?api=1&amp;query=40.52837075,-3.54556042", "https://www.google.com/maps/search/?api=1&amp;query=40.52837075,-3.54556042")</f>
      </c>
      <c r="P1679" s="9" t="s">
        <v>12219</v>
      </c>
      <c r="Q1679" s="9" t="s">
        <v>3771</v>
      </c>
    </row>
    <row r="1680" spans="1:17" x14ac:dyDescent="0.25">
      <c r="A1680" s="8" t="s">
        <v>12220</v>
      </c>
      <c r="B1680" s="8" t="s">
        <v>12221</v>
      </c>
      <c r="C1680" s="9" t="s">
        <v>12222</v>
      </c>
      <c r="D1680" s="9" t="s">
        <v>444</v>
      </c>
      <c r="E1680" s="9" t="s">
        <v>12223</v>
      </c>
      <c r="F1680" s="10">
        <v>1.378</v>
      </c>
      <c r="G1680" s="10">
        <v>1.515</v>
      </c>
      <c r="H1680" s="10"/>
      <c r="I1680" s="9" t="s">
        <v>444</v>
      </c>
      <c r="J1680" s="9" t="s">
        <v>12224</v>
      </c>
      <c r="K1680" s="9" t="s">
        <v>12225</v>
      </c>
      <c r="L1680" s="8" t="s">
        <v>12226</v>
      </c>
      <c r="M1680" s="9" t="s">
        <v>36</v>
      </c>
      <c r="N1680" s="9" t="s">
        <v>12227</v>
      </c>
      <c r="O1680" s="9">
        <f>HYPERLINK("https://www.google.com/maps/search/?api=1&amp;query=43.3851936,-5.69833128", "https://www.google.com/maps/search/?api=1&amp;query=43.3851936,-5.69833128")</f>
      </c>
      <c r="P1680" s="9" t="s">
        <v>493</v>
      </c>
      <c r="Q1680" s="9" t="s">
        <v>647</v>
      </c>
    </row>
    <row r="1681" spans="1:17" x14ac:dyDescent="0.25">
      <c r="A1681" s="8" t="s">
        <v>12228</v>
      </c>
      <c r="B1681" s="8" t="s">
        <v>12229</v>
      </c>
      <c r="C1681" s="9" t="s">
        <v>12230</v>
      </c>
      <c r="D1681" s="9" t="s">
        <v>409</v>
      </c>
      <c r="E1681" s="9" t="s">
        <v>12231</v>
      </c>
      <c r="F1681" s="10">
        <v>1.378</v>
      </c>
      <c r="G1681" s="10">
        <v>1.515</v>
      </c>
      <c r="H1681" s="10"/>
      <c r="I1681" s="9" t="s">
        <v>292</v>
      </c>
      <c r="J1681" s="9" t="s">
        <v>12232</v>
      </c>
      <c r="K1681" s="9" t="s">
        <v>12233</v>
      </c>
      <c r="L1681" s="8" t="s">
        <v>12234</v>
      </c>
      <c r="M1681" s="9" t="s">
        <v>100</v>
      </c>
      <c r="N1681" s="9" t="s">
        <v>7170</v>
      </c>
      <c r="O1681" s="9">
        <f>HYPERLINK("https://www.google.com/maps/search/?api=1&amp;query=41.80261489,-1.25626809", "https://www.google.com/maps/search/?api=1&amp;query=41.80261489,-1.25626809")</f>
      </c>
      <c r="P1681" s="9" t="s">
        <v>1203</v>
      </c>
      <c r="Q1681" s="9" t="s">
        <v>12235</v>
      </c>
    </row>
    <row r="1682" spans="1:17" x14ac:dyDescent="0.25">
      <c r="A1682" s="8" t="s">
        <v>12236</v>
      </c>
      <c r="B1682" s="8" t="s">
        <v>12237</v>
      </c>
      <c r="C1682" s="9" t="s">
        <v>12238</v>
      </c>
      <c r="D1682" s="9" t="s">
        <v>226</v>
      </c>
      <c r="E1682" s="9" t="s">
        <v>226</v>
      </c>
      <c r="F1682" s="10">
        <v>1.378</v>
      </c>
      <c r="G1682" s="10">
        <v>1.515</v>
      </c>
      <c r="H1682" s="10"/>
      <c r="I1682" s="9" t="s">
        <v>168</v>
      </c>
      <c r="J1682" s="9" t="s">
        <v>12239</v>
      </c>
      <c r="K1682" s="9" t="s">
        <v>12240</v>
      </c>
      <c r="L1682" s="8" t="s">
        <v>1363</v>
      </c>
      <c r="M1682" s="9" t="s">
        <v>49</v>
      </c>
      <c r="N1682" s="9" t="s">
        <v>7681</v>
      </c>
      <c r="O1682" s="9">
        <f>HYPERLINK("https://www.google.com/maps/search/?api=1&amp;query=40.06588147,-2.13459541", "https://www.google.com/maps/search/?api=1&amp;query=40.06588147,-2.13459541")</f>
      </c>
      <c r="P1682" s="9" t="s">
        <v>1637</v>
      </c>
      <c r="Q1682" s="9" t="s">
        <v>102</v>
      </c>
    </row>
    <row r="1683" spans="1:17" x14ac:dyDescent="0.25">
      <c r="A1683" s="8" t="s">
        <v>12241</v>
      </c>
      <c r="B1683" s="8" t="s">
        <v>12242</v>
      </c>
      <c r="C1683" s="9" t="s">
        <v>12243</v>
      </c>
      <c r="D1683" s="9" t="s">
        <v>290</v>
      </c>
      <c r="E1683" s="9" t="s">
        <v>1545</v>
      </c>
      <c r="F1683" s="10">
        <v>1.378</v>
      </c>
      <c r="G1683" s="10">
        <v>1.515</v>
      </c>
      <c r="H1683" s="10"/>
      <c r="I1683" s="9" t="s">
        <v>292</v>
      </c>
      <c r="J1683" s="9" t="s">
        <v>12244</v>
      </c>
      <c r="K1683" s="9" t="s">
        <v>12245</v>
      </c>
      <c r="L1683" s="8" t="s">
        <v>1548</v>
      </c>
      <c r="M1683" s="9" t="s">
        <v>36</v>
      </c>
      <c r="N1683" s="9" t="s">
        <v>8958</v>
      </c>
      <c r="O1683" s="9">
        <f>HYPERLINK("https://www.google.com/maps/search/?api=1&amp;query=40.78271916,-1.34724665", "https://www.google.com/maps/search/?api=1&amp;query=40.78271916,-1.34724665")</f>
      </c>
      <c r="P1683" s="9" t="s">
        <v>789</v>
      </c>
      <c r="Q1683" s="9" t="s">
        <v>2998</v>
      </c>
    </row>
    <row r="1684" spans="1:17" x14ac:dyDescent="0.25">
      <c r="A1684" s="8" t="s">
        <v>12246</v>
      </c>
      <c r="B1684" s="8" t="s">
        <v>12247</v>
      </c>
      <c r="C1684" s="9" t="s">
        <v>11754</v>
      </c>
      <c r="D1684" s="9" t="s">
        <v>72</v>
      </c>
      <c r="E1684" s="9" t="s">
        <v>12248</v>
      </c>
      <c r="F1684" s="10">
        <v>1.378</v>
      </c>
      <c r="G1684" s="10">
        <v>1.515</v>
      </c>
      <c r="H1684" s="10"/>
      <c r="I1684" s="9" t="s">
        <v>74</v>
      </c>
      <c r="J1684" s="9" t="s">
        <v>12249</v>
      </c>
      <c r="K1684" s="9" t="s">
        <v>12250</v>
      </c>
      <c r="L1684" s="8" t="s">
        <v>9491</v>
      </c>
      <c r="M1684" s="9" t="s">
        <v>49</v>
      </c>
      <c r="N1684" s="9" t="s">
        <v>1719</v>
      </c>
      <c r="O1684" s="9">
        <f>HYPERLINK("https://www.google.com/maps/search/?api=1&amp;query=42.26422912,-4.40678366", "https://www.google.com/maps/search/?api=1&amp;query=42.26422912,-4.40678366")</f>
      </c>
      <c r="P1684" s="9" t="s">
        <v>8735</v>
      </c>
      <c r="Q1684" s="9" t="s">
        <v>12251</v>
      </c>
    </row>
    <row r="1685" spans="1:17" x14ac:dyDescent="0.25">
      <c r="A1685" s="8" t="s">
        <v>546</v>
      </c>
      <c r="B1685" s="8" t="s">
        <v>12252</v>
      </c>
      <c r="C1685" s="9" t="s">
        <v>12253</v>
      </c>
      <c r="D1685" s="9" t="s">
        <v>400</v>
      </c>
      <c r="E1685" s="9" t="s">
        <v>12254</v>
      </c>
      <c r="F1685" s="10">
        <v>1.378</v>
      </c>
      <c r="G1685" s="10">
        <v>1.515</v>
      </c>
      <c r="H1685" s="10"/>
      <c r="I1685" s="9" t="s">
        <v>400</v>
      </c>
      <c r="J1685" s="9" t="s">
        <v>12255</v>
      </c>
      <c r="K1685" s="9" t="s">
        <v>12256</v>
      </c>
      <c r="L1685" s="8" t="s">
        <v>12257</v>
      </c>
      <c r="M1685" s="9" t="s">
        <v>100</v>
      </c>
      <c r="N1685" s="9" t="s">
        <v>37</v>
      </c>
      <c r="O1685" s="9">
        <f>HYPERLINK("https://www.google.com/maps/search/?api=1&amp;query=39.47224201,-0.53540384", "https://www.google.com/maps/search/?api=1&amp;query=39.47224201,-0.53540384")</f>
      </c>
      <c r="P1685" s="9" t="s">
        <v>12258</v>
      </c>
      <c r="Q1685" s="9" t="s">
        <v>12259</v>
      </c>
    </row>
    <row r="1686" spans="1:17" x14ac:dyDescent="0.25">
      <c r="A1686" s="8" t="s">
        <v>12260</v>
      </c>
      <c r="B1686" s="8" t="s">
        <v>12261</v>
      </c>
      <c r="C1686" s="9" t="s">
        <v>12262</v>
      </c>
      <c r="D1686" s="9" t="s">
        <v>398</v>
      </c>
      <c r="E1686" s="9" t="s">
        <v>1006</v>
      </c>
      <c r="F1686" s="10">
        <v>1.378</v>
      </c>
      <c r="G1686" s="10">
        <v>1.515</v>
      </c>
      <c r="H1686" s="10"/>
      <c r="I1686" s="9" t="s">
        <v>400</v>
      </c>
      <c r="J1686" s="9" t="s">
        <v>12263</v>
      </c>
      <c r="K1686" s="9" t="s">
        <v>12264</v>
      </c>
      <c r="L1686" s="8" t="s">
        <v>1009</v>
      </c>
      <c r="M1686" s="9" t="s">
        <v>49</v>
      </c>
      <c r="N1686" s="9" t="s">
        <v>7163</v>
      </c>
      <c r="O1686" s="9">
        <f>HYPERLINK("https://www.google.com/maps/search/?api=1&amp;query=38.6059003,-0.07849209", "https://www.google.com/maps/search/?api=1&amp;query=38.6059003,-0.07849209")</f>
      </c>
      <c r="P1686" s="9" t="s">
        <v>831</v>
      </c>
      <c r="Q1686" s="9" t="s">
        <v>12265</v>
      </c>
    </row>
    <row r="1687" spans="1:17" x14ac:dyDescent="0.25">
      <c r="A1687" s="8" t="s">
        <v>12266</v>
      </c>
      <c r="B1687" s="8" t="s">
        <v>12267</v>
      </c>
      <c r="C1687" s="9" t="s">
        <v>12268</v>
      </c>
      <c r="D1687" s="9" t="s">
        <v>106</v>
      </c>
      <c r="E1687" s="9" t="s">
        <v>12269</v>
      </c>
      <c r="F1687" s="10">
        <v>1.378</v>
      </c>
      <c r="G1687" s="10">
        <v>1.515</v>
      </c>
      <c r="H1687" s="10"/>
      <c r="I1687" s="9" t="s">
        <v>106</v>
      </c>
      <c r="J1687" s="9" t="s">
        <v>12270</v>
      </c>
      <c r="K1687" s="9" t="s">
        <v>12271</v>
      </c>
      <c r="L1687" s="8" t="s">
        <v>8281</v>
      </c>
      <c r="M1687" s="9" t="s">
        <v>49</v>
      </c>
      <c r="N1687" s="9" t="s">
        <v>37</v>
      </c>
      <c r="O1687" s="9">
        <f>HYPERLINK("https://www.google.com/maps/search/?api=1&amp;query=37.648,-1.006", "https://www.google.com/maps/search/?api=1&amp;query=37.648,-1.006")</f>
      </c>
      <c r="P1687" s="9" t="s">
        <v>172</v>
      </c>
      <c r="Q1687" s="9" t="s">
        <v>1131</v>
      </c>
    </row>
    <row r="1688" spans="1:17" x14ac:dyDescent="0.25">
      <c r="A1688" s="8" t="s">
        <v>12272</v>
      </c>
      <c r="B1688" s="8" t="s">
        <v>12273</v>
      </c>
      <c r="C1688" s="9" t="s">
        <v>12274</v>
      </c>
      <c r="D1688" s="9" t="s">
        <v>516</v>
      </c>
      <c r="E1688" s="9" t="s">
        <v>12275</v>
      </c>
      <c r="F1688" s="10">
        <v>1.378</v>
      </c>
      <c r="G1688" s="10">
        <v>1.515</v>
      </c>
      <c r="H1688" s="10"/>
      <c r="I1688" s="9" t="s">
        <v>140</v>
      </c>
      <c r="J1688" s="9" t="s">
        <v>12276</v>
      </c>
      <c r="K1688" s="9" t="s">
        <v>12277</v>
      </c>
      <c r="L1688" s="8" t="s">
        <v>12278</v>
      </c>
      <c r="M1688" s="9" t="s">
        <v>36</v>
      </c>
      <c r="N1688" s="9" t="s">
        <v>211</v>
      </c>
      <c r="O1688" s="9">
        <f>HYPERLINK("https://www.google.com/maps/search/?api=1&amp;query=42.72652171,-7.02238869", "https://www.google.com/maps/search/?api=1&amp;query=42.72652171,-7.02238869")</f>
      </c>
      <c r="P1688" s="9" t="s">
        <v>771</v>
      </c>
      <c r="Q1688" s="9" t="s">
        <v>1566</v>
      </c>
    </row>
    <row r="1689" spans="1:17" x14ac:dyDescent="0.25">
      <c r="A1689" s="8" t="s">
        <v>12279</v>
      </c>
      <c r="B1689" s="8" t="s">
        <v>12280</v>
      </c>
      <c r="C1689" s="9" t="s">
        <v>12281</v>
      </c>
      <c r="D1689" s="9" t="s">
        <v>106</v>
      </c>
      <c r="E1689" s="9" t="s">
        <v>836</v>
      </c>
      <c r="F1689" s="10">
        <v>1.378</v>
      </c>
      <c r="G1689" s="10">
        <v>1.515</v>
      </c>
      <c r="H1689" s="10"/>
      <c r="I1689" s="9" t="s">
        <v>106</v>
      </c>
      <c r="J1689" s="9" t="s">
        <v>12282</v>
      </c>
      <c r="K1689" s="9" t="s">
        <v>12283</v>
      </c>
      <c r="L1689" s="8" t="s">
        <v>839</v>
      </c>
      <c r="M1689" s="9" t="s">
        <v>49</v>
      </c>
      <c r="N1689" s="9" t="s">
        <v>12284</v>
      </c>
      <c r="O1689" s="9">
        <f>HYPERLINK("https://www.google.com/maps/search/?api=1&amp;query=38.11132135,-1.04924093", "https://www.google.com/maps/search/?api=1&amp;query=38.11132135,-1.04924093")</f>
      </c>
      <c r="P1689" s="9" t="s">
        <v>1741</v>
      </c>
      <c r="Q1689" s="9" t="s">
        <v>12285</v>
      </c>
    </row>
    <row r="1690" spans="1:17" x14ac:dyDescent="0.25">
      <c r="A1690" s="8" t="s">
        <v>12286</v>
      </c>
      <c r="B1690" s="8" t="s">
        <v>12287</v>
      </c>
      <c r="C1690" s="9" t="s">
        <v>12288</v>
      </c>
      <c r="D1690" s="9" t="s">
        <v>1282</v>
      </c>
      <c r="E1690" s="9" t="s">
        <v>12289</v>
      </c>
      <c r="F1690" s="10">
        <v>1.378</v>
      </c>
      <c r="G1690" s="10">
        <v>1.515</v>
      </c>
      <c r="H1690" s="10"/>
      <c r="I1690" s="9" t="s">
        <v>45</v>
      </c>
      <c r="J1690" s="9" t="s">
        <v>12290</v>
      </c>
      <c r="K1690" s="9" t="s">
        <v>12291</v>
      </c>
      <c r="L1690" s="8" t="s">
        <v>9124</v>
      </c>
      <c r="M1690" s="9" t="s">
        <v>49</v>
      </c>
      <c r="N1690" s="9" t="s">
        <v>12292</v>
      </c>
      <c r="O1690" s="9">
        <f>HYPERLINK("https://www.google.com/maps/search/?api=1&amp;query=37.20659097,-3.04826962", "https://www.google.com/maps/search/?api=1&amp;query=37.20659097,-3.04826962")</f>
      </c>
      <c r="P1690" s="9" t="s">
        <v>1250</v>
      </c>
      <c r="Q1690" s="9" t="s">
        <v>12293</v>
      </c>
    </row>
    <row r="1691" spans="1:17" x14ac:dyDescent="0.25">
      <c r="A1691" s="8" t="s">
        <v>12294</v>
      </c>
      <c r="B1691" s="8" t="s">
        <v>12295</v>
      </c>
      <c r="C1691" s="9" t="s">
        <v>12296</v>
      </c>
      <c r="D1691" s="9" t="s">
        <v>409</v>
      </c>
      <c r="E1691" s="9" t="s">
        <v>12297</v>
      </c>
      <c r="F1691" s="10">
        <v>1.378</v>
      </c>
      <c r="G1691" s="10">
        <v>1.515</v>
      </c>
      <c r="H1691" s="10"/>
      <c r="I1691" s="9" t="s">
        <v>292</v>
      </c>
      <c r="J1691" s="9" t="s">
        <v>12298</v>
      </c>
      <c r="K1691" s="9" t="s">
        <v>12299</v>
      </c>
      <c r="L1691" s="8" t="s">
        <v>12300</v>
      </c>
      <c r="M1691" s="9" t="s">
        <v>36</v>
      </c>
      <c r="N1691" s="9" t="s">
        <v>12301</v>
      </c>
      <c r="O1691" s="9">
        <f>HYPERLINK("https://www.google.com/maps/search/?api=1&amp;query=42.11436338,-0.94792191", "https://www.google.com/maps/search/?api=1&amp;query=42.11436338,-0.94792191")</f>
      </c>
      <c r="P1691" s="9" t="s">
        <v>7433</v>
      </c>
      <c r="Q1691" s="9" t="s">
        <v>3771</v>
      </c>
    </row>
    <row r="1692" spans="1:17" x14ac:dyDescent="0.25">
      <c r="A1692" s="8" t="s">
        <v>12302</v>
      </c>
      <c r="B1692" s="8" t="s">
        <v>12303</v>
      </c>
      <c r="C1692" s="9" t="s">
        <v>12304</v>
      </c>
      <c r="D1692" s="9" t="s">
        <v>434</v>
      </c>
      <c r="E1692" s="9" t="s">
        <v>12305</v>
      </c>
      <c r="F1692" s="10">
        <v>1.378</v>
      </c>
      <c r="G1692" s="10">
        <v>1.515</v>
      </c>
      <c r="H1692" s="10"/>
      <c r="I1692" s="9" t="s">
        <v>96</v>
      </c>
      <c r="J1692" s="9" t="s">
        <v>12306</v>
      </c>
      <c r="K1692" s="9" t="s">
        <v>12307</v>
      </c>
      <c r="L1692" s="8" t="s">
        <v>12308</v>
      </c>
      <c r="M1692" s="9" t="s">
        <v>49</v>
      </c>
      <c r="N1692" s="9" t="s">
        <v>12309</v>
      </c>
      <c r="O1692" s="9">
        <f>HYPERLINK("https://www.google.com/maps/search/?api=1&amp;query=41.74595331,2.62713568", "https://www.google.com/maps/search/?api=1&amp;query=41.74595331,2.62713568")</f>
      </c>
      <c r="P1692" s="9" t="s">
        <v>2233</v>
      </c>
      <c r="Q1692" s="9" t="s">
        <v>1131</v>
      </c>
    </row>
    <row r="1693" spans="1:17" x14ac:dyDescent="0.25">
      <c r="A1693" s="8" t="s">
        <v>12310</v>
      </c>
      <c r="B1693" s="8" t="s">
        <v>12311</v>
      </c>
      <c r="C1693" s="9" t="s">
        <v>12312</v>
      </c>
      <c r="D1693" s="9" t="s">
        <v>106</v>
      </c>
      <c r="E1693" s="9" t="s">
        <v>4840</v>
      </c>
      <c r="F1693" s="10">
        <v>1.378</v>
      </c>
      <c r="G1693" s="10">
        <v>1.515</v>
      </c>
      <c r="H1693" s="10"/>
      <c r="I1693" s="9" t="s">
        <v>106</v>
      </c>
      <c r="J1693" s="9" t="s">
        <v>12313</v>
      </c>
      <c r="K1693" s="9" t="s">
        <v>12314</v>
      </c>
      <c r="L1693" s="8" t="s">
        <v>4843</v>
      </c>
      <c r="M1693" s="9" t="s">
        <v>36</v>
      </c>
      <c r="N1693" s="9" t="s">
        <v>88</v>
      </c>
      <c r="O1693" s="9">
        <f>HYPERLINK("https://www.google.com/maps/search/?api=1&amp;query=37.61698817,-1.75235735", "https://www.google.com/maps/search/?api=1&amp;query=37.61698817,-1.75235735")</f>
      </c>
      <c r="P1693" s="9" t="s">
        <v>38</v>
      </c>
      <c r="Q1693" s="9" t="s">
        <v>4192</v>
      </c>
    </row>
    <row r="1694" spans="1:17" x14ac:dyDescent="0.25">
      <c r="A1694" s="8" t="s">
        <v>12315</v>
      </c>
      <c r="B1694" s="8" t="s">
        <v>12316</v>
      </c>
      <c r="C1694" s="9" t="s">
        <v>12317</v>
      </c>
      <c r="D1694" s="9" t="s">
        <v>1282</v>
      </c>
      <c r="E1694" s="9" t="s">
        <v>9121</v>
      </c>
      <c r="F1694" s="10">
        <v>1.378</v>
      </c>
      <c r="G1694" s="10">
        <v>1.515</v>
      </c>
      <c r="H1694" s="10"/>
      <c r="I1694" s="9" t="s">
        <v>45</v>
      </c>
      <c r="J1694" s="9" t="s">
        <v>12318</v>
      </c>
      <c r="K1694" s="9" t="s">
        <v>12319</v>
      </c>
      <c r="L1694" s="8" t="s">
        <v>9124</v>
      </c>
      <c r="M1694" s="9" t="s">
        <v>49</v>
      </c>
      <c r="N1694" s="9" t="s">
        <v>12320</v>
      </c>
      <c r="O1694" s="9">
        <f>HYPERLINK("https://www.google.com/maps/search/?api=1&amp;query=37.18748714,-2.95885755", "https://www.google.com/maps/search/?api=1&amp;query=37.18748714,-2.95885755")</f>
      </c>
      <c r="P1694" s="9" t="s">
        <v>4183</v>
      </c>
      <c r="Q1694" s="9" t="s">
        <v>12321</v>
      </c>
    </row>
    <row r="1695" spans="1:17" x14ac:dyDescent="0.25">
      <c r="A1695" s="8" t="s">
        <v>12322</v>
      </c>
      <c r="B1695" s="8" t="s">
        <v>12323</v>
      </c>
      <c r="C1695" s="9" t="s">
        <v>12324</v>
      </c>
      <c r="D1695" s="9" t="s">
        <v>253</v>
      </c>
      <c r="E1695" s="9" t="s">
        <v>12325</v>
      </c>
      <c r="F1695" s="10">
        <v>1.378</v>
      </c>
      <c r="G1695" s="10">
        <v>1.515</v>
      </c>
      <c r="H1695" s="10"/>
      <c r="I1695" s="9" t="s">
        <v>96</v>
      </c>
      <c r="J1695" s="9" t="s">
        <v>12326</v>
      </c>
      <c r="K1695" s="9" t="s">
        <v>12327</v>
      </c>
      <c r="L1695" s="8" t="s">
        <v>12328</v>
      </c>
      <c r="M1695" s="9" t="s">
        <v>49</v>
      </c>
      <c r="N1695" s="9" t="s">
        <v>12329</v>
      </c>
      <c r="O1695" s="9">
        <f>HYPERLINK("https://www.google.com/maps/search/?api=1&amp;query=41.09179559,0.31711036", "https://www.google.com/maps/search/?api=1&amp;query=41.09179559,0.31711036")</f>
      </c>
      <c r="P1695" s="9" t="s">
        <v>1927</v>
      </c>
      <c r="Q1695" s="9" t="s">
        <v>12006</v>
      </c>
    </row>
    <row r="1696" spans="1:17" x14ac:dyDescent="0.25">
      <c r="A1696" s="8" t="s">
        <v>12330</v>
      </c>
      <c r="B1696" s="8" t="s">
        <v>12331</v>
      </c>
      <c r="C1696" s="9" t="s">
        <v>12332</v>
      </c>
      <c r="D1696" s="9" t="s">
        <v>94</v>
      </c>
      <c r="E1696" s="9" t="s">
        <v>12333</v>
      </c>
      <c r="F1696" s="10">
        <v>1.378</v>
      </c>
      <c r="G1696" s="10">
        <v>1.515</v>
      </c>
      <c r="H1696" s="10"/>
      <c r="I1696" s="9" t="s">
        <v>96</v>
      </c>
      <c r="J1696" s="9" t="s">
        <v>12334</v>
      </c>
      <c r="K1696" s="9" t="s">
        <v>12335</v>
      </c>
      <c r="L1696" s="8" t="s">
        <v>12336</v>
      </c>
      <c r="M1696" s="9" t="s">
        <v>49</v>
      </c>
      <c r="N1696" s="9" t="s">
        <v>88</v>
      </c>
      <c r="O1696" s="9">
        <f>HYPERLINK("https://www.google.com/maps/search/?api=1&amp;query=41.56609931,2.51955463", "https://www.google.com/maps/search/?api=1&amp;query=41.56609931,2.51955463")</f>
      </c>
      <c r="P1696" s="9" t="s">
        <v>413</v>
      </c>
      <c r="Q1696" s="9" t="s">
        <v>12337</v>
      </c>
    </row>
    <row r="1697" spans="1:17" x14ac:dyDescent="0.25">
      <c r="A1697" s="8" t="s">
        <v>12338</v>
      </c>
      <c r="B1697" s="8" t="s">
        <v>12339</v>
      </c>
      <c r="C1697" s="9" t="s">
        <v>12340</v>
      </c>
      <c r="D1697" s="9" t="s">
        <v>61</v>
      </c>
      <c r="E1697" s="9" t="s">
        <v>12341</v>
      </c>
      <c r="F1697" s="10">
        <v>1.378</v>
      </c>
      <c r="G1697" s="10">
        <v>1.515</v>
      </c>
      <c r="H1697" s="10"/>
      <c r="I1697" s="9" t="s">
        <v>45</v>
      </c>
      <c r="J1697" s="9" t="s">
        <v>12342</v>
      </c>
      <c r="K1697" s="9" t="s">
        <v>12343</v>
      </c>
      <c r="L1697" s="8" t="s">
        <v>8296</v>
      </c>
      <c r="M1697" s="9" t="s">
        <v>36</v>
      </c>
      <c r="N1697" s="9" t="s">
        <v>12344</v>
      </c>
      <c r="O1697" s="9">
        <f>HYPERLINK("https://www.google.com/maps/search/?api=1&amp;query=37.5233922,-5.20893142", "https://www.google.com/maps/search/?api=1&amp;query=37.5233922,-5.20893142")</f>
      </c>
      <c r="P1697" s="9" t="s">
        <v>2442</v>
      </c>
      <c r="Q1697" s="9" t="s">
        <v>7038</v>
      </c>
    </row>
    <row r="1698" spans="1:17" x14ac:dyDescent="0.25">
      <c r="A1698" s="8" t="s">
        <v>12345</v>
      </c>
      <c r="B1698" s="8" t="s">
        <v>12346</v>
      </c>
      <c r="C1698" s="9" t="s">
        <v>11122</v>
      </c>
      <c r="D1698" s="9" t="s">
        <v>253</v>
      </c>
      <c r="E1698" s="9" t="s">
        <v>12347</v>
      </c>
      <c r="F1698" s="10">
        <v>1.378</v>
      </c>
      <c r="G1698" s="10">
        <v>1.515</v>
      </c>
      <c r="H1698" s="10"/>
      <c r="I1698" s="9" t="s">
        <v>96</v>
      </c>
      <c r="J1698" s="9" t="s">
        <v>12348</v>
      </c>
      <c r="K1698" s="9" t="s">
        <v>12349</v>
      </c>
      <c r="L1698" s="8" t="s">
        <v>12350</v>
      </c>
      <c r="M1698" s="9" t="s">
        <v>49</v>
      </c>
      <c r="N1698" s="9" t="s">
        <v>122</v>
      </c>
      <c r="O1698" s="9">
        <f>HYPERLINK("https://www.google.com/maps/search/?api=1&amp;query=41.07791269,1.14998271", "https://www.google.com/maps/search/?api=1&amp;query=41.07791269,1.14998271")</f>
      </c>
      <c r="P1698" s="9" t="s">
        <v>2576</v>
      </c>
      <c r="Q1698" s="9" t="s">
        <v>681</v>
      </c>
    </row>
    <row r="1699" spans="1:17" x14ac:dyDescent="0.25">
      <c r="A1699" s="8" t="s">
        <v>12351</v>
      </c>
      <c r="B1699" s="8" t="s">
        <v>12352</v>
      </c>
      <c r="C1699" s="9" t="s">
        <v>12353</v>
      </c>
      <c r="D1699" s="9" t="s">
        <v>1483</v>
      </c>
      <c r="E1699" s="9" t="s">
        <v>1602</v>
      </c>
      <c r="F1699" s="10">
        <v>1.378</v>
      </c>
      <c r="G1699" s="10">
        <v>1.515</v>
      </c>
      <c r="H1699" s="10"/>
      <c r="I1699" s="9" t="s">
        <v>74</v>
      </c>
      <c r="J1699" s="9" t="s">
        <v>12354</v>
      </c>
      <c r="K1699" s="9" t="s">
        <v>12355</v>
      </c>
      <c r="L1699" s="8" t="s">
        <v>1605</v>
      </c>
      <c r="M1699" s="9" t="s">
        <v>49</v>
      </c>
      <c r="N1699" s="9" t="s">
        <v>37</v>
      </c>
      <c r="O1699" s="9">
        <f>HYPERLINK("https://www.google.com/maps/search/?api=1&amp;query=42.3095889,-3.7232861", "https://www.google.com/maps/search/?api=1&amp;query=42.3095889,-3.7232861")</f>
      </c>
      <c r="P1699" s="9" t="s">
        <v>646</v>
      </c>
      <c r="Q1699" s="9" t="s">
        <v>12356</v>
      </c>
    </row>
    <row r="1700" spans="1:17" x14ac:dyDescent="0.25">
      <c r="A1700" s="8" t="s">
        <v>12357</v>
      </c>
      <c r="B1700" s="8" t="s">
        <v>12358</v>
      </c>
      <c r="C1700" s="9" t="s">
        <v>12359</v>
      </c>
      <c r="D1700" s="9" t="s">
        <v>106</v>
      </c>
      <c r="E1700" s="9" t="s">
        <v>12360</v>
      </c>
      <c r="F1700" s="10">
        <v>1.378</v>
      </c>
      <c r="G1700" s="10">
        <v>1.515</v>
      </c>
      <c r="H1700" s="10"/>
      <c r="I1700" s="9" t="s">
        <v>106</v>
      </c>
      <c r="J1700" s="9" t="s">
        <v>12361</v>
      </c>
      <c r="K1700" s="9" t="s">
        <v>12362</v>
      </c>
      <c r="L1700" s="8" t="s">
        <v>12363</v>
      </c>
      <c r="M1700" s="9" t="s">
        <v>36</v>
      </c>
      <c r="N1700" s="9" t="s">
        <v>88</v>
      </c>
      <c r="O1700" s="9">
        <f>HYPERLINK("https://www.google.com/maps/search/?api=1&amp;query=37.94350976,-1.11877055", "https://www.google.com/maps/search/?api=1&amp;query=37.94350976,-1.11877055")</f>
      </c>
      <c r="P1700" s="9" t="s">
        <v>1250</v>
      </c>
      <c r="Q1700" s="9" t="s">
        <v>1131</v>
      </c>
    </row>
    <row r="1701" spans="1:17" x14ac:dyDescent="0.25">
      <c r="A1701" s="8" t="s">
        <v>12364</v>
      </c>
      <c r="B1701" s="8" t="s">
        <v>12365</v>
      </c>
      <c r="C1701" s="9" t="s">
        <v>12366</v>
      </c>
      <c r="D1701" s="9" t="s">
        <v>280</v>
      </c>
      <c r="E1701" s="9" t="s">
        <v>6068</v>
      </c>
      <c r="F1701" s="10">
        <v>1.378</v>
      </c>
      <c r="G1701" s="10">
        <v>1.515</v>
      </c>
      <c r="H1701" s="10"/>
      <c r="I1701" s="9" t="s">
        <v>118</v>
      </c>
      <c r="J1701" s="9" t="s">
        <v>12367</v>
      </c>
      <c r="K1701" s="9" t="s">
        <v>12368</v>
      </c>
      <c r="L1701" s="8" t="s">
        <v>6071</v>
      </c>
      <c r="M1701" s="9" t="s">
        <v>49</v>
      </c>
      <c r="N1701" s="9" t="s">
        <v>12369</v>
      </c>
      <c r="O1701" s="9">
        <f>HYPERLINK("https://www.google.com/maps/search/?api=1&amp;query=43.31293417,-1.87746151", "https://www.google.com/maps/search/?api=1&amp;query=43.31293417,-1.87746151")</f>
      </c>
      <c r="P1701" s="9" t="s">
        <v>144</v>
      </c>
      <c r="Q1701" s="9" t="s">
        <v>7794</v>
      </c>
    </row>
    <row r="1702" spans="1:17" x14ac:dyDescent="0.25">
      <c r="A1702" s="8" t="s">
        <v>12370</v>
      </c>
      <c r="B1702" s="8" t="s">
        <v>12371</v>
      </c>
      <c r="C1702" s="9" t="s">
        <v>12372</v>
      </c>
      <c r="D1702" s="9" t="s">
        <v>138</v>
      </c>
      <c r="E1702" s="9" t="s">
        <v>12373</v>
      </c>
      <c r="F1702" s="10">
        <v>1.378</v>
      </c>
      <c r="G1702" s="10">
        <v>1.515</v>
      </c>
      <c r="H1702" s="10"/>
      <c r="I1702" s="9" t="s">
        <v>140</v>
      </c>
      <c r="J1702" s="9" t="s">
        <v>12374</v>
      </c>
      <c r="K1702" s="9" t="s">
        <v>12375</v>
      </c>
      <c r="L1702" s="8" t="s">
        <v>12376</v>
      </c>
      <c r="M1702" s="9" t="s">
        <v>100</v>
      </c>
      <c r="N1702" s="9" t="s">
        <v>211</v>
      </c>
      <c r="O1702" s="9">
        <f>HYPERLINK("https://www.google.com/maps/search/?api=1&amp;query=42.29151568,-8.67019953", "https://www.google.com/maps/search/?api=1&amp;query=42.29151568,-8.67019953")</f>
      </c>
      <c r="P1702" s="9" t="s">
        <v>2213</v>
      </c>
      <c r="Q1702" s="9" t="s">
        <v>7794</v>
      </c>
    </row>
    <row r="1703" spans="1:17" x14ac:dyDescent="0.25">
      <c r="A1703" s="8" t="s">
        <v>12377</v>
      </c>
      <c r="B1703" s="8" t="s">
        <v>12378</v>
      </c>
      <c r="C1703" s="9" t="s">
        <v>12379</v>
      </c>
      <c r="D1703" s="9" t="s">
        <v>116</v>
      </c>
      <c r="E1703" s="9" t="s">
        <v>12380</v>
      </c>
      <c r="F1703" s="10">
        <v>1.378</v>
      </c>
      <c r="G1703" s="10">
        <v>1.515</v>
      </c>
      <c r="H1703" s="10"/>
      <c r="I1703" s="9" t="s">
        <v>118</v>
      </c>
      <c r="J1703" s="9" t="s">
        <v>12381</v>
      </c>
      <c r="K1703" s="9" t="s">
        <v>12382</v>
      </c>
      <c r="L1703" s="8" t="s">
        <v>12383</v>
      </c>
      <c r="M1703" s="9" t="s">
        <v>100</v>
      </c>
      <c r="N1703" s="9" t="s">
        <v>12384</v>
      </c>
      <c r="O1703" s="9">
        <f>HYPERLINK("https://www.google.com/maps/search/?api=1&amp;query=43.25080865,-2.88843362", "https://www.google.com/maps/search/?api=1&amp;query=43.25080865,-2.88843362")</f>
      </c>
      <c r="P1703" s="9" t="s">
        <v>3791</v>
      </c>
      <c r="Q1703" s="9" t="s">
        <v>12385</v>
      </c>
    </row>
    <row r="1704" spans="1:17" x14ac:dyDescent="0.25">
      <c r="A1704" s="8" t="s">
        <v>12386</v>
      </c>
      <c r="B1704" s="8" t="s">
        <v>12387</v>
      </c>
      <c r="C1704" s="9" t="s">
        <v>12388</v>
      </c>
      <c r="D1704" s="9" t="s">
        <v>1192</v>
      </c>
      <c r="E1704" s="9" t="s">
        <v>12389</v>
      </c>
      <c r="F1704" s="10">
        <v>1.378</v>
      </c>
      <c r="G1704" s="10">
        <v>1.515</v>
      </c>
      <c r="H1704" s="10"/>
      <c r="I1704" s="9" t="s">
        <v>168</v>
      </c>
      <c r="J1704" s="9" t="s">
        <v>12390</v>
      </c>
      <c r="K1704" s="9" t="s">
        <v>12391</v>
      </c>
      <c r="L1704" s="8" t="s">
        <v>12392</v>
      </c>
      <c r="M1704" s="9" t="s">
        <v>49</v>
      </c>
      <c r="N1704" s="9" t="s">
        <v>12393</v>
      </c>
      <c r="O1704" s="9">
        <f>HYPERLINK("https://www.google.com/maps/search/?api=1&amp;query=39.37327398,-3.34493267", "https://www.google.com/maps/search/?api=1&amp;query=39.37327398,-3.34493267")</f>
      </c>
      <c r="P1704" s="9" t="s">
        <v>56</v>
      </c>
      <c r="Q1704" s="9" t="s">
        <v>12394</v>
      </c>
    </row>
    <row r="1705" spans="1:17" x14ac:dyDescent="0.25">
      <c r="A1705" s="8" t="s">
        <v>12395</v>
      </c>
      <c r="B1705" s="8" t="s">
        <v>12396</v>
      </c>
      <c r="C1705" s="9" t="s">
        <v>12397</v>
      </c>
      <c r="D1705" s="9" t="s">
        <v>379</v>
      </c>
      <c r="E1705" s="9" t="s">
        <v>12398</v>
      </c>
      <c r="F1705" s="10">
        <v>1.378</v>
      </c>
      <c r="G1705" s="10">
        <v>1.515</v>
      </c>
      <c r="H1705" s="10"/>
      <c r="I1705" s="9" t="s">
        <v>379</v>
      </c>
      <c r="J1705" s="9" t="s">
        <v>12399</v>
      </c>
      <c r="K1705" s="9" t="s">
        <v>12400</v>
      </c>
      <c r="L1705" s="8" t="s">
        <v>12401</v>
      </c>
      <c r="M1705" s="9" t="s">
        <v>49</v>
      </c>
      <c r="N1705" s="9" t="s">
        <v>1695</v>
      </c>
      <c r="O1705" s="9">
        <f>HYPERLINK("https://www.google.com/maps/search/?api=1&amp;query=43.14968842,-1.51093523", "https://www.google.com/maps/search/?api=1&amp;query=43.14968842,-1.51093523")</f>
      </c>
      <c r="P1705" s="9" t="s">
        <v>547</v>
      </c>
      <c r="Q1705" s="9" t="s">
        <v>12402</v>
      </c>
    </row>
    <row r="1706" spans="1:17" x14ac:dyDescent="0.25">
      <c r="A1706" s="8" t="s">
        <v>12403</v>
      </c>
      <c r="B1706" s="8" t="s">
        <v>12404</v>
      </c>
      <c r="C1706" s="9" t="s">
        <v>12405</v>
      </c>
      <c r="D1706" s="9" t="s">
        <v>1282</v>
      </c>
      <c r="E1706" s="9" t="s">
        <v>12406</v>
      </c>
      <c r="F1706" s="10">
        <v>1.378</v>
      </c>
      <c r="G1706" s="10">
        <v>1.515</v>
      </c>
      <c r="H1706" s="10"/>
      <c r="I1706" s="9" t="s">
        <v>45</v>
      </c>
      <c r="J1706" s="9" t="s">
        <v>12407</v>
      </c>
      <c r="K1706" s="9" t="s">
        <v>12408</v>
      </c>
      <c r="L1706" s="8" t="s">
        <v>12409</v>
      </c>
      <c r="M1706" s="9" t="s">
        <v>36</v>
      </c>
      <c r="N1706" s="9" t="s">
        <v>357</v>
      </c>
      <c r="O1706" s="9">
        <f>HYPERLINK("https://www.google.com/maps/search/?api=1&amp;query=37.18180488,-4.05749775", "https://www.google.com/maps/search/?api=1&amp;query=37.18180488,-4.05749775")</f>
      </c>
      <c r="P1706" s="9" t="s">
        <v>144</v>
      </c>
      <c r="Q1706" s="9" t="s">
        <v>12410</v>
      </c>
    </row>
    <row r="1707" spans="1:17" x14ac:dyDescent="0.25">
      <c r="A1707" s="8" t="s">
        <v>12411</v>
      </c>
      <c r="B1707" s="8" t="s">
        <v>12412</v>
      </c>
      <c r="C1707" s="9" t="s">
        <v>12413</v>
      </c>
      <c r="D1707" s="9" t="s">
        <v>94</v>
      </c>
      <c r="E1707" s="9" t="s">
        <v>5122</v>
      </c>
      <c r="F1707" s="10">
        <v>1.378</v>
      </c>
      <c r="G1707" s="10">
        <v>1.515</v>
      </c>
      <c r="H1707" s="10"/>
      <c r="I1707" s="9" t="s">
        <v>96</v>
      </c>
      <c r="J1707" s="9" t="s">
        <v>12414</v>
      </c>
      <c r="K1707" s="9" t="s">
        <v>12415</v>
      </c>
      <c r="L1707" s="8" t="s">
        <v>12416</v>
      </c>
      <c r="M1707" s="9" t="s">
        <v>49</v>
      </c>
      <c r="N1707" s="9" t="s">
        <v>12417</v>
      </c>
      <c r="O1707" s="9">
        <f>HYPERLINK("https://www.google.com/maps/search/?api=1&amp;query=41.54223312,2.02935558", "https://www.google.com/maps/search/?api=1&amp;query=41.54223312,2.02935558")</f>
      </c>
      <c r="P1707" s="9" t="s">
        <v>530</v>
      </c>
      <c r="Q1707" s="9" t="s">
        <v>12418</v>
      </c>
    </row>
    <row r="1708" spans="1:17" x14ac:dyDescent="0.25">
      <c r="A1708" s="8" t="s">
        <v>12419</v>
      </c>
      <c r="B1708" s="8" t="s">
        <v>12420</v>
      </c>
      <c r="C1708" s="9" t="s">
        <v>12421</v>
      </c>
      <c r="D1708" s="9" t="s">
        <v>3841</v>
      </c>
      <c r="E1708" s="9" t="s">
        <v>3841</v>
      </c>
      <c r="F1708" s="10">
        <v>1.378</v>
      </c>
      <c r="G1708" s="10">
        <v>1.515</v>
      </c>
      <c r="H1708" s="10"/>
      <c r="I1708" s="9" t="s">
        <v>74</v>
      </c>
      <c r="J1708" s="9" t="s">
        <v>12422</v>
      </c>
      <c r="K1708" s="9" t="s">
        <v>12423</v>
      </c>
      <c r="L1708" s="8" t="s">
        <v>10301</v>
      </c>
      <c r="M1708" s="9" t="s">
        <v>100</v>
      </c>
      <c r="N1708" s="9" t="s">
        <v>5186</v>
      </c>
      <c r="O1708" s="9">
        <f>HYPERLINK("https://www.google.com/maps/search/?api=1&amp;query=41.76239426,-2.41253851", "https://www.google.com/maps/search/?api=1&amp;query=41.76239426,-2.41253851")</f>
      </c>
      <c r="P1708" s="9" t="s">
        <v>11650</v>
      </c>
      <c r="Q1708" s="9" t="s">
        <v>1534</v>
      </c>
    </row>
    <row r="1709" spans="1:17" x14ac:dyDescent="0.25">
      <c r="A1709" s="8" t="s">
        <v>12424</v>
      </c>
      <c r="B1709" s="8" t="s">
        <v>12425</v>
      </c>
      <c r="C1709" s="9" t="s">
        <v>12426</v>
      </c>
      <c r="D1709" s="9" t="s">
        <v>253</v>
      </c>
      <c r="E1709" s="9" t="s">
        <v>12427</v>
      </c>
      <c r="F1709" s="10">
        <v>1.378</v>
      </c>
      <c r="G1709" s="10">
        <v>1.515</v>
      </c>
      <c r="H1709" s="10"/>
      <c r="I1709" s="9" t="s">
        <v>96</v>
      </c>
      <c r="J1709" s="9" t="s">
        <v>12428</v>
      </c>
      <c r="K1709" s="9" t="s">
        <v>12429</v>
      </c>
      <c r="L1709" s="8" t="s">
        <v>12430</v>
      </c>
      <c r="M1709" s="9" t="s">
        <v>49</v>
      </c>
      <c r="N1709" s="9" t="s">
        <v>7777</v>
      </c>
      <c r="O1709" s="9">
        <f>HYPERLINK("https://www.google.com/maps/search/?api=1&amp;query=41.28977596,1.35124388", "https://www.google.com/maps/search/?api=1&amp;query=41.28977596,1.35124388")</f>
      </c>
      <c r="P1709" s="9" t="s">
        <v>8886</v>
      </c>
      <c r="Q1709" s="9" t="s">
        <v>12431</v>
      </c>
    </row>
    <row r="1710" spans="1:17" x14ac:dyDescent="0.25">
      <c r="A1710" s="8" t="s">
        <v>12432</v>
      </c>
      <c r="B1710" s="8" t="s">
        <v>12433</v>
      </c>
      <c r="C1710" s="9" t="s">
        <v>12434</v>
      </c>
      <c r="D1710" s="9" t="s">
        <v>398</v>
      </c>
      <c r="E1710" s="9" t="s">
        <v>1006</v>
      </c>
      <c r="F1710" s="10">
        <v>1.378</v>
      </c>
      <c r="G1710" s="10">
        <v>1.515</v>
      </c>
      <c r="H1710" s="10"/>
      <c r="I1710" s="9" t="s">
        <v>400</v>
      </c>
      <c r="J1710" s="9" t="s">
        <v>12435</v>
      </c>
      <c r="K1710" s="9" t="s">
        <v>12436</v>
      </c>
      <c r="L1710" s="8" t="s">
        <v>1009</v>
      </c>
      <c r="M1710" s="9" t="s">
        <v>36</v>
      </c>
      <c r="N1710" s="9" t="s">
        <v>88</v>
      </c>
      <c r="O1710" s="9">
        <f>HYPERLINK("https://www.google.com/maps/search/?api=1&amp;query=38.58653131,-0.06473277", "https://www.google.com/maps/search/?api=1&amp;query=38.58653131,-0.06473277")</f>
      </c>
      <c r="P1710" s="9" t="s">
        <v>831</v>
      </c>
      <c r="Q1710" s="9" t="s">
        <v>112</v>
      </c>
    </row>
    <row r="1711" spans="1:17" x14ac:dyDescent="0.25">
      <c r="A1711" s="8" t="s">
        <v>10581</v>
      </c>
      <c r="B1711" s="8" t="s">
        <v>12437</v>
      </c>
      <c r="C1711" s="9" t="s">
        <v>12438</v>
      </c>
      <c r="D1711" s="9" t="s">
        <v>400</v>
      </c>
      <c r="E1711" s="9" t="s">
        <v>12439</v>
      </c>
      <c r="F1711" s="10">
        <v>1.378</v>
      </c>
      <c r="G1711" s="10">
        <v>1.515</v>
      </c>
      <c r="H1711" s="10"/>
      <c r="I1711" s="9" t="s">
        <v>400</v>
      </c>
      <c r="J1711" s="9" t="s">
        <v>12440</v>
      </c>
      <c r="K1711" s="9" t="s">
        <v>12441</v>
      </c>
      <c r="L1711" s="8" t="s">
        <v>12442</v>
      </c>
      <c r="M1711" s="9" t="s">
        <v>100</v>
      </c>
      <c r="N1711" s="9" t="s">
        <v>88</v>
      </c>
      <c r="O1711" s="9">
        <f>HYPERLINK("https://www.google.com/maps/search/?api=1&amp;query=39.36407968,-0.40755511", "https://www.google.com/maps/search/?api=1&amp;query=39.36407968,-0.40755511")</f>
      </c>
      <c r="P1711" s="9" t="s">
        <v>7737</v>
      </c>
      <c r="Q1711" s="9" t="s">
        <v>1131</v>
      </c>
    </row>
    <row r="1712" spans="1:17" x14ac:dyDescent="0.25">
      <c r="A1712" s="8" t="s">
        <v>12443</v>
      </c>
      <c r="B1712" s="8" t="s">
        <v>12444</v>
      </c>
      <c r="C1712" s="9" t="s">
        <v>12445</v>
      </c>
      <c r="D1712" s="9" t="s">
        <v>155</v>
      </c>
      <c r="E1712" s="9" t="s">
        <v>12446</v>
      </c>
      <c r="F1712" s="10">
        <v>1.378</v>
      </c>
      <c r="G1712" s="10">
        <v>1.515</v>
      </c>
      <c r="H1712" s="10"/>
      <c r="I1712" s="9" t="s">
        <v>157</v>
      </c>
      <c r="J1712" s="9" t="s">
        <v>12447</v>
      </c>
      <c r="K1712" s="9" t="s">
        <v>12448</v>
      </c>
      <c r="L1712" s="8" t="s">
        <v>12449</v>
      </c>
      <c r="M1712" s="9" t="s">
        <v>49</v>
      </c>
      <c r="N1712" s="9" t="s">
        <v>88</v>
      </c>
      <c r="O1712" s="9">
        <f>HYPERLINK("https://www.google.com/maps/search/?api=1&amp;query=39.50913741,2.5186975", "https://www.google.com/maps/search/?api=1&amp;query=39.50913741,2.5186975")</f>
      </c>
      <c r="P1712" s="9" t="s">
        <v>1287</v>
      </c>
      <c r="Q1712" s="9" t="s">
        <v>12450</v>
      </c>
    </row>
    <row r="1713" spans="1:17" x14ac:dyDescent="0.25">
      <c r="A1713" s="8" t="s">
        <v>12451</v>
      </c>
      <c r="B1713" s="8" t="s">
        <v>12452</v>
      </c>
      <c r="C1713" s="9" t="s">
        <v>12453</v>
      </c>
      <c r="D1713" s="9" t="s">
        <v>217</v>
      </c>
      <c r="E1713" s="9" t="s">
        <v>12454</v>
      </c>
      <c r="F1713" s="10">
        <v>1.396</v>
      </c>
      <c r="G1713" s="10">
        <v>1.535</v>
      </c>
      <c r="H1713" s="10"/>
      <c r="I1713" s="9" t="s">
        <v>45</v>
      </c>
      <c r="J1713" s="9" t="s">
        <v>12455</v>
      </c>
      <c r="K1713" s="9" t="s">
        <v>12456</v>
      </c>
      <c r="L1713" s="8" t="s">
        <v>12457</v>
      </c>
      <c r="M1713" s="9" t="s">
        <v>49</v>
      </c>
      <c r="N1713" s="9" t="s">
        <v>37</v>
      </c>
      <c r="O1713" s="9">
        <f>HYPERLINK("https://www.google.com/maps/search/?api=1&amp;query=37.08228762,-4.45388818", "https://www.google.com/maps/search/?api=1&amp;query=37.08228762,-4.45388818")</f>
      </c>
      <c r="P1713" s="9" t="s">
        <v>144</v>
      </c>
      <c r="Q1713" s="9" t="s">
        <v>2827</v>
      </c>
    </row>
    <row r="1714" spans="1:17" x14ac:dyDescent="0.25">
      <c r="A1714" s="8" t="s">
        <v>12458</v>
      </c>
      <c r="B1714" s="8" t="s">
        <v>12459</v>
      </c>
      <c r="C1714" s="9" t="s">
        <v>12460</v>
      </c>
      <c r="D1714" s="9" t="s">
        <v>83</v>
      </c>
      <c r="E1714" s="9" t="s">
        <v>83</v>
      </c>
      <c r="F1714" s="10">
        <v>1.417</v>
      </c>
      <c r="G1714" s="10">
        <v>1.559</v>
      </c>
      <c r="H1714" s="10"/>
      <c r="I1714" s="9" t="s">
        <v>83</v>
      </c>
      <c r="J1714" s="9" t="s">
        <v>12461</v>
      </c>
      <c r="K1714" s="9" t="s">
        <v>12462</v>
      </c>
      <c r="L1714" s="8" t="s">
        <v>1219</v>
      </c>
      <c r="M1714" s="9" t="s">
        <v>49</v>
      </c>
      <c r="N1714" s="9" t="s">
        <v>37</v>
      </c>
      <c r="O1714" s="9">
        <f>HYPERLINK("https://www.google.com/maps/search/?api=1&amp;query=40.46204179,-3.57405914", "https://www.google.com/maps/search/?api=1&amp;query=40.46204179,-3.57405914")</f>
      </c>
      <c r="P1714" s="9"/>
      <c r="Q1714" s="9"/>
    </row>
    <row r="1715" spans="1:17" x14ac:dyDescent="0.25">
      <c r="A1715" s="8" t="s">
        <v>12463</v>
      </c>
      <c r="B1715" s="8" t="s">
        <v>12464</v>
      </c>
      <c r="C1715" s="9" t="s">
        <v>12465</v>
      </c>
      <c r="D1715" s="9" t="s">
        <v>106</v>
      </c>
      <c r="E1715" s="9" t="s">
        <v>9090</v>
      </c>
      <c r="F1715" s="10">
        <v>1.423</v>
      </c>
      <c r="G1715" s="10">
        <v>1.565</v>
      </c>
      <c r="H1715" s="10"/>
      <c r="I1715" s="9" t="s">
        <v>106</v>
      </c>
      <c r="J1715" s="9" t="s">
        <v>12466</v>
      </c>
      <c r="K1715" s="9" t="s">
        <v>12467</v>
      </c>
      <c r="L1715" s="8" t="s">
        <v>9093</v>
      </c>
      <c r="M1715" s="9" t="s">
        <v>49</v>
      </c>
      <c r="N1715" s="9" t="s">
        <v>37</v>
      </c>
      <c r="O1715" s="9">
        <f>HYPERLINK("https://www.google.com/maps/search/?api=1&amp;query=37.71023281,-1.08380058", "https://www.google.com/maps/search/?api=1&amp;query=37.71023281,-1.08380058")</f>
      </c>
      <c r="P1715" s="9" t="s">
        <v>2610</v>
      </c>
      <c r="Q1715" s="9" t="s">
        <v>7682</v>
      </c>
    </row>
    <row r="1716" spans="1:17" x14ac:dyDescent="0.25">
      <c r="A1716" s="8" t="s">
        <v>12468</v>
      </c>
      <c r="B1716" s="8" t="s">
        <v>12469</v>
      </c>
      <c r="C1716" s="9" t="s">
        <v>12470</v>
      </c>
      <c r="D1716" s="9" t="s">
        <v>106</v>
      </c>
      <c r="E1716" s="9" t="s">
        <v>2424</v>
      </c>
      <c r="F1716" s="10">
        <v>1.423</v>
      </c>
      <c r="G1716" s="10">
        <v>1.565</v>
      </c>
      <c r="H1716" s="10"/>
      <c r="I1716" s="9" t="s">
        <v>106</v>
      </c>
      <c r="J1716" s="9" t="s">
        <v>12471</v>
      </c>
      <c r="K1716" s="9" t="s">
        <v>12472</v>
      </c>
      <c r="L1716" s="8" t="s">
        <v>12473</v>
      </c>
      <c r="M1716" s="9" t="s">
        <v>49</v>
      </c>
      <c r="N1716" s="9" t="s">
        <v>37</v>
      </c>
      <c r="O1716" s="9">
        <f>HYPERLINK("https://www.google.com/maps/search/?api=1&amp;query=37.59635201,-0.96601776", "https://www.google.com/maps/search/?api=1&amp;query=37.59635201,-0.96601776")</f>
      </c>
      <c r="P1716" s="9" t="s">
        <v>78</v>
      </c>
      <c r="Q1716" s="9" t="s">
        <v>12474</v>
      </c>
    </row>
    <row r="1717" spans="1:17" x14ac:dyDescent="0.25">
      <c r="A1717" s="8" t="s">
        <v>12475</v>
      </c>
      <c r="B1717" s="8" t="s">
        <v>12476</v>
      </c>
      <c r="C1717" s="9" t="s">
        <v>12477</v>
      </c>
      <c r="D1717" s="9" t="s">
        <v>197</v>
      </c>
      <c r="E1717" s="9" t="s">
        <v>12478</v>
      </c>
      <c r="F1717" s="10">
        <v>1.423</v>
      </c>
      <c r="G1717" s="10">
        <v>1.565</v>
      </c>
      <c r="H1717" s="10"/>
      <c r="I1717" s="9" t="s">
        <v>168</v>
      </c>
      <c r="J1717" s="9" t="s">
        <v>12479</v>
      </c>
      <c r="K1717" s="9" t="s">
        <v>12480</v>
      </c>
      <c r="L1717" s="8" t="s">
        <v>12481</v>
      </c>
      <c r="M1717" s="9" t="s">
        <v>36</v>
      </c>
      <c r="N1717" s="9" t="s">
        <v>37</v>
      </c>
      <c r="O1717" s="9">
        <f>HYPERLINK("https://www.google.com/maps/search/?api=1&amp;query=39.76595431,-3.47941685", "https://www.google.com/maps/search/?api=1&amp;query=39.76595431,-3.47941685")</f>
      </c>
      <c r="P1717" s="9" t="s">
        <v>38</v>
      </c>
      <c r="Q1717" s="9" t="s">
        <v>12482</v>
      </c>
    </row>
    <row r="1718" spans="1:17" x14ac:dyDescent="0.25">
      <c r="A1718" s="8" t="s">
        <v>12483</v>
      </c>
      <c r="B1718" s="8" t="s">
        <v>12484</v>
      </c>
      <c r="C1718" s="9" t="s">
        <v>12485</v>
      </c>
      <c r="D1718" s="9" t="s">
        <v>1560</v>
      </c>
      <c r="E1718" s="9" t="s">
        <v>12486</v>
      </c>
      <c r="F1718" s="10">
        <v>1.423</v>
      </c>
      <c r="G1718" s="10">
        <v>1.565</v>
      </c>
      <c r="H1718" s="10"/>
      <c r="I1718" s="9" t="s">
        <v>400</v>
      </c>
      <c r="J1718" s="9" t="s">
        <v>12487</v>
      </c>
      <c r="K1718" s="9" t="s">
        <v>12488</v>
      </c>
      <c r="L1718" s="8" t="s">
        <v>12489</v>
      </c>
      <c r="M1718" s="9" t="s">
        <v>49</v>
      </c>
      <c r="N1718" s="9" t="s">
        <v>37</v>
      </c>
      <c r="O1718" s="9">
        <f>HYPERLINK("https://www.google.com/maps/search/?api=1&amp;query=39.77387987,-0.2261932", "https://www.google.com/maps/search/?api=1&amp;query=39.77387987,-0.2261932")</f>
      </c>
      <c r="P1718" s="9" t="s">
        <v>8524</v>
      </c>
      <c r="Q1718" s="9" t="s">
        <v>12490</v>
      </c>
    </row>
    <row r="1719" spans="1:17" x14ac:dyDescent="0.25">
      <c r="A1719" s="8" t="s">
        <v>12491</v>
      </c>
      <c r="B1719" s="8" t="s">
        <v>12492</v>
      </c>
      <c r="C1719" s="9" t="s">
        <v>4056</v>
      </c>
      <c r="D1719" s="9" t="s">
        <v>424</v>
      </c>
      <c r="E1719" s="9" t="s">
        <v>9462</v>
      </c>
      <c r="F1719" s="10">
        <v>1.432</v>
      </c>
      <c r="G1719" s="10">
        <v>1.575</v>
      </c>
      <c r="H1719" s="10"/>
      <c r="I1719" s="9" t="s">
        <v>96</v>
      </c>
      <c r="J1719" s="9" t="s">
        <v>12493</v>
      </c>
      <c r="K1719" s="9" t="s">
        <v>12494</v>
      </c>
      <c r="L1719" s="8" t="s">
        <v>9465</v>
      </c>
      <c r="M1719" s="9" t="s">
        <v>49</v>
      </c>
      <c r="N1719" s="9" t="s">
        <v>37</v>
      </c>
      <c r="O1719" s="9">
        <f>HYPERLINK("https://www.google.com/maps/search/?api=1&amp;query=41.62923859,0.88786702", "https://www.google.com/maps/search/?api=1&amp;query=41.62923859,0.88786702")</f>
      </c>
      <c r="P1719" s="9" t="s">
        <v>12495</v>
      </c>
      <c r="Q1719" s="9" t="s">
        <v>102</v>
      </c>
    </row>
    <row r="1720" spans="1:17" x14ac:dyDescent="0.25">
      <c r="A1720" s="8" t="s">
        <v>12496</v>
      </c>
      <c r="B1720" s="8" t="s">
        <v>12497</v>
      </c>
      <c r="C1720" s="9" t="s">
        <v>9850</v>
      </c>
      <c r="D1720" s="9" t="s">
        <v>424</v>
      </c>
      <c r="E1720" s="9" t="s">
        <v>12498</v>
      </c>
      <c r="F1720" s="10">
        <v>1.45</v>
      </c>
      <c r="G1720" s="10">
        <v>1.595</v>
      </c>
      <c r="H1720" s="10"/>
      <c r="I1720" s="9" t="s">
        <v>96</v>
      </c>
      <c r="J1720" s="9" t="s">
        <v>12499</v>
      </c>
      <c r="K1720" s="9" t="s">
        <v>12500</v>
      </c>
      <c r="L1720" s="8" t="s">
        <v>12501</v>
      </c>
      <c r="M1720" s="9" t="s">
        <v>100</v>
      </c>
      <c r="N1720" s="9" t="s">
        <v>88</v>
      </c>
      <c r="O1720" s="9">
        <f>HYPERLINK("https://www.google.com/maps/search/?api=1&amp;query=41.55834765,0.51000233", "https://www.google.com/maps/search/?api=1&amp;query=41.55834765,0.51000233")</f>
      </c>
      <c r="P1720" s="9" t="s">
        <v>12495</v>
      </c>
      <c r="Q1720" s="9" t="s">
        <v>12495</v>
      </c>
    </row>
    <row r="1721" spans="1:17" x14ac:dyDescent="0.25">
      <c r="A1721" s="8" t="s">
        <v>12502</v>
      </c>
      <c r="B1721" s="8" t="s">
        <v>12503</v>
      </c>
      <c r="C1721" s="9" t="s">
        <v>12504</v>
      </c>
      <c r="D1721" s="9" t="s">
        <v>400</v>
      </c>
      <c r="E1721" s="9" t="s">
        <v>12505</v>
      </c>
      <c r="F1721" s="10">
        <v>1.459</v>
      </c>
      <c r="G1721" s="10">
        <v>1.605</v>
      </c>
      <c r="H1721" s="10"/>
      <c r="I1721" s="9" t="s">
        <v>400</v>
      </c>
      <c r="J1721" s="9" t="s">
        <v>12506</v>
      </c>
      <c r="K1721" s="9" t="s">
        <v>12507</v>
      </c>
      <c r="L1721" s="8" t="s">
        <v>12508</v>
      </c>
      <c r="M1721" s="9" t="s">
        <v>49</v>
      </c>
      <c r="N1721" s="9" t="s">
        <v>88</v>
      </c>
      <c r="O1721" s="9">
        <f>HYPERLINK("https://www.google.com/maps/search/?api=1&amp;query=39.288778,-0.450278", "https://www.google.com/maps/search/?api=1&amp;query=39.288778,-0.450278")</f>
      </c>
      <c r="P1721" s="9" t="s">
        <v>182</v>
      </c>
      <c r="Q1721" s="9" t="s">
        <v>5054</v>
      </c>
    </row>
    <row r="1722" spans="1:17" x14ac:dyDescent="0.25">
      <c r="A1722" s="8" t="s">
        <v>12509</v>
      </c>
      <c r="B1722" s="8" t="s">
        <v>12510</v>
      </c>
      <c r="C1722" s="9" t="s">
        <v>12511</v>
      </c>
      <c r="D1722" s="9" t="s">
        <v>43</v>
      </c>
      <c r="E1722" s="9" t="s">
        <v>12512</v>
      </c>
      <c r="F1722" s="10">
        <v>1.459</v>
      </c>
      <c r="G1722" s="10">
        <v>1.605</v>
      </c>
      <c r="H1722" s="10"/>
      <c r="I1722" s="9" t="s">
        <v>45</v>
      </c>
      <c r="J1722" s="9" t="s">
        <v>12513</v>
      </c>
      <c r="K1722" s="9" t="s">
        <v>12514</v>
      </c>
      <c r="L1722" s="8" t="s">
        <v>12515</v>
      </c>
      <c r="M1722" s="9" t="s">
        <v>49</v>
      </c>
      <c r="N1722" s="9" t="s">
        <v>211</v>
      </c>
      <c r="O1722" s="9">
        <f>HYPERLINK("https://www.google.com/maps/search/?api=1&amp;query=37.96893332,-7.21591485", "https://www.google.com/maps/search/?api=1&amp;query=37.96893332,-7.21591485")</f>
      </c>
      <c r="P1722" s="9" t="s">
        <v>7657</v>
      </c>
      <c r="Q1722" s="9" t="s">
        <v>12516</v>
      </c>
    </row>
    <row r="1723" spans="1:17" x14ac:dyDescent="0.25">
      <c r="A1723" s="8" t="s">
        <v>12517</v>
      </c>
      <c r="B1723" s="8" t="s">
        <v>12518</v>
      </c>
      <c r="C1723" s="9" t="s">
        <v>12519</v>
      </c>
      <c r="D1723" s="9" t="s">
        <v>226</v>
      </c>
      <c r="E1723" s="9" t="s">
        <v>12520</v>
      </c>
      <c r="F1723" s="10">
        <v>1.469</v>
      </c>
      <c r="G1723" s="10">
        <v>1.615</v>
      </c>
      <c r="H1723" s="10"/>
      <c r="I1723" s="9" t="s">
        <v>168</v>
      </c>
      <c r="J1723" s="9" t="s">
        <v>12521</v>
      </c>
      <c r="K1723" s="9" t="s">
        <v>12522</v>
      </c>
      <c r="L1723" s="8" t="s">
        <v>12523</v>
      </c>
      <c r="M1723" s="9" t="s">
        <v>49</v>
      </c>
      <c r="N1723" s="9" t="s">
        <v>37</v>
      </c>
      <c r="O1723" s="9">
        <f>HYPERLINK("https://www.google.com/maps/search/?api=1&amp;query=39.48429806,-2.15836331", "https://www.google.com/maps/search/?api=1&amp;query=39.48429806,-2.15836331")</f>
      </c>
      <c r="P1723" s="9" t="s">
        <v>1590</v>
      </c>
      <c r="Q1723" s="9" t="s">
        <v>10685</v>
      </c>
    </row>
    <row r="1724" spans="1:17" x14ac:dyDescent="0.25">
      <c r="A1724" s="8" t="s">
        <v>12524</v>
      </c>
      <c r="B1724" s="8" t="s">
        <v>12525</v>
      </c>
      <c r="C1724" s="9" t="s">
        <v>12526</v>
      </c>
      <c r="D1724" s="9" t="s">
        <v>1483</v>
      </c>
      <c r="E1724" s="9" t="s">
        <v>1483</v>
      </c>
      <c r="F1724" s="10">
        <v>1.514</v>
      </c>
      <c r="G1724" s="10">
        <v>1.665</v>
      </c>
      <c r="H1724" s="10"/>
      <c r="I1724" s="9" t="s">
        <v>74</v>
      </c>
      <c r="J1724" s="9" t="s">
        <v>12527</v>
      </c>
      <c r="K1724" s="9" t="s">
        <v>12528</v>
      </c>
      <c r="L1724" s="8" t="s">
        <v>12529</v>
      </c>
      <c r="M1724" s="9" t="s">
        <v>49</v>
      </c>
      <c r="N1724" s="9" t="s">
        <v>12530</v>
      </c>
      <c r="O1724" s="9">
        <f>HYPERLINK("https://www.google.com/maps/search/?api=1&amp;query=42.34466185,-3.69881167", "https://www.google.com/maps/search/?api=1&amp;query=42.34466185,-3.69881167")</f>
      </c>
      <c r="P1724" s="9" t="s">
        <v>1439</v>
      </c>
      <c r="Q1724" s="9" t="s">
        <v>1131</v>
      </c>
    </row>
    <row r="1725" spans="1:17" x14ac:dyDescent="0.25">
      <c r="A1725" s="8" t="s">
        <v>12531</v>
      </c>
      <c r="B1725" s="8" t="s">
        <v>12532</v>
      </c>
      <c r="C1725" s="9" t="s">
        <v>12533</v>
      </c>
      <c r="D1725" s="9" t="s">
        <v>1617</v>
      </c>
      <c r="E1725" s="9" t="s">
        <v>12534</v>
      </c>
      <c r="F1725" s="10">
        <v>1.514</v>
      </c>
      <c r="G1725" s="10">
        <v>1.665</v>
      </c>
      <c r="H1725" s="10"/>
      <c r="I1725" s="9" t="s">
        <v>292</v>
      </c>
      <c r="J1725" s="9" t="s">
        <v>12535</v>
      </c>
      <c r="K1725" s="9" t="s">
        <v>12536</v>
      </c>
      <c r="L1725" s="8" t="s">
        <v>12537</v>
      </c>
      <c r="M1725" s="9" t="s">
        <v>36</v>
      </c>
      <c r="N1725" s="9" t="s">
        <v>12538</v>
      </c>
      <c r="O1725" s="9">
        <f>HYPERLINK("https://www.google.com/maps/search/?api=1&amp;query=42.05479965,0.23974749", "https://www.google.com/maps/search/?api=1&amp;query=42.05479965,0.23974749")</f>
      </c>
      <c r="P1725" s="9" t="s">
        <v>547</v>
      </c>
      <c r="Q1725" s="9" t="s">
        <v>1204</v>
      </c>
    </row>
    <row r="1726" spans="1:17" x14ac:dyDescent="0.25">
      <c r="A1726" s="8" t="s">
        <v>12539</v>
      </c>
      <c r="B1726" s="8" t="s">
        <v>12540</v>
      </c>
      <c r="C1726" s="9" t="s">
        <v>12541</v>
      </c>
      <c r="D1726" s="9" t="s">
        <v>155</v>
      </c>
      <c r="E1726" s="9" t="s">
        <v>5335</v>
      </c>
      <c r="F1726" s="10">
        <v>1.514</v>
      </c>
      <c r="G1726" s="10">
        <v>1.665</v>
      </c>
      <c r="H1726" s="10"/>
      <c r="I1726" s="9" t="s">
        <v>157</v>
      </c>
      <c r="J1726" s="9" t="s">
        <v>12542</v>
      </c>
      <c r="K1726" s="9" t="s">
        <v>12543</v>
      </c>
      <c r="L1726" s="8" t="s">
        <v>5338</v>
      </c>
      <c r="M1726" s="9" t="s">
        <v>36</v>
      </c>
      <c r="N1726" s="9" t="s">
        <v>88</v>
      </c>
      <c r="O1726" s="9">
        <f>HYPERLINK("https://www.google.com/maps/search/?api=1&amp;query=39.37123594,3.14764515", "https://www.google.com/maps/search/?api=1&amp;query=39.37123594,3.14764515")</f>
      </c>
      <c r="P1726" s="9" t="s">
        <v>258</v>
      </c>
      <c r="Q1726" s="9" t="s">
        <v>12544</v>
      </c>
    </row>
    <row r="1727" spans="1:17" x14ac:dyDescent="0.25">
      <c r="A1727" s="8" t="s">
        <v>12545</v>
      </c>
      <c r="B1727" s="8" t="s">
        <v>12546</v>
      </c>
      <c r="C1727" s="9" t="s">
        <v>12547</v>
      </c>
      <c r="D1727" s="9" t="s">
        <v>1192</v>
      </c>
      <c r="E1727" s="9" t="s">
        <v>12548</v>
      </c>
      <c r="F1727" s="10">
        <v>1.514</v>
      </c>
      <c r="G1727" s="10">
        <v>1.665</v>
      </c>
      <c r="H1727" s="10"/>
      <c r="I1727" s="9" t="s">
        <v>168</v>
      </c>
      <c r="J1727" s="9" t="s">
        <v>12549</v>
      </c>
      <c r="K1727" s="9" t="s">
        <v>12550</v>
      </c>
      <c r="L1727" s="8" t="s">
        <v>12551</v>
      </c>
      <c r="M1727" s="9" t="s">
        <v>49</v>
      </c>
      <c r="N1727" s="9" t="s">
        <v>12552</v>
      </c>
      <c r="O1727" s="9">
        <f>HYPERLINK("https://www.google.com/maps/search/?api=1&amp;query=39.27845573,-2.78513933", "https://www.google.com/maps/search/?api=1&amp;query=39.27845573,-2.78513933")</f>
      </c>
      <c r="P1727" s="9" t="s">
        <v>4309</v>
      </c>
      <c r="Q1727" s="9" t="s">
        <v>9868</v>
      </c>
    </row>
    <row r="1728" spans="1:17" x14ac:dyDescent="0.25">
      <c r="A1728" s="8" t="s">
        <v>12553</v>
      </c>
      <c r="B1728" s="8" t="s">
        <v>12554</v>
      </c>
      <c r="C1728" s="9" t="s">
        <v>12555</v>
      </c>
      <c r="D1728" s="9" t="s">
        <v>307</v>
      </c>
      <c r="E1728" s="9" t="s">
        <v>307</v>
      </c>
      <c r="F1728" s="10">
        <v>1.514</v>
      </c>
      <c r="G1728" s="10">
        <v>1.665</v>
      </c>
      <c r="H1728" s="10"/>
      <c r="I1728" s="9" t="s">
        <v>74</v>
      </c>
      <c r="J1728" s="9" t="s">
        <v>12556</v>
      </c>
      <c r="K1728" s="9" t="s">
        <v>12557</v>
      </c>
      <c r="L1728" s="8" t="s">
        <v>12558</v>
      </c>
      <c r="M1728" s="9" t="s">
        <v>49</v>
      </c>
      <c r="N1728" s="9" t="s">
        <v>7163</v>
      </c>
      <c r="O1728" s="9">
        <f>HYPERLINK("https://www.google.com/maps/search/?api=1&amp;query=41.52727779,-5.70003279", "https://www.google.com/maps/search/?api=1&amp;query=41.52727779,-5.70003279")</f>
      </c>
      <c r="P1728" s="9" t="s">
        <v>3134</v>
      </c>
      <c r="Q1728" s="9" t="s">
        <v>12559</v>
      </c>
    </row>
    <row r="1729" spans="1:17" x14ac:dyDescent="0.25">
      <c r="A1729" s="8" t="s">
        <v>12560</v>
      </c>
      <c r="B1729" s="8" t="s">
        <v>12561</v>
      </c>
      <c r="C1729" s="9" t="s">
        <v>12562</v>
      </c>
      <c r="D1729" s="9" t="s">
        <v>2050</v>
      </c>
      <c r="E1729" s="9" t="s">
        <v>12563</v>
      </c>
      <c r="F1729" s="10">
        <v>1.514</v>
      </c>
      <c r="G1729" s="10">
        <v>1.665</v>
      </c>
      <c r="H1729" s="10"/>
      <c r="I1729" s="9" t="s">
        <v>140</v>
      </c>
      <c r="J1729" s="9" t="s">
        <v>12564</v>
      </c>
      <c r="K1729" s="9" t="s">
        <v>12565</v>
      </c>
      <c r="L1729" s="8" t="s">
        <v>12566</v>
      </c>
      <c r="M1729" s="9" t="s">
        <v>49</v>
      </c>
      <c r="N1729" s="9" t="s">
        <v>339</v>
      </c>
      <c r="O1729" s="9">
        <f>HYPERLINK("https://www.google.com/maps/search/?api=1&amp;query=42.15878658,-7.94997276", "https://www.google.com/maps/search/?api=1&amp;query=42.15878658,-7.94997276")</f>
      </c>
      <c r="P1729" s="9" t="s">
        <v>296</v>
      </c>
      <c r="Q1729" s="9" t="s">
        <v>6009</v>
      </c>
    </row>
    <row r="1730" spans="1:17" x14ac:dyDescent="0.25">
      <c r="A1730" s="8" t="s">
        <v>12567</v>
      </c>
      <c r="B1730" s="8" t="s">
        <v>12568</v>
      </c>
      <c r="C1730" s="9" t="s">
        <v>12569</v>
      </c>
      <c r="D1730" s="9" t="s">
        <v>128</v>
      </c>
      <c r="E1730" s="9" t="s">
        <v>12570</v>
      </c>
      <c r="F1730" s="10">
        <v>1.514</v>
      </c>
      <c r="G1730" s="10">
        <v>1.665</v>
      </c>
      <c r="H1730" s="10"/>
      <c r="I1730" s="9" t="s">
        <v>45</v>
      </c>
      <c r="J1730" s="9" t="s">
        <v>12571</v>
      </c>
      <c r="K1730" s="9" t="s">
        <v>12572</v>
      </c>
      <c r="L1730" s="8" t="s">
        <v>12573</v>
      </c>
      <c r="M1730" s="9" t="s">
        <v>49</v>
      </c>
      <c r="N1730" s="9" t="s">
        <v>3234</v>
      </c>
      <c r="O1730" s="9">
        <f>HYPERLINK("https://www.google.com/maps/search/?api=1&amp;query=36.64950324,-5.93461997", "https://www.google.com/maps/search/?api=1&amp;query=36.64950324,-5.93461997")</f>
      </c>
      <c r="P1730" s="9" t="s">
        <v>1803</v>
      </c>
      <c r="Q1730" s="9" t="s">
        <v>112</v>
      </c>
    </row>
    <row r="1731" spans="1:17" x14ac:dyDescent="0.25">
      <c r="A1731" s="8" t="s">
        <v>12574</v>
      </c>
      <c r="B1731" s="8" t="s">
        <v>12575</v>
      </c>
      <c r="C1731" s="9" t="s">
        <v>12576</v>
      </c>
      <c r="D1731" s="9" t="s">
        <v>1617</v>
      </c>
      <c r="E1731" s="9" t="s">
        <v>12577</v>
      </c>
      <c r="F1731" s="10">
        <v>1.514</v>
      </c>
      <c r="G1731" s="10">
        <v>1.665</v>
      </c>
      <c r="H1731" s="10"/>
      <c r="I1731" s="9" t="s">
        <v>292</v>
      </c>
      <c r="J1731" s="9" t="s">
        <v>12578</v>
      </c>
      <c r="K1731" s="9" t="s">
        <v>12579</v>
      </c>
      <c r="L1731" s="8" t="s">
        <v>12580</v>
      </c>
      <c r="M1731" s="9" t="s">
        <v>49</v>
      </c>
      <c r="N1731" s="9" t="s">
        <v>37</v>
      </c>
      <c r="O1731" s="9">
        <f>HYPERLINK("https://www.google.com/maps/search/?api=1&amp;query=42.66122672,0.20955097", "https://www.google.com/maps/search/?api=1&amp;query=42.66122672,0.20955097")</f>
      </c>
      <c r="P1731" s="9" t="s">
        <v>12581</v>
      </c>
      <c r="Q1731" s="9" t="s">
        <v>12582</v>
      </c>
    </row>
    <row r="1732" spans="1:17" x14ac:dyDescent="0.25">
      <c r="A1732" s="8" t="s">
        <v>12583</v>
      </c>
      <c r="B1732" s="8" t="s">
        <v>12584</v>
      </c>
      <c r="C1732" s="9" t="s">
        <v>12585</v>
      </c>
      <c r="D1732" s="9" t="s">
        <v>83</v>
      </c>
      <c r="E1732" s="9" t="s">
        <v>12586</v>
      </c>
      <c r="F1732" s="10">
        <v>1.514</v>
      </c>
      <c r="G1732" s="10">
        <v>1.665</v>
      </c>
      <c r="H1732" s="10"/>
      <c r="I1732" s="9" t="s">
        <v>83</v>
      </c>
      <c r="J1732" s="9" t="s">
        <v>12587</v>
      </c>
      <c r="K1732" s="9" t="s">
        <v>12588</v>
      </c>
      <c r="L1732" s="8" t="s">
        <v>12589</v>
      </c>
      <c r="M1732" s="9" t="s">
        <v>36</v>
      </c>
      <c r="N1732" s="9" t="s">
        <v>88</v>
      </c>
      <c r="O1732" s="9">
        <f>HYPERLINK("https://www.google.com/maps/search/?api=1&amp;query=40.36529807,-3.24392925", "https://www.google.com/maps/search/?api=1&amp;query=40.36529807,-3.24392925")</f>
      </c>
      <c r="P1732" s="9" t="s">
        <v>3530</v>
      </c>
      <c r="Q1732" s="9" t="s">
        <v>4404</v>
      </c>
    </row>
    <row r="1733" spans="1:17" x14ac:dyDescent="0.25">
      <c r="A1733" s="8" t="s">
        <v>12590</v>
      </c>
      <c r="B1733" s="8" t="s">
        <v>12591</v>
      </c>
      <c r="C1733" s="9" t="s">
        <v>12592</v>
      </c>
      <c r="D1733" s="9" t="s">
        <v>197</v>
      </c>
      <c r="E1733" s="9" t="s">
        <v>3615</v>
      </c>
      <c r="F1733" s="10">
        <v>1.514</v>
      </c>
      <c r="G1733" s="10">
        <v>1.665</v>
      </c>
      <c r="H1733" s="10"/>
      <c r="I1733" s="9" t="s">
        <v>168</v>
      </c>
      <c r="J1733" s="9" t="s">
        <v>12593</v>
      </c>
      <c r="K1733" s="9" t="s">
        <v>12594</v>
      </c>
      <c r="L1733" s="8" t="s">
        <v>3618</v>
      </c>
      <c r="M1733" s="9" t="s">
        <v>49</v>
      </c>
      <c r="N1733" s="9" t="s">
        <v>37</v>
      </c>
      <c r="O1733" s="9">
        <f>HYPERLINK("https://www.google.com/maps/search/?api=1&amp;query=39.96196917,-4.81858378", "https://www.google.com/maps/search/?api=1&amp;query=39.96196917,-4.81858378")</f>
      </c>
      <c r="P1733" s="9" t="s">
        <v>3165</v>
      </c>
      <c r="Q1733" s="9" t="s">
        <v>9899</v>
      </c>
    </row>
    <row r="1734" spans="1:17" x14ac:dyDescent="0.25">
      <c r="A1734" s="8" t="s">
        <v>12595</v>
      </c>
      <c r="B1734" s="8" t="s">
        <v>12596</v>
      </c>
      <c r="C1734" s="9" t="s">
        <v>12597</v>
      </c>
      <c r="D1734" s="9" t="s">
        <v>434</v>
      </c>
      <c r="E1734" s="9" t="s">
        <v>12598</v>
      </c>
      <c r="F1734" s="10">
        <v>1.514</v>
      </c>
      <c r="G1734" s="10">
        <v>1.665</v>
      </c>
      <c r="H1734" s="10"/>
      <c r="I1734" s="9" t="s">
        <v>96</v>
      </c>
      <c r="J1734" s="9" t="s">
        <v>12599</v>
      </c>
      <c r="K1734" s="9" t="s">
        <v>12600</v>
      </c>
      <c r="L1734" s="8" t="s">
        <v>12601</v>
      </c>
      <c r="M1734" s="9" t="s">
        <v>36</v>
      </c>
      <c r="N1734" s="9" t="s">
        <v>88</v>
      </c>
      <c r="O1734" s="9">
        <f>HYPERLINK("https://www.google.com/maps/search/?api=1&amp;query=42.30422426,2.35905472", "https://www.google.com/maps/search/?api=1&amp;query=42.30422426,2.35905472")</f>
      </c>
      <c r="P1734" s="9" t="s">
        <v>12602</v>
      </c>
      <c r="Q1734" s="9" t="s">
        <v>1534</v>
      </c>
    </row>
    <row r="1735" spans="1:17" x14ac:dyDescent="0.25">
      <c r="A1735" s="8" t="s">
        <v>12603</v>
      </c>
      <c r="B1735" s="8" t="s">
        <v>12604</v>
      </c>
      <c r="C1735" s="9" t="s">
        <v>12605</v>
      </c>
      <c r="D1735" s="9" t="s">
        <v>106</v>
      </c>
      <c r="E1735" s="9" t="s">
        <v>12606</v>
      </c>
      <c r="F1735" s="10">
        <v>1.514</v>
      </c>
      <c r="G1735" s="10">
        <v>1.665</v>
      </c>
      <c r="H1735" s="10"/>
      <c r="I1735" s="9" t="s">
        <v>106</v>
      </c>
      <c r="J1735" s="9" t="s">
        <v>12607</v>
      </c>
      <c r="K1735" s="9" t="s">
        <v>12608</v>
      </c>
      <c r="L1735" s="8" t="s">
        <v>12609</v>
      </c>
      <c r="M1735" s="9" t="s">
        <v>49</v>
      </c>
      <c r="N1735" s="9" t="s">
        <v>592</v>
      </c>
      <c r="O1735" s="9">
        <f>HYPERLINK("https://www.google.com/maps/search/?api=1&amp;query=37.58108964,-1.73415259", "https://www.google.com/maps/search/?api=1&amp;query=37.58108964,-1.73415259")</f>
      </c>
      <c r="P1735" s="9" t="s">
        <v>12610</v>
      </c>
      <c r="Q1735" s="9" t="s">
        <v>1742</v>
      </c>
    </row>
    <row r="1736" spans="1:17" x14ac:dyDescent="0.25">
      <c r="A1736" s="8" t="s">
        <v>12611</v>
      </c>
      <c r="B1736" s="8" t="s">
        <v>12612</v>
      </c>
      <c r="C1736" s="9" t="s">
        <v>12613</v>
      </c>
      <c r="D1736" s="9" t="s">
        <v>43</v>
      </c>
      <c r="E1736" s="9" t="s">
        <v>12614</v>
      </c>
      <c r="F1736" s="10">
        <v>1.514</v>
      </c>
      <c r="G1736" s="10">
        <v>1.665</v>
      </c>
      <c r="H1736" s="10"/>
      <c r="I1736" s="9" t="s">
        <v>45</v>
      </c>
      <c r="J1736" s="9" t="s">
        <v>12615</v>
      </c>
      <c r="K1736" s="9" t="s">
        <v>12616</v>
      </c>
      <c r="L1736" s="8" t="s">
        <v>12617</v>
      </c>
      <c r="M1736" s="9" t="s">
        <v>100</v>
      </c>
      <c r="N1736" s="9" t="s">
        <v>3164</v>
      </c>
      <c r="O1736" s="9">
        <f>HYPERLINK("https://www.google.com/maps/search/?api=1&amp;query=37.26507691,-6.83888465", "https://www.google.com/maps/search/?api=1&amp;query=37.26507691,-6.83888465")</f>
      </c>
      <c r="P1736" s="9" t="s">
        <v>56</v>
      </c>
      <c r="Q1736" s="9" t="s">
        <v>9992</v>
      </c>
    </row>
    <row r="1737" spans="1:17" x14ac:dyDescent="0.25">
      <c r="A1737" s="8" t="s">
        <v>12618</v>
      </c>
      <c r="B1737" s="8" t="s">
        <v>12619</v>
      </c>
      <c r="C1737" s="9" t="s">
        <v>12620</v>
      </c>
      <c r="D1737" s="9" t="s">
        <v>61</v>
      </c>
      <c r="E1737" s="9" t="s">
        <v>12621</v>
      </c>
      <c r="F1737" s="10">
        <v>1.514</v>
      </c>
      <c r="G1737" s="10">
        <v>1.665</v>
      </c>
      <c r="H1737" s="10"/>
      <c r="I1737" s="9" t="s">
        <v>45</v>
      </c>
      <c r="J1737" s="9" t="s">
        <v>12622</v>
      </c>
      <c r="K1737" s="9" t="s">
        <v>12623</v>
      </c>
      <c r="L1737" s="8" t="s">
        <v>12624</v>
      </c>
      <c r="M1737" s="9" t="s">
        <v>36</v>
      </c>
      <c r="N1737" s="9" t="s">
        <v>12625</v>
      </c>
      <c r="O1737" s="9">
        <f>HYPERLINK("https://www.google.com/maps/search/?api=1&amp;query=37.58330651,-5.78622251", "https://www.google.com/maps/search/?api=1&amp;query=37.58330651,-5.78622251")</f>
      </c>
      <c r="P1737" s="9" t="s">
        <v>9840</v>
      </c>
      <c r="Q1737" s="9" t="s">
        <v>12626</v>
      </c>
    </row>
    <row r="1738" spans="1:17" x14ac:dyDescent="0.25">
      <c r="A1738" s="8" t="s">
        <v>12627</v>
      </c>
      <c r="B1738" s="8" t="s">
        <v>12628</v>
      </c>
      <c r="C1738" s="9" t="s">
        <v>12629</v>
      </c>
      <c r="D1738" s="9" t="s">
        <v>1434</v>
      </c>
      <c r="E1738" s="9" t="s">
        <v>11334</v>
      </c>
      <c r="F1738" s="10">
        <v>1.514</v>
      </c>
      <c r="G1738" s="10">
        <v>1.665</v>
      </c>
      <c r="H1738" s="10"/>
      <c r="I1738" s="9" t="s">
        <v>1434</v>
      </c>
      <c r="J1738" s="9" t="s">
        <v>12630</v>
      </c>
      <c r="K1738" s="9" t="s">
        <v>12631</v>
      </c>
      <c r="L1738" s="8" t="s">
        <v>11337</v>
      </c>
      <c r="M1738" s="9" t="s">
        <v>49</v>
      </c>
      <c r="N1738" s="9" t="s">
        <v>12632</v>
      </c>
      <c r="O1738" s="9">
        <f>HYPERLINK("https://www.google.com/maps/search/?api=1&amp;query=42.1786833,-1.7566", "https://www.google.com/maps/search/?api=1&amp;query=42.1786833,-1.7566")</f>
      </c>
      <c r="P1738" s="9" t="s">
        <v>172</v>
      </c>
      <c r="Q1738" s="9" t="s">
        <v>1131</v>
      </c>
    </row>
    <row r="1739" spans="1:17" x14ac:dyDescent="0.25">
      <c r="A1739" s="8" t="s">
        <v>12633</v>
      </c>
      <c r="B1739" s="8" t="s">
        <v>12634</v>
      </c>
      <c r="C1739" s="9" t="s">
        <v>12635</v>
      </c>
      <c r="D1739" s="9" t="s">
        <v>892</v>
      </c>
      <c r="E1739" s="9" t="s">
        <v>12636</v>
      </c>
      <c r="F1739" s="10">
        <v>1.514</v>
      </c>
      <c r="G1739" s="10">
        <v>1.665</v>
      </c>
      <c r="H1739" s="10"/>
      <c r="I1739" s="9" t="s">
        <v>32</v>
      </c>
      <c r="J1739" s="9" t="s">
        <v>12637</v>
      </c>
      <c r="K1739" s="9" t="s">
        <v>12638</v>
      </c>
      <c r="L1739" s="8" t="s">
        <v>12639</v>
      </c>
      <c r="M1739" s="9" t="s">
        <v>49</v>
      </c>
      <c r="N1739" s="9" t="s">
        <v>211</v>
      </c>
      <c r="O1739" s="9">
        <f>HYPERLINK("https://www.google.com/maps/search/?api=1&amp;query=40.14256185,-6.04340423", "https://www.google.com/maps/search/?api=1&amp;query=40.14256185,-6.04340423")</f>
      </c>
      <c r="P1739" s="9" t="s">
        <v>38</v>
      </c>
      <c r="Q1739" s="9" t="s">
        <v>12640</v>
      </c>
    </row>
    <row r="1740" spans="1:17" x14ac:dyDescent="0.25">
      <c r="A1740" s="8" t="s">
        <v>12641</v>
      </c>
      <c r="B1740" s="8" t="s">
        <v>12642</v>
      </c>
      <c r="C1740" s="9" t="s">
        <v>12643</v>
      </c>
      <c r="D1740" s="9" t="s">
        <v>83</v>
      </c>
      <c r="E1740" s="9" t="s">
        <v>1072</v>
      </c>
      <c r="F1740" s="10">
        <v>1.514</v>
      </c>
      <c r="G1740" s="10">
        <v>1.665</v>
      </c>
      <c r="H1740" s="10"/>
      <c r="I1740" s="9" t="s">
        <v>83</v>
      </c>
      <c r="J1740" s="9" t="s">
        <v>12644</v>
      </c>
      <c r="K1740" s="9" t="s">
        <v>12645</v>
      </c>
      <c r="L1740" s="8" t="s">
        <v>1075</v>
      </c>
      <c r="M1740" s="9" t="s">
        <v>49</v>
      </c>
      <c r="N1740" s="9" t="s">
        <v>37</v>
      </c>
      <c r="O1740" s="9">
        <f>HYPERLINK("https://www.google.com/maps/search/?api=1&amp;query=40.61504411,-3.70285871", "https://www.google.com/maps/search/?api=1&amp;query=40.61504411,-3.70285871")</f>
      </c>
      <c r="P1740" s="9" t="s">
        <v>349</v>
      </c>
      <c r="Q1740" s="9" t="s">
        <v>12646</v>
      </c>
    </row>
    <row r="1741" spans="1:17" x14ac:dyDescent="0.25">
      <c r="A1741" s="8" t="s">
        <v>12647</v>
      </c>
      <c r="B1741" s="8" t="s">
        <v>12648</v>
      </c>
      <c r="C1741" s="9" t="s">
        <v>12649</v>
      </c>
      <c r="D1741" s="9" t="s">
        <v>106</v>
      </c>
      <c r="E1741" s="9" t="s">
        <v>12650</v>
      </c>
      <c r="F1741" s="10">
        <v>1.514</v>
      </c>
      <c r="G1741" s="10">
        <v>1.665</v>
      </c>
      <c r="H1741" s="10"/>
      <c r="I1741" s="9" t="s">
        <v>106</v>
      </c>
      <c r="J1741" s="9" t="s">
        <v>12651</v>
      </c>
      <c r="K1741" s="9" t="s">
        <v>12652</v>
      </c>
      <c r="L1741" s="8" t="s">
        <v>12653</v>
      </c>
      <c r="M1741" s="9" t="s">
        <v>49</v>
      </c>
      <c r="N1741" s="9" t="s">
        <v>211</v>
      </c>
      <c r="O1741" s="9">
        <f>HYPERLINK("https://www.google.com/maps/search/?api=1&amp;query=37.5991292,-0.80603968", "https://www.google.com/maps/search/?api=1&amp;query=37.5991292,-0.80603968")</f>
      </c>
      <c r="P1741" s="9" t="s">
        <v>2366</v>
      </c>
      <c r="Q1741" s="9" t="s">
        <v>4260</v>
      </c>
    </row>
    <row r="1742" spans="1:17" x14ac:dyDescent="0.25">
      <c r="A1742" s="8" t="s">
        <v>12654</v>
      </c>
      <c r="B1742" s="8" t="s">
        <v>12655</v>
      </c>
      <c r="C1742" s="9" t="s">
        <v>12656</v>
      </c>
      <c r="D1742" s="9" t="s">
        <v>631</v>
      </c>
      <c r="E1742" s="9" t="s">
        <v>12657</v>
      </c>
      <c r="F1742" s="10">
        <v>1.514</v>
      </c>
      <c r="G1742" s="10">
        <v>1.665</v>
      </c>
      <c r="H1742" s="10"/>
      <c r="I1742" s="9" t="s">
        <v>45</v>
      </c>
      <c r="J1742" s="9" t="s">
        <v>12658</v>
      </c>
      <c r="K1742" s="9" t="s">
        <v>12659</v>
      </c>
      <c r="L1742" s="8" t="s">
        <v>12660</v>
      </c>
      <c r="M1742" s="9" t="s">
        <v>49</v>
      </c>
      <c r="N1742" s="9" t="s">
        <v>88</v>
      </c>
      <c r="O1742" s="9">
        <f>HYPERLINK("https://www.google.com/maps/search/?api=1&amp;query=38.025111,-4.5185", "https://www.google.com/maps/search/?api=1&amp;query=38.025111,-4.5185")</f>
      </c>
      <c r="P1742" s="9" t="s">
        <v>7548</v>
      </c>
      <c r="Q1742" s="9" t="s">
        <v>10317</v>
      </c>
    </row>
    <row r="1743" spans="1:17" x14ac:dyDescent="0.25">
      <c r="A1743" s="8" t="s">
        <v>12661</v>
      </c>
      <c r="B1743" s="8" t="s">
        <v>12662</v>
      </c>
      <c r="C1743" s="9" t="s">
        <v>12663</v>
      </c>
      <c r="D1743" s="9" t="s">
        <v>83</v>
      </c>
      <c r="E1743" s="9" t="s">
        <v>3085</v>
      </c>
      <c r="F1743" s="10">
        <v>1.514</v>
      </c>
      <c r="G1743" s="10">
        <v>1.665</v>
      </c>
      <c r="H1743" s="10"/>
      <c r="I1743" s="9" t="s">
        <v>83</v>
      </c>
      <c r="J1743" s="9" t="s">
        <v>12664</v>
      </c>
      <c r="K1743" s="9" t="s">
        <v>12665</v>
      </c>
      <c r="L1743" s="8" t="s">
        <v>3088</v>
      </c>
      <c r="M1743" s="9" t="s">
        <v>36</v>
      </c>
      <c r="N1743" s="9" t="s">
        <v>37</v>
      </c>
      <c r="O1743" s="9">
        <f>HYPERLINK("https://www.google.com/maps/search/?api=1&amp;query=40.26462548,-3.69242148", "https://www.google.com/maps/search/?api=1&amp;query=40.26462548,-3.69242148")</f>
      </c>
      <c r="P1743" s="9" t="s">
        <v>4439</v>
      </c>
      <c r="Q1743" s="9" t="s">
        <v>12666</v>
      </c>
    </row>
    <row r="1744" spans="1:17" x14ac:dyDescent="0.25">
      <c r="A1744" s="8" t="s">
        <v>12667</v>
      </c>
      <c r="B1744" s="8" t="s">
        <v>12668</v>
      </c>
      <c r="C1744" s="9" t="s">
        <v>12669</v>
      </c>
      <c r="D1744" s="9" t="s">
        <v>138</v>
      </c>
      <c r="E1744" s="9" t="s">
        <v>12670</v>
      </c>
      <c r="F1744" s="10">
        <v>1.514</v>
      </c>
      <c r="G1744" s="10">
        <v>1.665</v>
      </c>
      <c r="H1744" s="10"/>
      <c r="I1744" s="9" t="s">
        <v>140</v>
      </c>
      <c r="J1744" s="9" t="s">
        <v>12671</v>
      </c>
      <c r="K1744" s="9" t="s">
        <v>12672</v>
      </c>
      <c r="L1744" s="8" t="s">
        <v>12673</v>
      </c>
      <c r="M1744" s="9" t="s">
        <v>36</v>
      </c>
      <c r="N1744" s="9" t="s">
        <v>37</v>
      </c>
      <c r="O1744" s="9">
        <f>HYPERLINK("https://www.google.com/maps/search/?api=1&amp;query=41.91213583,-8.85123364", "https://www.google.com/maps/search/?api=1&amp;query=41.91213583,-8.85123364")</f>
      </c>
      <c r="P1744" s="9" t="s">
        <v>646</v>
      </c>
      <c r="Q1744" s="9" t="s">
        <v>12674</v>
      </c>
    </row>
    <row r="1745" spans="1:17" x14ac:dyDescent="0.25">
      <c r="A1745" s="8" t="s">
        <v>12675</v>
      </c>
      <c r="B1745" s="8" t="s">
        <v>12676</v>
      </c>
      <c r="C1745" s="9" t="s">
        <v>9559</v>
      </c>
      <c r="D1745" s="9" t="s">
        <v>398</v>
      </c>
      <c r="E1745" s="9" t="s">
        <v>12677</v>
      </c>
      <c r="F1745" s="10">
        <v>1.514</v>
      </c>
      <c r="G1745" s="10">
        <v>1.665</v>
      </c>
      <c r="H1745" s="10"/>
      <c r="I1745" s="9" t="s">
        <v>400</v>
      </c>
      <c r="J1745" s="9" t="s">
        <v>12678</v>
      </c>
      <c r="K1745" s="9" t="s">
        <v>12679</v>
      </c>
      <c r="L1745" s="8" t="s">
        <v>12680</v>
      </c>
      <c r="M1745" s="9" t="s">
        <v>100</v>
      </c>
      <c r="N1745" s="9" t="s">
        <v>12681</v>
      </c>
      <c r="O1745" s="9">
        <f>HYPERLINK("https://www.google.com/maps/search/?api=1&amp;query=38.10701381,-0.86473397", "https://www.google.com/maps/search/?api=1&amp;query=38.10701381,-0.86473397")</f>
      </c>
      <c r="P1745" s="9" t="s">
        <v>8200</v>
      </c>
      <c r="Q1745" s="9" t="s">
        <v>2018</v>
      </c>
    </row>
    <row r="1746" spans="1:17" x14ac:dyDescent="0.25">
      <c r="A1746" s="8" t="s">
        <v>12682</v>
      </c>
      <c r="B1746" s="8" t="s">
        <v>12683</v>
      </c>
      <c r="C1746" s="9" t="s">
        <v>12684</v>
      </c>
      <c r="D1746" s="9" t="s">
        <v>344</v>
      </c>
      <c r="E1746" s="9" t="s">
        <v>12685</v>
      </c>
      <c r="F1746" s="10">
        <v>1.514</v>
      </c>
      <c r="G1746" s="10">
        <v>1.665</v>
      </c>
      <c r="H1746" s="10"/>
      <c r="I1746" s="9" t="s">
        <v>140</v>
      </c>
      <c r="J1746" s="9" t="s">
        <v>12686</v>
      </c>
      <c r="K1746" s="9" t="s">
        <v>12687</v>
      </c>
      <c r="L1746" s="8" t="s">
        <v>12688</v>
      </c>
      <c r="M1746" s="9" t="s">
        <v>49</v>
      </c>
      <c r="N1746" s="9" t="s">
        <v>211</v>
      </c>
      <c r="O1746" s="9">
        <f>HYPERLINK("https://www.google.com/maps/search/?api=1&amp;query=42.93019962,-8.14494867", "https://www.google.com/maps/search/?api=1&amp;query=42.93019962,-8.14494867")</f>
      </c>
      <c r="P1746" s="9" t="s">
        <v>12689</v>
      </c>
      <c r="Q1746" s="9" t="s">
        <v>12690</v>
      </c>
    </row>
    <row r="1747" spans="1:17" x14ac:dyDescent="0.25">
      <c r="A1747" s="8" t="s">
        <v>12691</v>
      </c>
      <c r="B1747" s="8" t="s">
        <v>12692</v>
      </c>
      <c r="C1747" s="9" t="s">
        <v>12693</v>
      </c>
      <c r="D1747" s="9" t="s">
        <v>43</v>
      </c>
      <c r="E1747" s="9" t="s">
        <v>12694</v>
      </c>
      <c r="F1747" s="10">
        <v>1.514</v>
      </c>
      <c r="G1747" s="10">
        <v>1.665</v>
      </c>
      <c r="H1747" s="10"/>
      <c r="I1747" s="9" t="s">
        <v>45</v>
      </c>
      <c r="J1747" s="9" t="s">
        <v>12695</v>
      </c>
      <c r="K1747" s="9" t="s">
        <v>12696</v>
      </c>
      <c r="L1747" s="8" t="s">
        <v>12697</v>
      </c>
      <c r="M1747" s="9" t="s">
        <v>49</v>
      </c>
      <c r="N1747" s="9" t="s">
        <v>211</v>
      </c>
      <c r="O1747" s="9">
        <f>HYPERLINK("https://www.google.com/maps/search/?api=1&amp;query=37.35143254,-6.67621917", "https://www.google.com/maps/search/?api=1&amp;query=37.35143254,-6.67621917")</f>
      </c>
      <c r="P1747" s="9" t="s">
        <v>7900</v>
      </c>
      <c r="Q1747" s="9" t="s">
        <v>12698</v>
      </c>
    </row>
    <row r="1748" spans="1:17" x14ac:dyDescent="0.25">
      <c r="A1748" s="8" t="s">
        <v>12699</v>
      </c>
      <c r="B1748" s="8" t="s">
        <v>12700</v>
      </c>
      <c r="C1748" s="9" t="s">
        <v>12701</v>
      </c>
      <c r="D1748" s="9" t="s">
        <v>444</v>
      </c>
      <c r="E1748" s="9" t="s">
        <v>12702</v>
      </c>
      <c r="F1748" s="10">
        <v>1.514</v>
      </c>
      <c r="G1748" s="10">
        <v>1.665</v>
      </c>
      <c r="H1748" s="10"/>
      <c r="I1748" s="9" t="s">
        <v>444</v>
      </c>
      <c r="J1748" s="9" t="s">
        <v>12703</v>
      </c>
      <c r="K1748" s="9" t="s">
        <v>12704</v>
      </c>
      <c r="L1748" s="8" t="s">
        <v>12705</v>
      </c>
      <c r="M1748" s="9" t="s">
        <v>49</v>
      </c>
      <c r="N1748" s="9" t="s">
        <v>37</v>
      </c>
      <c r="O1748" s="9">
        <f>HYPERLINK("https://www.google.com/maps/search/?api=1&amp;query=43.55805576,-6.28359381", "https://www.google.com/maps/search/?api=1&amp;query=43.55805576,-6.28359381")</f>
      </c>
      <c r="P1748" s="9" t="s">
        <v>965</v>
      </c>
      <c r="Q1748" s="9" t="s">
        <v>12706</v>
      </c>
    </row>
    <row r="1749" spans="1:17" x14ac:dyDescent="0.25">
      <c r="A1749" s="8" t="s">
        <v>12707</v>
      </c>
      <c r="B1749" s="8" t="s">
        <v>12708</v>
      </c>
      <c r="C1749" s="9" t="s">
        <v>12709</v>
      </c>
      <c r="D1749" s="9" t="s">
        <v>344</v>
      </c>
      <c r="E1749" s="9" t="s">
        <v>12710</v>
      </c>
      <c r="F1749" s="10">
        <v>1.514</v>
      </c>
      <c r="G1749" s="10">
        <v>1.665</v>
      </c>
      <c r="H1749" s="10"/>
      <c r="I1749" s="9" t="s">
        <v>140</v>
      </c>
      <c r="J1749" s="9" t="s">
        <v>12711</v>
      </c>
      <c r="K1749" s="9" t="s">
        <v>12712</v>
      </c>
      <c r="L1749" s="8" t="s">
        <v>12713</v>
      </c>
      <c r="M1749" s="9" t="s">
        <v>49</v>
      </c>
      <c r="N1749" s="9" t="s">
        <v>12714</v>
      </c>
      <c r="O1749" s="9">
        <f>HYPERLINK("https://www.google.com/maps/search/?api=1&amp;query=42.67936693,-8.81991715", "https://www.google.com/maps/search/?api=1&amp;query=42.67936693,-8.81991715")</f>
      </c>
      <c r="P1749" s="9" t="s">
        <v>2213</v>
      </c>
      <c r="Q1749" s="9" t="s">
        <v>11593</v>
      </c>
    </row>
    <row r="1750" spans="1:17" x14ac:dyDescent="0.25">
      <c r="A1750" s="8" t="s">
        <v>12715</v>
      </c>
      <c r="B1750" s="8" t="s">
        <v>12716</v>
      </c>
      <c r="C1750" s="9" t="s">
        <v>12717</v>
      </c>
      <c r="D1750" s="9" t="s">
        <v>424</v>
      </c>
      <c r="E1750" s="9" t="s">
        <v>12718</v>
      </c>
      <c r="F1750" s="10">
        <v>1.514</v>
      </c>
      <c r="G1750" s="10">
        <v>1.665</v>
      </c>
      <c r="H1750" s="10"/>
      <c r="I1750" s="9" t="s">
        <v>96</v>
      </c>
      <c r="J1750" s="9" t="s">
        <v>12719</v>
      </c>
      <c r="K1750" s="9" t="s">
        <v>12720</v>
      </c>
      <c r="L1750" s="8" t="s">
        <v>12721</v>
      </c>
      <c r="M1750" s="9" t="s">
        <v>36</v>
      </c>
      <c r="N1750" s="9" t="s">
        <v>1695</v>
      </c>
      <c r="O1750" s="9">
        <f>HYPERLINK("https://www.google.com/maps/search/?api=1&amp;query=42.83237197,0.72929786", "https://www.google.com/maps/search/?api=1&amp;query=42.83237197,0.72929786")</f>
      </c>
      <c r="P1750" s="9" t="s">
        <v>12722</v>
      </c>
      <c r="Q1750" s="9" t="s">
        <v>12723</v>
      </c>
    </row>
    <row r="1751" spans="1:17" x14ac:dyDescent="0.25">
      <c r="A1751" s="8" t="s">
        <v>6197</v>
      </c>
      <c r="B1751" s="8" t="s">
        <v>12724</v>
      </c>
      <c r="C1751" s="9" t="s">
        <v>12725</v>
      </c>
      <c r="D1751" s="9" t="s">
        <v>488</v>
      </c>
      <c r="E1751" s="9" t="s">
        <v>12726</v>
      </c>
      <c r="F1751" s="10">
        <v>1.514</v>
      </c>
      <c r="G1751" s="10">
        <v>1.665</v>
      </c>
      <c r="H1751" s="10"/>
      <c r="I1751" s="9" t="s">
        <v>45</v>
      </c>
      <c r="J1751" s="9" t="s">
        <v>12727</v>
      </c>
      <c r="K1751" s="9" t="s">
        <v>12728</v>
      </c>
      <c r="L1751" s="8" t="s">
        <v>12729</v>
      </c>
      <c r="M1751" s="9" t="s">
        <v>49</v>
      </c>
      <c r="N1751" s="9" t="s">
        <v>122</v>
      </c>
      <c r="O1751" s="9">
        <f>HYPERLINK("https://www.google.com/maps/search/?api=1&amp;query=37.93833702,-4.06695279", "https://www.google.com/maps/search/?api=1&amp;query=37.93833702,-4.06695279")</f>
      </c>
      <c r="P1751" s="9" t="s">
        <v>12730</v>
      </c>
      <c r="Q1751" s="9" t="s">
        <v>1742</v>
      </c>
    </row>
    <row r="1752" spans="1:17" x14ac:dyDescent="0.25">
      <c r="A1752" s="8" t="s">
        <v>12731</v>
      </c>
      <c r="B1752" s="8" t="s">
        <v>12732</v>
      </c>
      <c r="C1752" s="9" t="s">
        <v>12733</v>
      </c>
      <c r="D1752" s="9" t="s">
        <v>398</v>
      </c>
      <c r="E1752" s="9" t="s">
        <v>4488</v>
      </c>
      <c r="F1752" s="10">
        <v>1.514</v>
      </c>
      <c r="G1752" s="10">
        <v>1.665</v>
      </c>
      <c r="H1752" s="10"/>
      <c r="I1752" s="9" t="s">
        <v>400</v>
      </c>
      <c r="J1752" s="9" t="s">
        <v>12734</v>
      </c>
      <c r="K1752" s="9" t="s">
        <v>12735</v>
      </c>
      <c r="L1752" s="8" t="s">
        <v>4491</v>
      </c>
      <c r="M1752" s="9" t="s">
        <v>36</v>
      </c>
      <c r="N1752" s="9" t="s">
        <v>88</v>
      </c>
      <c r="O1752" s="9">
        <f>HYPERLINK("https://www.google.com/maps/search/?api=1&amp;query=38.09943114,-0.66376846", "https://www.google.com/maps/search/?api=1&amp;query=38.09943114,-0.66376846")</f>
      </c>
      <c r="P1752" s="9" t="s">
        <v>1894</v>
      </c>
      <c r="Q1752" s="9" t="s">
        <v>12736</v>
      </c>
    </row>
    <row r="1753" spans="1:17" x14ac:dyDescent="0.25">
      <c r="A1753" s="8" t="s">
        <v>12737</v>
      </c>
      <c r="B1753" s="8" t="s">
        <v>12738</v>
      </c>
      <c r="C1753" s="9" t="s">
        <v>12739</v>
      </c>
      <c r="D1753" s="9" t="s">
        <v>2288</v>
      </c>
      <c r="E1753" s="9" t="s">
        <v>12740</v>
      </c>
      <c r="F1753" s="10">
        <v>1.514</v>
      </c>
      <c r="G1753" s="10">
        <v>1.665</v>
      </c>
      <c r="H1753" s="10"/>
      <c r="I1753" s="9" t="s">
        <v>168</v>
      </c>
      <c r="J1753" s="9" t="s">
        <v>12741</v>
      </c>
      <c r="K1753" s="9" t="s">
        <v>12742</v>
      </c>
      <c r="L1753" s="8" t="s">
        <v>12743</v>
      </c>
      <c r="M1753" s="9" t="s">
        <v>49</v>
      </c>
      <c r="N1753" s="9" t="s">
        <v>12744</v>
      </c>
      <c r="O1753" s="9">
        <f>HYPERLINK("https://www.google.com/maps/search/?api=1&amp;query=38.95335352,-2.53503207", "https://www.google.com/maps/search/?api=1&amp;query=38.95335352,-2.53503207")</f>
      </c>
      <c r="P1753" s="9" t="s">
        <v>1423</v>
      </c>
      <c r="Q1753" s="9" t="s">
        <v>1742</v>
      </c>
    </row>
    <row r="1754" spans="1:17" x14ac:dyDescent="0.25">
      <c r="A1754" s="8" t="s">
        <v>12745</v>
      </c>
      <c r="B1754" s="8" t="s">
        <v>12746</v>
      </c>
      <c r="C1754" s="9" t="s">
        <v>12747</v>
      </c>
      <c r="D1754" s="9" t="s">
        <v>83</v>
      </c>
      <c r="E1754" s="9" t="s">
        <v>2891</v>
      </c>
      <c r="F1754" s="10">
        <v>1.514</v>
      </c>
      <c r="G1754" s="10">
        <v>1.665</v>
      </c>
      <c r="H1754" s="10"/>
      <c r="I1754" s="9" t="s">
        <v>83</v>
      </c>
      <c r="J1754" s="9" t="s">
        <v>12748</v>
      </c>
      <c r="K1754" s="9" t="s">
        <v>12749</v>
      </c>
      <c r="L1754" s="8" t="s">
        <v>2894</v>
      </c>
      <c r="M1754" s="9" t="s">
        <v>49</v>
      </c>
      <c r="N1754" s="9" t="s">
        <v>483</v>
      </c>
      <c r="O1754" s="9">
        <f>HYPERLINK("https://www.google.com/maps/search/?api=1&amp;query=40.48751088,-3.35810593", "https://www.google.com/maps/search/?api=1&amp;query=40.48751088,-3.35810593")</f>
      </c>
      <c r="P1754" s="9" t="s">
        <v>172</v>
      </c>
      <c r="Q1754" s="9" t="s">
        <v>102</v>
      </c>
    </row>
    <row r="1755" spans="1:17" x14ac:dyDescent="0.25">
      <c r="A1755" s="8" t="s">
        <v>12750</v>
      </c>
      <c r="B1755" s="8" t="s">
        <v>12751</v>
      </c>
      <c r="C1755" s="9" t="s">
        <v>12752</v>
      </c>
      <c r="D1755" s="9" t="s">
        <v>400</v>
      </c>
      <c r="E1755" s="9" t="s">
        <v>400</v>
      </c>
      <c r="F1755" s="10">
        <v>1.514</v>
      </c>
      <c r="G1755" s="10">
        <v>1.665</v>
      </c>
      <c r="H1755" s="10"/>
      <c r="I1755" s="9" t="s">
        <v>400</v>
      </c>
      <c r="J1755" s="9" t="s">
        <v>12753</v>
      </c>
      <c r="K1755" s="9" t="s">
        <v>12754</v>
      </c>
      <c r="L1755" s="8" t="s">
        <v>12755</v>
      </c>
      <c r="M1755" s="9" t="s">
        <v>49</v>
      </c>
      <c r="N1755" s="9" t="s">
        <v>12756</v>
      </c>
      <c r="O1755" s="9">
        <f>HYPERLINK("https://www.google.com/maps/search/?api=1&amp;query=39.49572985,-0.38373856", "https://www.google.com/maps/search/?api=1&amp;query=39.49572985,-0.38373856")</f>
      </c>
      <c r="P1755" s="9" t="s">
        <v>965</v>
      </c>
      <c r="Q1755" s="9" t="s">
        <v>12757</v>
      </c>
    </row>
    <row r="1756" spans="1:17" x14ac:dyDescent="0.25">
      <c r="A1756" s="8" t="s">
        <v>12758</v>
      </c>
      <c r="B1756" s="8" t="s">
        <v>12759</v>
      </c>
      <c r="C1756" s="9" t="s">
        <v>12760</v>
      </c>
      <c r="D1756" s="9" t="s">
        <v>379</v>
      </c>
      <c r="E1756" s="9" t="s">
        <v>12761</v>
      </c>
      <c r="F1756" s="10">
        <v>1.514</v>
      </c>
      <c r="G1756" s="10">
        <v>1.665</v>
      </c>
      <c r="H1756" s="10"/>
      <c r="I1756" s="9" t="s">
        <v>379</v>
      </c>
      <c r="J1756" s="9" t="s">
        <v>12762</v>
      </c>
      <c r="K1756" s="9" t="s">
        <v>12763</v>
      </c>
      <c r="L1756" s="8" t="s">
        <v>4338</v>
      </c>
      <c r="M1756" s="9" t="s">
        <v>49</v>
      </c>
      <c r="N1756" s="9" t="s">
        <v>37</v>
      </c>
      <c r="O1756" s="9">
        <f>HYPERLINK("https://www.google.com/maps/search/?api=1&amp;query=42.7928735,-1.6847858", "https://www.google.com/maps/search/?api=1&amp;query=42.7928735,-1.6847858")</f>
      </c>
      <c r="P1756" s="9" t="s">
        <v>1250</v>
      </c>
      <c r="Q1756" s="9" t="s">
        <v>1982</v>
      </c>
    </row>
    <row r="1757" spans="1:17" x14ac:dyDescent="0.25">
      <c r="A1757" s="8" t="s">
        <v>12764</v>
      </c>
      <c r="B1757" s="8" t="s">
        <v>12765</v>
      </c>
      <c r="C1757" s="9" t="s">
        <v>12766</v>
      </c>
      <c r="D1757" s="9" t="s">
        <v>398</v>
      </c>
      <c r="E1757" s="9" t="s">
        <v>12767</v>
      </c>
      <c r="F1757" s="10">
        <v>1.514</v>
      </c>
      <c r="G1757" s="10">
        <v>1.665</v>
      </c>
      <c r="H1757" s="10"/>
      <c r="I1757" s="9" t="s">
        <v>400</v>
      </c>
      <c r="J1757" s="9" t="s">
        <v>12768</v>
      </c>
      <c r="K1757" s="9" t="s">
        <v>12769</v>
      </c>
      <c r="L1757" s="8" t="s">
        <v>12770</v>
      </c>
      <c r="M1757" s="9" t="s">
        <v>100</v>
      </c>
      <c r="N1757" s="9" t="s">
        <v>88</v>
      </c>
      <c r="O1757" s="9">
        <f>HYPERLINK("https://www.google.com/maps/search/?api=1&amp;query=38.60094664,-0.66961017", "https://www.google.com/maps/search/?api=1&amp;query=38.60094664,-0.66961017")</f>
      </c>
      <c r="P1757" s="9" t="s">
        <v>2135</v>
      </c>
      <c r="Q1757" s="9" t="s">
        <v>772</v>
      </c>
    </row>
    <row r="1758" spans="1:17" x14ac:dyDescent="0.25">
      <c r="A1758" s="8" t="s">
        <v>12771</v>
      </c>
      <c r="B1758" s="8" t="s">
        <v>12772</v>
      </c>
      <c r="C1758" s="9" t="s">
        <v>12773</v>
      </c>
      <c r="D1758" s="9" t="s">
        <v>344</v>
      </c>
      <c r="E1758" s="9" t="s">
        <v>12774</v>
      </c>
      <c r="F1758" s="10">
        <v>1.514</v>
      </c>
      <c r="G1758" s="10">
        <v>1.665</v>
      </c>
      <c r="H1758" s="10"/>
      <c r="I1758" s="9" t="s">
        <v>140</v>
      </c>
      <c r="J1758" s="9" t="s">
        <v>12775</v>
      </c>
      <c r="K1758" s="9" t="s">
        <v>12776</v>
      </c>
      <c r="L1758" s="8" t="s">
        <v>12777</v>
      </c>
      <c r="M1758" s="9" t="s">
        <v>49</v>
      </c>
      <c r="N1758" s="9" t="s">
        <v>357</v>
      </c>
      <c r="O1758" s="9">
        <f>HYPERLINK("https://www.google.com/maps/search/?api=1&amp;query=43.26961765,-8.40866702", "https://www.google.com/maps/search/?api=1&amp;query=43.26961765,-8.40866702")</f>
      </c>
      <c r="P1758" s="9" t="s">
        <v>1423</v>
      </c>
      <c r="Q1758" s="9" t="s">
        <v>12544</v>
      </c>
    </row>
    <row r="1759" spans="1:17" x14ac:dyDescent="0.25">
      <c r="A1759" s="8" t="s">
        <v>12778</v>
      </c>
      <c r="B1759" s="8" t="s">
        <v>12779</v>
      </c>
      <c r="C1759" s="9" t="s">
        <v>12780</v>
      </c>
      <c r="D1759" s="9" t="s">
        <v>83</v>
      </c>
      <c r="E1759" s="9" t="s">
        <v>83</v>
      </c>
      <c r="F1759" s="10">
        <v>1.514</v>
      </c>
      <c r="G1759" s="10">
        <v>1.665</v>
      </c>
      <c r="H1759" s="10"/>
      <c r="I1759" s="9" t="s">
        <v>83</v>
      </c>
      <c r="J1759" s="9" t="s">
        <v>12781</v>
      </c>
      <c r="K1759" s="9" t="s">
        <v>12782</v>
      </c>
      <c r="L1759" s="8" t="s">
        <v>5045</v>
      </c>
      <c r="M1759" s="9" t="s">
        <v>49</v>
      </c>
      <c r="N1759" s="9" t="s">
        <v>37</v>
      </c>
      <c r="O1759" s="9">
        <f>HYPERLINK("https://www.google.com/maps/search/?api=1&amp;query=40.48318689,-3.70533657", "https://www.google.com/maps/search/?api=1&amp;query=40.48318689,-3.70533657")</f>
      </c>
      <c r="P1759" s="9" t="s">
        <v>12783</v>
      </c>
      <c r="Q1759" s="9" t="s">
        <v>12784</v>
      </c>
    </row>
    <row r="1760" spans="1:17" x14ac:dyDescent="0.25">
      <c r="A1760" s="8" t="s">
        <v>12785</v>
      </c>
      <c r="B1760" s="8" t="s">
        <v>12786</v>
      </c>
      <c r="C1760" s="9" t="s">
        <v>12787</v>
      </c>
      <c r="D1760" s="9" t="s">
        <v>2288</v>
      </c>
      <c r="E1760" s="9" t="s">
        <v>7218</v>
      </c>
      <c r="F1760" s="10">
        <v>1.514</v>
      </c>
      <c r="G1760" s="10">
        <v>1.665</v>
      </c>
      <c r="H1760" s="10"/>
      <c r="I1760" s="9" t="s">
        <v>168</v>
      </c>
      <c r="J1760" s="9" t="s">
        <v>12788</v>
      </c>
      <c r="K1760" s="9" t="s">
        <v>12789</v>
      </c>
      <c r="L1760" s="8" t="s">
        <v>7221</v>
      </c>
      <c r="M1760" s="9" t="s">
        <v>36</v>
      </c>
      <c r="N1760" s="9" t="s">
        <v>357</v>
      </c>
      <c r="O1760" s="9">
        <f>HYPERLINK("https://www.google.com/maps/search/?api=1&amp;query=39.27821412,-2.60242335", "https://www.google.com/maps/search/?api=1&amp;query=39.27821412,-2.60242335")</f>
      </c>
      <c r="P1760" s="9" t="s">
        <v>10610</v>
      </c>
      <c r="Q1760" s="9" t="s">
        <v>12790</v>
      </c>
    </row>
    <row r="1761" spans="1:17" x14ac:dyDescent="0.25">
      <c r="A1761" s="8" t="s">
        <v>12791</v>
      </c>
      <c r="B1761" s="8" t="s">
        <v>12792</v>
      </c>
      <c r="C1761" s="9" t="s">
        <v>12793</v>
      </c>
      <c r="D1761" s="9" t="s">
        <v>398</v>
      </c>
      <c r="E1761" s="9" t="s">
        <v>12794</v>
      </c>
      <c r="F1761" s="10">
        <v>1.514</v>
      </c>
      <c r="G1761" s="10">
        <v>1.665</v>
      </c>
      <c r="H1761" s="10"/>
      <c r="I1761" s="9" t="s">
        <v>400</v>
      </c>
      <c r="J1761" s="9" t="s">
        <v>12795</v>
      </c>
      <c r="K1761" s="9" t="s">
        <v>12796</v>
      </c>
      <c r="L1761" s="8" t="s">
        <v>12797</v>
      </c>
      <c r="M1761" s="9" t="s">
        <v>49</v>
      </c>
      <c r="N1761" s="9" t="s">
        <v>592</v>
      </c>
      <c r="O1761" s="9">
        <f>HYPERLINK("https://www.google.com/maps/search/?api=1&amp;query=38.45011868,-0.37328383", "https://www.google.com/maps/search/?api=1&amp;query=38.45011868,-0.37328383")</f>
      </c>
      <c r="P1761" s="9" t="s">
        <v>780</v>
      </c>
      <c r="Q1761" s="9" t="s">
        <v>12798</v>
      </c>
    </row>
    <row r="1762" spans="1:17" x14ac:dyDescent="0.25">
      <c r="A1762" s="8" t="s">
        <v>12799</v>
      </c>
      <c r="B1762" s="8" t="s">
        <v>12800</v>
      </c>
      <c r="C1762" s="9" t="s">
        <v>12801</v>
      </c>
      <c r="D1762" s="9" t="s">
        <v>1617</v>
      </c>
      <c r="E1762" s="9" t="s">
        <v>12802</v>
      </c>
      <c r="F1762" s="10">
        <v>1.514</v>
      </c>
      <c r="G1762" s="10">
        <v>1.665</v>
      </c>
      <c r="H1762" s="10"/>
      <c r="I1762" s="9" t="s">
        <v>292</v>
      </c>
      <c r="J1762" s="9" t="s">
        <v>12803</v>
      </c>
      <c r="K1762" s="9" t="s">
        <v>12804</v>
      </c>
      <c r="L1762" s="8" t="s">
        <v>12805</v>
      </c>
      <c r="M1762" s="9" t="s">
        <v>49</v>
      </c>
      <c r="N1762" s="9" t="s">
        <v>12806</v>
      </c>
      <c r="O1762" s="9">
        <f>HYPERLINK("https://www.google.com/maps/search/?api=1&amp;query=42.58403536,0.21305196", "https://www.google.com/maps/search/?api=1&amp;query=42.58403536,0.21305196")</f>
      </c>
      <c r="P1762" s="9" t="s">
        <v>12807</v>
      </c>
      <c r="Q1762" s="9" t="s">
        <v>3771</v>
      </c>
    </row>
    <row r="1763" spans="1:17" x14ac:dyDescent="0.25">
      <c r="A1763" s="8" t="s">
        <v>12808</v>
      </c>
      <c r="B1763" s="8" t="s">
        <v>12809</v>
      </c>
      <c r="C1763" s="9" t="s">
        <v>12810</v>
      </c>
      <c r="D1763" s="9" t="s">
        <v>577</v>
      </c>
      <c r="E1763" s="9" t="s">
        <v>12811</v>
      </c>
      <c r="F1763" s="10">
        <v>1.514</v>
      </c>
      <c r="G1763" s="10">
        <v>1.665</v>
      </c>
      <c r="H1763" s="10"/>
      <c r="I1763" s="9" t="s">
        <v>74</v>
      </c>
      <c r="J1763" s="9" t="s">
        <v>12812</v>
      </c>
      <c r="K1763" s="9" t="s">
        <v>12813</v>
      </c>
      <c r="L1763" s="8" t="s">
        <v>12814</v>
      </c>
      <c r="M1763" s="9" t="s">
        <v>49</v>
      </c>
      <c r="N1763" s="9" t="s">
        <v>122</v>
      </c>
      <c r="O1763" s="9">
        <f>HYPERLINK("https://www.google.com/maps/search/?api=1&amp;query=40.30400855,-4.64188099", "https://www.google.com/maps/search/?api=1&amp;query=40.30400855,-4.64188099")</f>
      </c>
      <c r="P1763" s="9" t="s">
        <v>771</v>
      </c>
      <c r="Q1763" s="9" t="s">
        <v>12815</v>
      </c>
    </row>
    <row r="1764" spans="1:17" x14ac:dyDescent="0.25">
      <c r="A1764" s="8" t="s">
        <v>12816</v>
      </c>
      <c r="B1764" s="8" t="s">
        <v>12817</v>
      </c>
      <c r="C1764" s="9" t="s">
        <v>12818</v>
      </c>
      <c r="D1764" s="9" t="s">
        <v>444</v>
      </c>
      <c r="E1764" s="9" t="s">
        <v>12819</v>
      </c>
      <c r="F1764" s="10">
        <v>1.514</v>
      </c>
      <c r="G1764" s="10">
        <v>1.665</v>
      </c>
      <c r="H1764" s="10"/>
      <c r="I1764" s="9" t="s">
        <v>444</v>
      </c>
      <c r="J1764" s="9" t="s">
        <v>12820</v>
      </c>
      <c r="K1764" s="9" t="s">
        <v>12821</v>
      </c>
      <c r="L1764" s="8" t="s">
        <v>12822</v>
      </c>
      <c r="M1764" s="9" t="s">
        <v>36</v>
      </c>
      <c r="N1764" s="9" t="s">
        <v>66</v>
      </c>
      <c r="O1764" s="9">
        <f>HYPERLINK("https://www.google.com/maps/search/?api=1&amp;query=43.35095454,-5.11984339", "https://www.google.com/maps/search/?api=1&amp;query=43.35095454,-5.11984339")</f>
      </c>
      <c r="P1764" s="9" t="s">
        <v>906</v>
      </c>
      <c r="Q1764" s="9" t="s">
        <v>2554</v>
      </c>
    </row>
    <row r="1765" spans="1:17" x14ac:dyDescent="0.25">
      <c r="A1765" s="8" t="s">
        <v>12823</v>
      </c>
      <c r="B1765" s="8" t="s">
        <v>12824</v>
      </c>
      <c r="C1765" s="9" t="s">
        <v>12825</v>
      </c>
      <c r="D1765" s="9" t="s">
        <v>138</v>
      </c>
      <c r="E1765" s="9" t="s">
        <v>12826</v>
      </c>
      <c r="F1765" s="10">
        <v>1.514</v>
      </c>
      <c r="G1765" s="10">
        <v>1.665</v>
      </c>
      <c r="H1765" s="10"/>
      <c r="I1765" s="9" t="s">
        <v>140</v>
      </c>
      <c r="J1765" s="9" t="s">
        <v>12827</v>
      </c>
      <c r="K1765" s="9" t="s">
        <v>12828</v>
      </c>
      <c r="L1765" s="8" t="s">
        <v>12829</v>
      </c>
      <c r="M1765" s="9" t="s">
        <v>36</v>
      </c>
      <c r="N1765" s="9" t="s">
        <v>211</v>
      </c>
      <c r="O1765" s="9">
        <f>HYPERLINK("https://www.google.com/maps/search/?api=1&amp;query=42.67140778,-8.70972718", "https://www.google.com/maps/search/?api=1&amp;query=42.67140778,-8.70972718")</f>
      </c>
      <c r="P1765" s="9" t="s">
        <v>880</v>
      </c>
      <c r="Q1765" s="9" t="s">
        <v>12830</v>
      </c>
    </row>
    <row r="1766" spans="1:17" x14ac:dyDescent="0.25">
      <c r="A1766" s="8" t="s">
        <v>12831</v>
      </c>
      <c r="B1766" s="8" t="s">
        <v>12832</v>
      </c>
      <c r="C1766" s="9" t="s">
        <v>12833</v>
      </c>
      <c r="D1766" s="9" t="s">
        <v>253</v>
      </c>
      <c r="E1766" s="9" t="s">
        <v>12834</v>
      </c>
      <c r="F1766" s="10">
        <v>1.514</v>
      </c>
      <c r="G1766" s="10">
        <v>1.665</v>
      </c>
      <c r="H1766" s="10"/>
      <c r="I1766" s="9" t="s">
        <v>96</v>
      </c>
      <c r="J1766" s="9" t="s">
        <v>12835</v>
      </c>
      <c r="K1766" s="9" t="s">
        <v>12836</v>
      </c>
      <c r="L1766" s="8" t="s">
        <v>12837</v>
      </c>
      <c r="M1766" s="9" t="s">
        <v>36</v>
      </c>
      <c r="N1766" s="9" t="s">
        <v>12838</v>
      </c>
      <c r="O1766" s="9">
        <f>HYPERLINK("https://www.google.com/maps/search/?api=1&amp;query=40.90541434,0.4848647", "https://www.google.com/maps/search/?api=1&amp;query=40.90541434,0.4848647")</f>
      </c>
      <c r="P1766" s="9" t="s">
        <v>8200</v>
      </c>
      <c r="Q1766" s="9" t="s">
        <v>3744</v>
      </c>
    </row>
    <row r="1767" spans="1:17" x14ac:dyDescent="0.25">
      <c r="A1767" s="8" t="s">
        <v>12839</v>
      </c>
      <c r="B1767" s="8" t="s">
        <v>12840</v>
      </c>
      <c r="C1767" s="9" t="s">
        <v>12841</v>
      </c>
      <c r="D1767" s="9" t="s">
        <v>1560</v>
      </c>
      <c r="E1767" s="9" t="s">
        <v>12842</v>
      </c>
      <c r="F1767" s="10">
        <v>1.514</v>
      </c>
      <c r="G1767" s="10">
        <v>1.665</v>
      </c>
      <c r="H1767" s="10"/>
      <c r="I1767" s="9" t="s">
        <v>400</v>
      </c>
      <c r="J1767" s="9" t="s">
        <v>12843</v>
      </c>
      <c r="K1767" s="9" t="s">
        <v>12844</v>
      </c>
      <c r="L1767" s="8" t="s">
        <v>10417</v>
      </c>
      <c r="M1767" s="9" t="s">
        <v>36</v>
      </c>
      <c r="N1767" s="9" t="s">
        <v>88</v>
      </c>
      <c r="O1767" s="9">
        <f>HYPERLINK("https://www.google.com/maps/search/?api=1&amp;query=40.04942688,0.05304608", "https://www.google.com/maps/search/?api=1&amp;query=40.04942688,0.05304608")</f>
      </c>
      <c r="P1767" s="9" t="s">
        <v>6358</v>
      </c>
      <c r="Q1767" s="9" t="s">
        <v>4771</v>
      </c>
    </row>
    <row r="1768" spans="1:17" x14ac:dyDescent="0.25">
      <c r="A1768" s="8" t="s">
        <v>12845</v>
      </c>
      <c r="B1768" s="8" t="s">
        <v>12846</v>
      </c>
      <c r="C1768" s="9" t="s">
        <v>12847</v>
      </c>
      <c r="D1768" s="9" t="s">
        <v>30</v>
      </c>
      <c r="E1768" s="9" t="s">
        <v>30</v>
      </c>
      <c r="F1768" s="10">
        <v>1.514</v>
      </c>
      <c r="G1768" s="10">
        <v>1.665</v>
      </c>
      <c r="H1768" s="10"/>
      <c r="I1768" s="9" t="s">
        <v>32</v>
      </c>
      <c r="J1768" s="9" t="s">
        <v>12848</v>
      </c>
      <c r="K1768" s="9" t="s">
        <v>12849</v>
      </c>
      <c r="L1768" s="8" t="s">
        <v>5949</v>
      </c>
      <c r="M1768" s="9" t="s">
        <v>36</v>
      </c>
      <c r="N1768" s="9" t="s">
        <v>122</v>
      </c>
      <c r="O1768" s="9">
        <f>HYPERLINK("https://www.google.com/maps/search/?api=1&amp;query=38.8660582,-6.97451129", "https://www.google.com/maps/search/?api=1&amp;query=38.8660582,-6.97451129")</f>
      </c>
      <c r="P1768" s="9" t="s">
        <v>1803</v>
      </c>
      <c r="Q1768" s="9" t="s">
        <v>1131</v>
      </c>
    </row>
    <row r="1769" spans="1:17" x14ac:dyDescent="0.25">
      <c r="A1769" s="8" t="s">
        <v>12850</v>
      </c>
      <c r="B1769" s="8" t="s">
        <v>12851</v>
      </c>
      <c r="C1769" s="9" t="s">
        <v>12852</v>
      </c>
      <c r="D1769" s="9" t="s">
        <v>226</v>
      </c>
      <c r="E1769" s="9" t="s">
        <v>12853</v>
      </c>
      <c r="F1769" s="10">
        <v>1.514</v>
      </c>
      <c r="G1769" s="10">
        <v>1.665</v>
      </c>
      <c r="H1769" s="10"/>
      <c r="I1769" s="9" t="s">
        <v>168</v>
      </c>
      <c r="J1769" s="9" t="s">
        <v>12854</v>
      </c>
      <c r="K1769" s="9" t="s">
        <v>12855</v>
      </c>
      <c r="L1769" s="8" t="s">
        <v>12856</v>
      </c>
      <c r="M1769" s="9" t="s">
        <v>36</v>
      </c>
      <c r="N1769" s="9" t="s">
        <v>122</v>
      </c>
      <c r="O1769" s="9">
        <f>HYPERLINK("https://www.google.com/maps/search/?api=1&amp;query=39.72436096,-1.9022229", "https://www.google.com/maps/search/?api=1&amp;query=39.72436096,-1.9022229")</f>
      </c>
      <c r="P1769" s="9" t="s">
        <v>11083</v>
      </c>
      <c r="Q1769" s="9" t="s">
        <v>1566</v>
      </c>
    </row>
    <row r="1770" spans="1:17" x14ac:dyDescent="0.25">
      <c r="A1770" s="8" t="s">
        <v>12857</v>
      </c>
      <c r="B1770" s="8" t="s">
        <v>12858</v>
      </c>
      <c r="C1770" s="9" t="s">
        <v>12859</v>
      </c>
      <c r="D1770" s="9" t="s">
        <v>1560</v>
      </c>
      <c r="E1770" s="9" t="s">
        <v>12860</v>
      </c>
      <c r="F1770" s="10">
        <v>1.514</v>
      </c>
      <c r="G1770" s="10">
        <v>1.665</v>
      </c>
      <c r="H1770" s="10"/>
      <c r="I1770" s="9" t="s">
        <v>400</v>
      </c>
      <c r="J1770" s="9" t="s">
        <v>12861</v>
      </c>
      <c r="K1770" s="9" t="s">
        <v>12862</v>
      </c>
      <c r="L1770" s="8" t="s">
        <v>12863</v>
      </c>
      <c r="M1770" s="9" t="s">
        <v>36</v>
      </c>
      <c r="N1770" s="9" t="s">
        <v>12864</v>
      </c>
      <c r="O1770" s="9">
        <f>HYPERLINK("https://www.google.com/maps/search/?api=1&amp;query=40.03795248,-0.15124538", "https://www.google.com/maps/search/?api=1&amp;query=40.03795248,-0.15124538")</f>
      </c>
      <c r="P1770" s="9" t="s">
        <v>321</v>
      </c>
      <c r="Q1770" s="9" t="s">
        <v>12865</v>
      </c>
    </row>
    <row r="1771" spans="1:17" x14ac:dyDescent="0.25">
      <c r="A1771" s="8" t="s">
        <v>12866</v>
      </c>
      <c r="B1771" s="8" t="s">
        <v>12867</v>
      </c>
      <c r="C1771" s="9" t="s">
        <v>12868</v>
      </c>
      <c r="D1771" s="9" t="s">
        <v>444</v>
      </c>
      <c r="E1771" s="9" t="s">
        <v>844</v>
      </c>
      <c r="F1771" s="10">
        <v>1.514</v>
      </c>
      <c r="G1771" s="10">
        <v>1.665</v>
      </c>
      <c r="H1771" s="10"/>
      <c r="I1771" s="9" t="s">
        <v>444</v>
      </c>
      <c r="J1771" s="9" t="s">
        <v>12869</v>
      </c>
      <c r="K1771" s="9" t="s">
        <v>12870</v>
      </c>
      <c r="L1771" s="8" t="s">
        <v>12871</v>
      </c>
      <c r="M1771" s="9" t="s">
        <v>49</v>
      </c>
      <c r="N1771" s="9" t="s">
        <v>357</v>
      </c>
      <c r="O1771" s="9">
        <f>HYPERLINK("https://www.google.com/maps/search/?api=1&amp;query=43.53799976,-5.67136349", "https://www.google.com/maps/search/?api=1&amp;query=43.53799976,-5.67136349")</f>
      </c>
      <c r="P1771" s="9" t="s">
        <v>1637</v>
      </c>
      <c r="Q1771" s="9" t="s">
        <v>3459</v>
      </c>
    </row>
    <row r="1772" spans="1:17" x14ac:dyDescent="0.25">
      <c r="A1772" s="8" t="s">
        <v>12872</v>
      </c>
      <c r="B1772" s="8" t="s">
        <v>12873</v>
      </c>
      <c r="C1772" s="9" t="s">
        <v>12874</v>
      </c>
      <c r="D1772" s="9" t="s">
        <v>187</v>
      </c>
      <c r="E1772" s="9" t="s">
        <v>1830</v>
      </c>
      <c r="F1772" s="10">
        <v>1.514</v>
      </c>
      <c r="G1772" s="10">
        <v>1.665</v>
      </c>
      <c r="H1772" s="10"/>
      <c r="I1772" s="9" t="s">
        <v>74</v>
      </c>
      <c r="J1772" s="9" t="s">
        <v>12875</v>
      </c>
      <c r="K1772" s="9" t="s">
        <v>12876</v>
      </c>
      <c r="L1772" s="8" t="s">
        <v>1833</v>
      </c>
      <c r="M1772" s="9" t="s">
        <v>49</v>
      </c>
      <c r="N1772" s="9" t="s">
        <v>122</v>
      </c>
      <c r="O1772" s="9">
        <f>HYPERLINK("https://www.google.com/maps/search/?api=1&amp;query=42.58487265,-5.63193067", "https://www.google.com/maps/search/?api=1&amp;query=42.58487265,-5.63193067")</f>
      </c>
      <c r="P1772" s="9" t="s">
        <v>4045</v>
      </c>
      <c r="Q1772" s="9" t="s">
        <v>754</v>
      </c>
    </row>
    <row r="1773" spans="1:17" x14ac:dyDescent="0.25">
      <c r="A1773" s="8" t="s">
        <v>12877</v>
      </c>
      <c r="B1773" s="8" t="s">
        <v>12878</v>
      </c>
      <c r="C1773" s="9" t="s">
        <v>12879</v>
      </c>
      <c r="D1773" s="9" t="s">
        <v>1192</v>
      </c>
      <c r="E1773" s="9" t="s">
        <v>12880</v>
      </c>
      <c r="F1773" s="10">
        <v>1.514</v>
      </c>
      <c r="G1773" s="10">
        <v>1.665</v>
      </c>
      <c r="H1773" s="10"/>
      <c r="I1773" s="9" t="s">
        <v>168</v>
      </c>
      <c r="J1773" s="9" t="s">
        <v>12881</v>
      </c>
      <c r="K1773" s="9" t="s">
        <v>12882</v>
      </c>
      <c r="L1773" s="8" t="s">
        <v>12883</v>
      </c>
      <c r="M1773" s="9" t="s">
        <v>49</v>
      </c>
      <c r="N1773" s="9" t="s">
        <v>12884</v>
      </c>
      <c r="O1773" s="9">
        <f>HYPERLINK("https://www.google.com/maps/search/?api=1&amp;query=39.04746106,-3.58990029", "https://www.google.com/maps/search/?api=1&amp;query=39.04746106,-3.58990029")</f>
      </c>
      <c r="P1773" s="9" t="s">
        <v>646</v>
      </c>
      <c r="Q1773" s="9" t="s">
        <v>12885</v>
      </c>
    </row>
    <row r="1774" spans="1:17" x14ac:dyDescent="0.25">
      <c r="A1774" s="8" t="s">
        <v>12886</v>
      </c>
      <c r="B1774" s="8" t="s">
        <v>12887</v>
      </c>
      <c r="C1774" s="9" t="s">
        <v>12888</v>
      </c>
      <c r="D1774" s="9" t="s">
        <v>187</v>
      </c>
      <c r="E1774" s="9" t="s">
        <v>12889</v>
      </c>
      <c r="F1774" s="10">
        <v>1.514</v>
      </c>
      <c r="G1774" s="10">
        <v>1.665</v>
      </c>
      <c r="H1774" s="10"/>
      <c r="I1774" s="9" t="s">
        <v>74</v>
      </c>
      <c r="J1774" s="9" t="s">
        <v>12890</v>
      </c>
      <c r="K1774" s="9" t="s">
        <v>12891</v>
      </c>
      <c r="L1774" s="8" t="s">
        <v>12892</v>
      </c>
      <c r="M1774" s="9" t="s">
        <v>36</v>
      </c>
      <c r="N1774" s="9" t="s">
        <v>211</v>
      </c>
      <c r="O1774" s="9">
        <f>HYPERLINK("https://www.google.com/maps/search/?api=1&amp;query=42.54937377,-5.4650574", "https://www.google.com/maps/search/?api=1&amp;query=42.54937377,-5.4650574")</f>
      </c>
      <c r="P1774" s="9" t="s">
        <v>880</v>
      </c>
      <c r="Q1774" s="9" t="s">
        <v>12893</v>
      </c>
    </row>
    <row r="1775" spans="1:17" x14ac:dyDescent="0.25">
      <c r="A1775" s="8" t="s">
        <v>12894</v>
      </c>
      <c r="B1775" s="8" t="s">
        <v>12895</v>
      </c>
      <c r="C1775" s="9" t="s">
        <v>12896</v>
      </c>
      <c r="D1775" s="9" t="s">
        <v>1617</v>
      </c>
      <c r="E1775" s="9" t="s">
        <v>12897</v>
      </c>
      <c r="F1775" s="10">
        <v>1.514</v>
      </c>
      <c r="G1775" s="10">
        <v>1.665</v>
      </c>
      <c r="H1775" s="10"/>
      <c r="I1775" s="9" t="s">
        <v>292</v>
      </c>
      <c r="J1775" s="9" t="s">
        <v>12898</v>
      </c>
      <c r="K1775" s="9" t="s">
        <v>12899</v>
      </c>
      <c r="L1775" s="8" t="s">
        <v>12900</v>
      </c>
      <c r="M1775" s="9" t="s">
        <v>36</v>
      </c>
      <c r="N1775" s="9" t="s">
        <v>12538</v>
      </c>
      <c r="O1775" s="9">
        <f>HYPERLINK("https://www.google.com/maps/search/?api=1&amp;query=41.76953509,-0.32770189", "https://www.google.com/maps/search/?api=1&amp;query=41.76953509,-0.32770189")</f>
      </c>
      <c r="P1775" s="9" t="s">
        <v>8200</v>
      </c>
      <c r="Q1775" s="9" t="s">
        <v>8959</v>
      </c>
    </row>
    <row r="1776" spans="1:17" x14ac:dyDescent="0.25">
      <c r="A1776" s="8" t="s">
        <v>12901</v>
      </c>
      <c r="B1776" s="8" t="s">
        <v>12902</v>
      </c>
      <c r="C1776" s="9" t="s">
        <v>12903</v>
      </c>
      <c r="D1776" s="9" t="s">
        <v>444</v>
      </c>
      <c r="E1776" s="9" t="s">
        <v>10902</v>
      </c>
      <c r="F1776" s="10">
        <v>1.514</v>
      </c>
      <c r="G1776" s="10">
        <v>1.665</v>
      </c>
      <c r="H1776" s="10"/>
      <c r="I1776" s="9" t="s">
        <v>444</v>
      </c>
      <c r="J1776" s="9" t="s">
        <v>12904</v>
      </c>
      <c r="K1776" s="9" t="s">
        <v>12905</v>
      </c>
      <c r="L1776" s="8" t="s">
        <v>12906</v>
      </c>
      <c r="M1776" s="9" t="s">
        <v>49</v>
      </c>
      <c r="N1776" s="9" t="s">
        <v>37</v>
      </c>
      <c r="O1776" s="9">
        <f>HYPERLINK("https://www.google.com/maps/search/?api=1&amp;query=43.36692718,-5.84366893", "https://www.google.com/maps/search/?api=1&amp;query=43.36692718,-5.84366893")</f>
      </c>
      <c r="P1776" s="9" t="s">
        <v>111</v>
      </c>
      <c r="Q1776" s="9" t="s">
        <v>3771</v>
      </c>
    </row>
    <row r="1777" spans="1:17" x14ac:dyDescent="0.25">
      <c r="A1777" s="8" t="s">
        <v>12907</v>
      </c>
      <c r="B1777" s="8" t="s">
        <v>12908</v>
      </c>
      <c r="C1777" s="9" t="s">
        <v>12909</v>
      </c>
      <c r="D1777" s="9" t="s">
        <v>516</v>
      </c>
      <c r="E1777" s="9" t="s">
        <v>5115</v>
      </c>
      <c r="F1777" s="10">
        <v>1.514</v>
      </c>
      <c r="G1777" s="10">
        <v>1.665</v>
      </c>
      <c r="H1777" s="10"/>
      <c r="I1777" s="9" t="s">
        <v>140</v>
      </c>
      <c r="J1777" s="9" t="s">
        <v>12910</v>
      </c>
      <c r="K1777" s="9" t="s">
        <v>12911</v>
      </c>
      <c r="L1777" s="8" t="s">
        <v>5118</v>
      </c>
      <c r="M1777" s="9" t="s">
        <v>36</v>
      </c>
      <c r="N1777" s="9" t="s">
        <v>37</v>
      </c>
      <c r="O1777" s="9">
        <f>HYPERLINK("https://www.google.com/maps/search/?api=1&amp;query=42.52581642,-7.52719856", "https://www.google.com/maps/search/?api=1&amp;query=42.52581642,-7.52719856")</f>
      </c>
      <c r="P1777" s="9" t="s">
        <v>12912</v>
      </c>
      <c r="Q1777" s="9" t="s">
        <v>12815</v>
      </c>
    </row>
    <row r="1778" spans="1:17" x14ac:dyDescent="0.25">
      <c r="A1778" s="8" t="s">
        <v>12913</v>
      </c>
      <c r="B1778" s="8" t="s">
        <v>12914</v>
      </c>
      <c r="C1778" s="9" t="s">
        <v>12915</v>
      </c>
      <c r="D1778" s="9" t="s">
        <v>94</v>
      </c>
      <c r="E1778" s="9" t="s">
        <v>12916</v>
      </c>
      <c r="F1778" s="10">
        <v>1.514</v>
      </c>
      <c r="G1778" s="10">
        <v>1.665</v>
      </c>
      <c r="H1778" s="10"/>
      <c r="I1778" s="9" t="s">
        <v>96</v>
      </c>
      <c r="J1778" s="9" t="s">
        <v>12917</v>
      </c>
      <c r="K1778" s="9" t="s">
        <v>12918</v>
      </c>
      <c r="L1778" s="8" t="s">
        <v>12919</v>
      </c>
      <c r="M1778" s="9" t="s">
        <v>49</v>
      </c>
      <c r="N1778" s="9" t="s">
        <v>37</v>
      </c>
      <c r="O1778" s="9">
        <f>HYPERLINK("https://www.google.com/maps/search/?api=1&amp;query=41.32644903,2.03870052", "https://www.google.com/maps/search/?api=1&amp;query=41.32644903,2.03870052")</f>
      </c>
      <c r="P1778" s="9" t="s">
        <v>12920</v>
      </c>
      <c r="Q1778" s="9" t="s">
        <v>12921</v>
      </c>
    </row>
    <row r="1779" spans="1:17" x14ac:dyDescent="0.25">
      <c r="A1779" s="8" t="s">
        <v>12922</v>
      </c>
      <c r="B1779" s="8" t="s">
        <v>12923</v>
      </c>
      <c r="C1779" s="9" t="s">
        <v>12924</v>
      </c>
      <c r="D1779" s="9" t="s">
        <v>83</v>
      </c>
      <c r="E1779" s="9" t="s">
        <v>534</v>
      </c>
      <c r="F1779" s="10">
        <v>1.514</v>
      </c>
      <c r="G1779" s="10">
        <v>1.665</v>
      </c>
      <c r="H1779" s="10"/>
      <c r="I1779" s="9" t="s">
        <v>83</v>
      </c>
      <c r="J1779" s="9" t="s">
        <v>12925</v>
      </c>
      <c r="K1779" s="9" t="s">
        <v>12926</v>
      </c>
      <c r="L1779" s="8" t="s">
        <v>537</v>
      </c>
      <c r="M1779" s="9" t="s">
        <v>49</v>
      </c>
      <c r="N1779" s="9" t="s">
        <v>88</v>
      </c>
      <c r="O1779" s="9">
        <f>HYPERLINK("https://www.google.com/maps/search/?api=1&amp;query=40.23954697,-3.75295044", "https://www.google.com/maps/search/?api=1&amp;query=40.23954697,-3.75295044")</f>
      </c>
      <c r="P1779" s="9" t="s">
        <v>1894</v>
      </c>
      <c r="Q1779" s="9" t="s">
        <v>1982</v>
      </c>
    </row>
    <row r="1780" spans="1:17" x14ac:dyDescent="0.25">
      <c r="A1780" s="8" t="s">
        <v>12927</v>
      </c>
      <c r="B1780" s="8" t="s">
        <v>12928</v>
      </c>
      <c r="C1780" s="9" t="s">
        <v>12929</v>
      </c>
      <c r="D1780" s="9" t="s">
        <v>409</v>
      </c>
      <c r="E1780" s="9" t="s">
        <v>12930</v>
      </c>
      <c r="F1780" s="10">
        <v>1.514</v>
      </c>
      <c r="G1780" s="10">
        <v>1.665</v>
      </c>
      <c r="H1780" s="10"/>
      <c r="I1780" s="9" t="s">
        <v>292</v>
      </c>
      <c r="J1780" s="9" t="s">
        <v>12931</v>
      </c>
      <c r="K1780" s="9" t="s">
        <v>12932</v>
      </c>
      <c r="L1780" s="8" t="s">
        <v>12933</v>
      </c>
      <c r="M1780" s="9" t="s">
        <v>36</v>
      </c>
      <c r="N1780" s="9" t="s">
        <v>3034</v>
      </c>
      <c r="O1780" s="9">
        <f>HYPERLINK("https://www.google.com/maps/search/?api=1&amp;query=41.76156168,-0.83129578", "https://www.google.com/maps/search/?api=1&amp;query=41.76156168,-0.83129578")</f>
      </c>
      <c r="P1780" s="9" t="s">
        <v>1471</v>
      </c>
      <c r="Q1780" s="9" t="s">
        <v>12934</v>
      </c>
    </row>
    <row r="1781" spans="1:17" x14ac:dyDescent="0.25">
      <c r="A1781" s="8" t="s">
        <v>12935</v>
      </c>
      <c r="B1781" s="8" t="s">
        <v>12936</v>
      </c>
      <c r="C1781" s="9" t="s">
        <v>12937</v>
      </c>
      <c r="D1781" s="9" t="s">
        <v>307</v>
      </c>
      <c r="E1781" s="9" t="s">
        <v>307</v>
      </c>
      <c r="F1781" s="10">
        <v>1.514</v>
      </c>
      <c r="G1781" s="10">
        <v>1.665</v>
      </c>
      <c r="H1781" s="10"/>
      <c r="I1781" s="9" t="s">
        <v>74</v>
      </c>
      <c r="J1781" s="9" t="s">
        <v>12938</v>
      </c>
      <c r="K1781" s="9" t="s">
        <v>12939</v>
      </c>
      <c r="L1781" s="8" t="s">
        <v>12940</v>
      </c>
      <c r="M1781" s="9" t="s">
        <v>49</v>
      </c>
      <c r="N1781" s="9" t="s">
        <v>1695</v>
      </c>
      <c r="O1781" s="9">
        <f>HYPERLINK("https://www.google.com/maps/search/?api=1&amp;query=41.52116511,-5.79706782", "https://www.google.com/maps/search/?api=1&amp;query=41.52116511,-5.79706782")</f>
      </c>
      <c r="P1781" s="9" t="s">
        <v>1645</v>
      </c>
      <c r="Q1781" s="9" t="s">
        <v>10593</v>
      </c>
    </row>
    <row r="1782" spans="1:17" x14ac:dyDescent="0.25">
      <c r="A1782" s="8" t="s">
        <v>12941</v>
      </c>
      <c r="B1782" s="8" t="s">
        <v>12942</v>
      </c>
      <c r="C1782" s="9" t="s">
        <v>12943</v>
      </c>
      <c r="D1782" s="9" t="s">
        <v>409</v>
      </c>
      <c r="E1782" s="9" t="s">
        <v>12944</v>
      </c>
      <c r="F1782" s="10">
        <v>1.514</v>
      </c>
      <c r="G1782" s="10">
        <v>1.665</v>
      </c>
      <c r="H1782" s="10"/>
      <c r="I1782" s="9" t="s">
        <v>292</v>
      </c>
      <c r="J1782" s="9" t="s">
        <v>12945</v>
      </c>
      <c r="K1782" s="9" t="s">
        <v>12946</v>
      </c>
      <c r="L1782" s="8" t="s">
        <v>12947</v>
      </c>
      <c r="M1782" s="9" t="s">
        <v>36</v>
      </c>
      <c r="N1782" s="9" t="s">
        <v>12948</v>
      </c>
      <c r="O1782" s="9">
        <f>HYPERLINK("https://www.google.com/maps/search/?api=1&amp;query=41.43647919,-1.24023893", "https://www.google.com/maps/search/?api=1&amp;query=41.43647919,-1.24023893")</f>
      </c>
      <c r="P1782" s="9" t="s">
        <v>8692</v>
      </c>
      <c r="Q1782" s="9" t="s">
        <v>8959</v>
      </c>
    </row>
    <row r="1783" spans="1:17" x14ac:dyDescent="0.25">
      <c r="A1783" s="8" t="s">
        <v>12949</v>
      </c>
      <c r="B1783" s="8" t="s">
        <v>12950</v>
      </c>
      <c r="C1783" s="9" t="s">
        <v>12951</v>
      </c>
      <c r="D1783" s="9" t="s">
        <v>1483</v>
      </c>
      <c r="E1783" s="9" t="s">
        <v>12952</v>
      </c>
      <c r="F1783" s="10">
        <v>1.514</v>
      </c>
      <c r="G1783" s="10">
        <v>1.665</v>
      </c>
      <c r="H1783" s="10"/>
      <c r="I1783" s="9" t="s">
        <v>74</v>
      </c>
      <c r="J1783" s="9" t="s">
        <v>12953</v>
      </c>
      <c r="K1783" s="9" t="s">
        <v>12954</v>
      </c>
      <c r="L1783" s="8" t="s">
        <v>12955</v>
      </c>
      <c r="M1783" s="9" t="s">
        <v>49</v>
      </c>
      <c r="N1783" s="9" t="s">
        <v>1719</v>
      </c>
      <c r="O1783" s="9">
        <f>HYPERLINK("https://www.google.com/maps/search/?api=1&amp;query=42.39946342,-4.03805411", "https://www.google.com/maps/search/?api=1&amp;query=42.39946342,-4.03805411")</f>
      </c>
      <c r="P1783" s="9" t="s">
        <v>6227</v>
      </c>
      <c r="Q1783" s="9" t="s">
        <v>102</v>
      </c>
    </row>
    <row r="1784" spans="1:17" x14ac:dyDescent="0.25">
      <c r="A1784" s="8" t="s">
        <v>12956</v>
      </c>
      <c r="B1784" s="8" t="s">
        <v>12957</v>
      </c>
      <c r="C1784" s="9" t="s">
        <v>12958</v>
      </c>
      <c r="D1784" s="9" t="s">
        <v>94</v>
      </c>
      <c r="E1784" s="9" t="s">
        <v>5122</v>
      </c>
      <c r="F1784" s="10">
        <v>1.514</v>
      </c>
      <c r="G1784" s="10">
        <v>1.665</v>
      </c>
      <c r="H1784" s="10"/>
      <c r="I1784" s="9" t="s">
        <v>96</v>
      </c>
      <c r="J1784" s="9" t="s">
        <v>12959</v>
      </c>
      <c r="K1784" s="9" t="s">
        <v>12960</v>
      </c>
      <c r="L1784" s="8" t="s">
        <v>12961</v>
      </c>
      <c r="M1784" s="9" t="s">
        <v>100</v>
      </c>
      <c r="N1784" s="9" t="s">
        <v>12962</v>
      </c>
      <c r="O1784" s="9">
        <f>HYPERLINK("https://www.google.com/maps/search/?api=1&amp;query=41.5588611,2.024", "https://www.google.com/maps/search/?api=1&amp;query=41.5588611,2.024")</f>
      </c>
      <c r="P1784" s="9" t="s">
        <v>3443</v>
      </c>
      <c r="Q1784" s="9" t="s">
        <v>12963</v>
      </c>
    </row>
    <row r="1785" spans="1:17" x14ac:dyDescent="0.25">
      <c r="A1785" s="8" t="s">
        <v>12964</v>
      </c>
      <c r="B1785" s="8" t="s">
        <v>12965</v>
      </c>
      <c r="C1785" s="9" t="s">
        <v>12966</v>
      </c>
      <c r="D1785" s="9" t="s">
        <v>658</v>
      </c>
      <c r="E1785" s="9" t="s">
        <v>12967</v>
      </c>
      <c r="F1785" s="10">
        <v>1.514</v>
      </c>
      <c r="G1785" s="10">
        <v>1.665</v>
      </c>
      <c r="H1785" s="10"/>
      <c r="I1785" s="9" t="s">
        <v>45</v>
      </c>
      <c r="J1785" s="9" t="s">
        <v>12968</v>
      </c>
      <c r="K1785" s="9" t="s">
        <v>12969</v>
      </c>
      <c r="L1785" s="8" t="s">
        <v>12970</v>
      </c>
      <c r="M1785" s="9" t="s">
        <v>36</v>
      </c>
      <c r="N1785" s="9" t="s">
        <v>88</v>
      </c>
      <c r="O1785" s="9">
        <f>HYPERLINK("https://www.google.com/maps/search/?api=1&amp;query=36.96043161,-2.46655395", "https://www.google.com/maps/search/?api=1&amp;query=36.96043161,-2.46655395")</f>
      </c>
      <c r="P1785" s="9" t="s">
        <v>12971</v>
      </c>
      <c r="Q1785" s="9" t="s">
        <v>1733</v>
      </c>
    </row>
    <row r="1786" spans="1:17" x14ac:dyDescent="0.25">
      <c r="A1786" s="8" t="s">
        <v>12972</v>
      </c>
      <c r="B1786" s="8" t="s">
        <v>12973</v>
      </c>
      <c r="C1786" s="9" t="s">
        <v>12974</v>
      </c>
      <c r="D1786" s="9" t="s">
        <v>434</v>
      </c>
      <c r="E1786" s="9" t="s">
        <v>12975</v>
      </c>
      <c r="F1786" s="10">
        <v>1.514</v>
      </c>
      <c r="G1786" s="10">
        <v>1.665</v>
      </c>
      <c r="H1786" s="10"/>
      <c r="I1786" s="9" t="s">
        <v>96</v>
      </c>
      <c r="J1786" s="9" t="s">
        <v>12976</v>
      </c>
      <c r="K1786" s="9" t="s">
        <v>12977</v>
      </c>
      <c r="L1786" s="8" t="s">
        <v>12978</v>
      </c>
      <c r="M1786" s="9" t="s">
        <v>36</v>
      </c>
      <c r="N1786" s="9" t="s">
        <v>88</v>
      </c>
      <c r="O1786" s="9">
        <f>HYPERLINK("https://www.google.com/maps/search/?api=1&amp;query=42.23566108,2.29189178", "https://www.google.com/maps/search/?api=1&amp;query=42.23566108,2.29189178")</f>
      </c>
      <c r="P1786" s="9" t="s">
        <v>3685</v>
      </c>
      <c r="Q1786" s="9" t="s">
        <v>12979</v>
      </c>
    </row>
    <row r="1787" spans="1:17" x14ac:dyDescent="0.25">
      <c r="A1787" s="8" t="s">
        <v>12980</v>
      </c>
      <c r="B1787" s="8" t="s">
        <v>12981</v>
      </c>
      <c r="C1787" s="9" t="s">
        <v>12982</v>
      </c>
      <c r="D1787" s="9" t="s">
        <v>61</v>
      </c>
      <c r="E1787" s="9" t="s">
        <v>12983</v>
      </c>
      <c r="F1787" s="10">
        <v>1.514</v>
      </c>
      <c r="G1787" s="10">
        <v>1.665</v>
      </c>
      <c r="H1787" s="10"/>
      <c r="I1787" s="9" t="s">
        <v>45</v>
      </c>
      <c r="J1787" s="9" t="s">
        <v>12984</v>
      </c>
      <c r="K1787" s="9" t="s">
        <v>12985</v>
      </c>
      <c r="L1787" s="8" t="s">
        <v>12986</v>
      </c>
      <c r="M1787" s="9" t="s">
        <v>36</v>
      </c>
      <c r="N1787" s="9" t="s">
        <v>12987</v>
      </c>
      <c r="O1787" s="9">
        <f>HYPERLINK("https://www.google.com/maps/search/?api=1&amp;query=37.87042487,-6.08779951", "https://www.google.com/maps/search/?api=1&amp;query=37.87042487,-6.08779951")</f>
      </c>
      <c r="P1787" s="9" t="s">
        <v>1927</v>
      </c>
      <c r="Q1787" s="9" t="s">
        <v>12988</v>
      </c>
    </row>
    <row r="1788" spans="1:17" x14ac:dyDescent="0.25">
      <c r="A1788" s="8" t="s">
        <v>12989</v>
      </c>
      <c r="B1788" s="8" t="s">
        <v>12990</v>
      </c>
      <c r="C1788" s="9" t="s">
        <v>12991</v>
      </c>
      <c r="D1788" s="9" t="s">
        <v>307</v>
      </c>
      <c r="E1788" s="9" t="s">
        <v>12992</v>
      </c>
      <c r="F1788" s="10">
        <v>1.514</v>
      </c>
      <c r="G1788" s="10">
        <v>1.665</v>
      </c>
      <c r="H1788" s="10"/>
      <c r="I1788" s="9" t="s">
        <v>74</v>
      </c>
      <c r="J1788" s="9" t="s">
        <v>12993</v>
      </c>
      <c r="K1788" s="9" t="s">
        <v>12994</v>
      </c>
      <c r="L1788" s="8" t="s">
        <v>12995</v>
      </c>
      <c r="M1788" s="9" t="s">
        <v>49</v>
      </c>
      <c r="N1788" s="9" t="s">
        <v>12996</v>
      </c>
      <c r="O1788" s="9">
        <f>HYPERLINK("https://www.google.com/maps/search/?api=1&amp;query=41.5468098,-5.70763853", "https://www.google.com/maps/search/?api=1&amp;query=41.5468098,-5.70763853")</f>
      </c>
      <c r="P1788" s="9" t="s">
        <v>144</v>
      </c>
      <c r="Q1788" s="9" t="s">
        <v>3202</v>
      </c>
    </row>
    <row r="1789" spans="1:17" x14ac:dyDescent="0.25">
      <c r="A1789" s="8" t="s">
        <v>12997</v>
      </c>
      <c r="B1789" s="8" t="s">
        <v>12998</v>
      </c>
      <c r="C1789" s="9" t="s">
        <v>12999</v>
      </c>
      <c r="D1789" s="9" t="s">
        <v>72</v>
      </c>
      <c r="E1789" s="9" t="s">
        <v>13000</v>
      </c>
      <c r="F1789" s="10">
        <v>1.514</v>
      </c>
      <c r="G1789" s="10">
        <v>1.665</v>
      </c>
      <c r="H1789" s="10"/>
      <c r="I1789" s="9" t="s">
        <v>74</v>
      </c>
      <c r="J1789" s="9" t="s">
        <v>13001</v>
      </c>
      <c r="K1789" s="9" t="s">
        <v>13002</v>
      </c>
      <c r="L1789" s="8" t="s">
        <v>9305</v>
      </c>
      <c r="M1789" s="9" t="s">
        <v>36</v>
      </c>
      <c r="N1789" s="9" t="s">
        <v>8958</v>
      </c>
      <c r="O1789" s="9">
        <f>HYPERLINK("https://www.google.com/maps/search/?api=1&amp;query=41.95718587,-4.51951099", "https://www.google.com/maps/search/?api=1&amp;query=41.95718587,-4.51951099")</f>
      </c>
      <c r="P1789" s="9" t="s">
        <v>1637</v>
      </c>
      <c r="Q1789" s="9" t="s">
        <v>7480</v>
      </c>
    </row>
    <row r="1790" spans="1:17" x14ac:dyDescent="0.25">
      <c r="A1790" s="8" t="s">
        <v>13003</v>
      </c>
      <c r="B1790" s="8" t="s">
        <v>13004</v>
      </c>
      <c r="C1790" s="9" t="s">
        <v>13005</v>
      </c>
      <c r="D1790" s="9" t="s">
        <v>128</v>
      </c>
      <c r="E1790" s="9" t="s">
        <v>13006</v>
      </c>
      <c r="F1790" s="10">
        <v>1.514</v>
      </c>
      <c r="G1790" s="10">
        <v>1.665</v>
      </c>
      <c r="H1790" s="10"/>
      <c r="I1790" s="9" t="s">
        <v>45</v>
      </c>
      <c r="J1790" s="9" t="s">
        <v>13007</v>
      </c>
      <c r="K1790" s="9" t="s">
        <v>13008</v>
      </c>
      <c r="L1790" s="8" t="s">
        <v>13009</v>
      </c>
      <c r="M1790" s="9" t="s">
        <v>36</v>
      </c>
      <c r="N1790" s="9" t="s">
        <v>9197</v>
      </c>
      <c r="O1790" s="9">
        <f>HYPERLINK("https://www.google.com/maps/search/?api=1&amp;query=36.479472,-5.915833", "https://www.google.com/maps/search/?api=1&amp;query=36.479472,-5.915833")</f>
      </c>
      <c r="P1790" s="9" t="s">
        <v>1645</v>
      </c>
      <c r="Q1790" s="9" t="s">
        <v>13010</v>
      </c>
    </row>
    <row r="1791" spans="1:17" x14ac:dyDescent="0.25">
      <c r="A1791" s="8" t="s">
        <v>13011</v>
      </c>
      <c r="B1791" s="8" t="s">
        <v>13012</v>
      </c>
      <c r="C1791" s="9" t="s">
        <v>13013</v>
      </c>
      <c r="D1791" s="9" t="s">
        <v>155</v>
      </c>
      <c r="E1791" s="9" t="s">
        <v>13014</v>
      </c>
      <c r="F1791" s="10">
        <v>1.514</v>
      </c>
      <c r="G1791" s="10">
        <v>1.665</v>
      </c>
      <c r="H1791" s="10"/>
      <c r="I1791" s="9" t="s">
        <v>157</v>
      </c>
      <c r="J1791" s="9" t="s">
        <v>13015</v>
      </c>
      <c r="K1791" s="9" t="s">
        <v>13016</v>
      </c>
      <c r="L1791" s="8" t="s">
        <v>11954</v>
      </c>
      <c r="M1791" s="9" t="s">
        <v>100</v>
      </c>
      <c r="N1791" s="9" t="s">
        <v>37</v>
      </c>
      <c r="O1791" s="9">
        <f>HYPERLINK("https://www.google.com/maps/search/?api=1&amp;query=39.52654286,2.48666325", "https://www.google.com/maps/search/?api=1&amp;query=39.52654286,2.48666325")</f>
      </c>
      <c r="P1791" s="9" t="s">
        <v>13017</v>
      </c>
      <c r="Q1791" s="9" t="s">
        <v>647</v>
      </c>
    </row>
    <row r="1792" spans="1:17" x14ac:dyDescent="0.25">
      <c r="A1792" s="8" t="s">
        <v>13018</v>
      </c>
      <c r="B1792" s="8" t="s">
        <v>13019</v>
      </c>
      <c r="C1792" s="9" t="s">
        <v>13020</v>
      </c>
      <c r="D1792" s="9" t="s">
        <v>577</v>
      </c>
      <c r="E1792" s="9" t="s">
        <v>13021</v>
      </c>
      <c r="F1792" s="10">
        <v>1.514</v>
      </c>
      <c r="G1792" s="10">
        <v>1.665</v>
      </c>
      <c r="H1792" s="10"/>
      <c r="I1792" s="9" t="s">
        <v>74</v>
      </c>
      <c r="J1792" s="9" t="s">
        <v>13022</v>
      </c>
      <c r="K1792" s="9" t="s">
        <v>13023</v>
      </c>
      <c r="L1792" s="8" t="s">
        <v>13024</v>
      </c>
      <c r="M1792" s="9" t="s">
        <v>36</v>
      </c>
      <c r="N1792" s="9" t="s">
        <v>9847</v>
      </c>
      <c r="O1792" s="9">
        <f>HYPERLINK("https://www.google.com/maps/search/?api=1&amp;query=41.09297841,-4.99999892", "https://www.google.com/maps/search/?api=1&amp;query=41.09297841,-4.99999892")</f>
      </c>
      <c r="P1792" s="9" t="s">
        <v>915</v>
      </c>
      <c r="Q1792" s="9" t="s">
        <v>3771</v>
      </c>
    </row>
    <row r="1793" spans="1:17" x14ac:dyDescent="0.25">
      <c r="A1793" s="8" t="s">
        <v>13025</v>
      </c>
      <c r="B1793" s="8" t="s">
        <v>13026</v>
      </c>
      <c r="C1793" s="9" t="s">
        <v>13027</v>
      </c>
      <c r="D1793" s="9" t="s">
        <v>166</v>
      </c>
      <c r="E1793" s="9" t="s">
        <v>166</v>
      </c>
      <c r="F1793" s="10">
        <v>1.514</v>
      </c>
      <c r="G1793" s="10">
        <v>1.665</v>
      </c>
      <c r="H1793" s="10"/>
      <c r="I1793" s="9" t="s">
        <v>168</v>
      </c>
      <c r="J1793" s="9" t="s">
        <v>13028</v>
      </c>
      <c r="K1793" s="9" t="s">
        <v>13029</v>
      </c>
      <c r="L1793" s="8" t="s">
        <v>13030</v>
      </c>
      <c r="M1793" s="9" t="s">
        <v>49</v>
      </c>
      <c r="N1793" s="9" t="s">
        <v>9790</v>
      </c>
      <c r="O1793" s="9">
        <f>HYPERLINK("https://www.google.com/maps/search/?api=1&amp;query=40.63365986,-3.17027059", "https://www.google.com/maps/search/?api=1&amp;query=40.63365986,-3.17027059")</f>
      </c>
      <c r="P1793" s="9" t="s">
        <v>1439</v>
      </c>
      <c r="Q1793" s="9" t="s">
        <v>1131</v>
      </c>
    </row>
    <row r="1794" spans="1:17" x14ac:dyDescent="0.25">
      <c r="A1794" s="8" t="s">
        <v>13031</v>
      </c>
      <c r="B1794" s="8" t="s">
        <v>13032</v>
      </c>
      <c r="C1794" s="9" t="s">
        <v>13033</v>
      </c>
      <c r="D1794" s="9" t="s">
        <v>290</v>
      </c>
      <c r="E1794" s="9" t="s">
        <v>13034</v>
      </c>
      <c r="F1794" s="10">
        <v>1.514</v>
      </c>
      <c r="G1794" s="10">
        <v>1.665</v>
      </c>
      <c r="H1794" s="10"/>
      <c r="I1794" s="9" t="s">
        <v>292</v>
      </c>
      <c r="J1794" s="9" t="s">
        <v>13035</v>
      </c>
      <c r="K1794" s="9" t="s">
        <v>13036</v>
      </c>
      <c r="L1794" s="8" t="s">
        <v>13037</v>
      </c>
      <c r="M1794" s="9" t="s">
        <v>36</v>
      </c>
      <c r="N1794" s="9" t="s">
        <v>7851</v>
      </c>
      <c r="O1794" s="9">
        <f>HYPERLINK("https://www.google.com/maps/search/?api=1&amp;query=40.06350013,-0.82512308", "https://www.google.com/maps/search/?api=1&amp;query=40.06350013,-0.82512308")</f>
      </c>
      <c r="P1794" s="9" t="s">
        <v>11043</v>
      </c>
      <c r="Q1794" s="9" t="s">
        <v>13038</v>
      </c>
    </row>
    <row r="1795" spans="1:17" x14ac:dyDescent="0.25">
      <c r="A1795" s="8" t="s">
        <v>13039</v>
      </c>
      <c r="B1795" s="8" t="s">
        <v>13040</v>
      </c>
      <c r="C1795" s="9" t="s">
        <v>13041</v>
      </c>
      <c r="D1795" s="9" t="s">
        <v>444</v>
      </c>
      <c r="E1795" s="9" t="s">
        <v>13042</v>
      </c>
      <c r="F1795" s="10">
        <v>1.514</v>
      </c>
      <c r="G1795" s="10">
        <v>1.665</v>
      </c>
      <c r="H1795" s="10"/>
      <c r="I1795" s="9" t="s">
        <v>444</v>
      </c>
      <c r="J1795" s="9" t="s">
        <v>13043</v>
      </c>
      <c r="K1795" s="9" t="s">
        <v>13044</v>
      </c>
      <c r="L1795" s="8" t="s">
        <v>13045</v>
      </c>
      <c r="M1795" s="9" t="s">
        <v>49</v>
      </c>
      <c r="N1795" s="9" t="s">
        <v>13046</v>
      </c>
      <c r="O1795" s="9">
        <f>HYPERLINK("https://www.google.com/maps/search/?api=1&amp;query=43.0402238,-6.87238124", "https://www.google.com/maps/search/?api=1&amp;query=43.0402238,-6.87238124")</f>
      </c>
      <c r="P1795" s="9" t="s">
        <v>1439</v>
      </c>
      <c r="Q1795" s="9" t="s">
        <v>1742</v>
      </c>
    </row>
    <row r="1796" spans="1:17" x14ac:dyDescent="0.25">
      <c r="A1796" s="8" t="s">
        <v>13047</v>
      </c>
      <c r="B1796" s="8" t="s">
        <v>13048</v>
      </c>
      <c r="C1796" s="9" t="s">
        <v>13049</v>
      </c>
      <c r="D1796" s="9" t="s">
        <v>155</v>
      </c>
      <c r="E1796" s="9" t="s">
        <v>2409</v>
      </c>
      <c r="F1796" s="10">
        <v>1.514</v>
      </c>
      <c r="G1796" s="10">
        <v>1.665</v>
      </c>
      <c r="H1796" s="10"/>
      <c r="I1796" s="9" t="s">
        <v>157</v>
      </c>
      <c r="J1796" s="9" t="s">
        <v>13050</v>
      </c>
      <c r="K1796" s="9" t="s">
        <v>13051</v>
      </c>
      <c r="L1796" s="8" t="s">
        <v>2412</v>
      </c>
      <c r="M1796" s="9" t="s">
        <v>49</v>
      </c>
      <c r="N1796" s="9" t="s">
        <v>770</v>
      </c>
      <c r="O1796" s="9">
        <f>HYPERLINK("https://www.google.com/maps/search/?api=1&amp;query=39.69591021,3.36021191", "https://www.google.com/maps/search/?api=1&amp;query=39.69591021,3.36021191")</f>
      </c>
      <c r="P1796" s="9" t="s">
        <v>13052</v>
      </c>
      <c r="Q1796" s="9" t="s">
        <v>9207</v>
      </c>
    </row>
    <row r="1797" spans="1:17" x14ac:dyDescent="0.25">
      <c r="A1797" s="8" t="s">
        <v>13053</v>
      </c>
      <c r="B1797" s="8" t="s">
        <v>13054</v>
      </c>
      <c r="C1797" s="9" t="s">
        <v>13055</v>
      </c>
      <c r="D1797" s="9" t="s">
        <v>30</v>
      </c>
      <c r="E1797" s="9" t="s">
        <v>10865</v>
      </c>
      <c r="F1797" s="10">
        <v>1.514</v>
      </c>
      <c r="G1797" s="10">
        <v>1.665</v>
      </c>
      <c r="H1797" s="10"/>
      <c r="I1797" s="9" t="s">
        <v>32</v>
      </c>
      <c r="J1797" s="9" t="s">
        <v>13056</v>
      </c>
      <c r="K1797" s="9" t="s">
        <v>13057</v>
      </c>
      <c r="L1797" s="8" t="s">
        <v>10868</v>
      </c>
      <c r="M1797" s="9" t="s">
        <v>36</v>
      </c>
      <c r="N1797" s="9" t="s">
        <v>211</v>
      </c>
      <c r="O1797" s="9">
        <f>HYPERLINK("https://www.google.com/maps/search/?api=1&amp;query=38.74960213,-5.68090479", "https://www.google.com/maps/search/?api=1&amp;query=38.74960213,-5.68090479")</f>
      </c>
      <c r="P1797" s="9" t="s">
        <v>4045</v>
      </c>
      <c r="Q1797" s="9" t="s">
        <v>13058</v>
      </c>
    </row>
    <row r="1798" spans="1:17" x14ac:dyDescent="0.25">
      <c r="A1798" s="8" t="s">
        <v>13059</v>
      </c>
      <c r="B1798" s="8" t="s">
        <v>13060</v>
      </c>
      <c r="C1798" s="9" t="s">
        <v>13061</v>
      </c>
      <c r="D1798" s="9" t="s">
        <v>83</v>
      </c>
      <c r="E1798" s="9" t="s">
        <v>83</v>
      </c>
      <c r="F1798" s="10">
        <v>1.514</v>
      </c>
      <c r="G1798" s="10">
        <v>1.665</v>
      </c>
      <c r="H1798" s="10"/>
      <c r="I1798" s="9" t="s">
        <v>83</v>
      </c>
      <c r="J1798" s="9" t="s">
        <v>13062</v>
      </c>
      <c r="K1798" s="9" t="s">
        <v>13063</v>
      </c>
      <c r="L1798" s="8" t="s">
        <v>13064</v>
      </c>
      <c r="M1798" s="9" t="s">
        <v>49</v>
      </c>
      <c r="N1798" s="9" t="s">
        <v>37</v>
      </c>
      <c r="O1798" s="9">
        <f>HYPERLINK("https://www.google.com/maps/search/?api=1&amp;query=40.40162884,-3.76158855", "https://www.google.com/maps/search/?api=1&amp;query=40.40162884,-3.76158855")</f>
      </c>
      <c r="P1798" s="9" t="s">
        <v>4183</v>
      </c>
      <c r="Q1798" s="9" t="s">
        <v>731</v>
      </c>
    </row>
    <row r="1799" spans="1:17" x14ac:dyDescent="0.25">
      <c r="A1799" s="8" t="s">
        <v>13065</v>
      </c>
      <c r="B1799" s="8" t="s">
        <v>13066</v>
      </c>
      <c r="C1799" s="9" t="s">
        <v>13067</v>
      </c>
      <c r="D1799" s="9" t="s">
        <v>400</v>
      </c>
      <c r="E1799" s="9" t="s">
        <v>400</v>
      </c>
      <c r="F1799" s="10">
        <v>1.514</v>
      </c>
      <c r="G1799" s="10">
        <v>1.665</v>
      </c>
      <c r="H1799" s="10"/>
      <c r="I1799" s="9" t="s">
        <v>400</v>
      </c>
      <c r="J1799" s="9" t="s">
        <v>13068</v>
      </c>
      <c r="K1799" s="9" t="s">
        <v>13069</v>
      </c>
      <c r="L1799" s="8" t="s">
        <v>13070</v>
      </c>
      <c r="M1799" s="9" t="s">
        <v>49</v>
      </c>
      <c r="N1799" s="9" t="s">
        <v>37</v>
      </c>
      <c r="O1799" s="9">
        <f>HYPERLINK("https://www.google.com/maps/search/?api=1&amp;query=39.46258623,-0.35446962", "https://www.google.com/maps/search/?api=1&amp;query=39.46258623,-0.35446962")</f>
      </c>
      <c r="P1799" s="9" t="s">
        <v>955</v>
      </c>
      <c r="Q1799" s="9" t="s">
        <v>13071</v>
      </c>
    </row>
    <row r="1800" spans="1:17" x14ac:dyDescent="0.25">
      <c r="A1800" s="8" t="s">
        <v>13072</v>
      </c>
      <c r="B1800" s="8" t="s">
        <v>13073</v>
      </c>
      <c r="C1800" s="9" t="s">
        <v>13074</v>
      </c>
      <c r="D1800" s="9" t="s">
        <v>83</v>
      </c>
      <c r="E1800" s="9" t="s">
        <v>13075</v>
      </c>
      <c r="F1800" s="10">
        <v>1.514</v>
      </c>
      <c r="G1800" s="10">
        <v>1.665</v>
      </c>
      <c r="H1800" s="10"/>
      <c r="I1800" s="9" t="s">
        <v>83</v>
      </c>
      <c r="J1800" s="9" t="s">
        <v>13076</v>
      </c>
      <c r="K1800" s="9" t="s">
        <v>13077</v>
      </c>
      <c r="L1800" s="8" t="s">
        <v>13078</v>
      </c>
      <c r="M1800" s="9" t="s">
        <v>49</v>
      </c>
      <c r="N1800" s="9" t="s">
        <v>211</v>
      </c>
      <c r="O1800" s="9">
        <f>HYPERLINK("https://www.google.com/maps/search/?api=1&amp;query=40.9053688,-3.60760102", "https://www.google.com/maps/search/?api=1&amp;query=40.9053688,-3.60760102")</f>
      </c>
      <c r="P1800" s="9" t="s">
        <v>38</v>
      </c>
      <c r="Q1800" s="9" t="s">
        <v>9924</v>
      </c>
    </row>
    <row r="1801" spans="1:17" x14ac:dyDescent="0.25">
      <c r="A1801" s="8" t="s">
        <v>13079</v>
      </c>
      <c r="B1801" s="8" t="s">
        <v>13080</v>
      </c>
      <c r="C1801" s="9" t="s">
        <v>13081</v>
      </c>
      <c r="D1801" s="9" t="s">
        <v>577</v>
      </c>
      <c r="E1801" s="9" t="s">
        <v>13082</v>
      </c>
      <c r="F1801" s="10">
        <v>1.514</v>
      </c>
      <c r="G1801" s="10">
        <v>1.665</v>
      </c>
      <c r="H1801" s="10"/>
      <c r="I1801" s="9" t="s">
        <v>74</v>
      </c>
      <c r="J1801" s="9" t="s">
        <v>13083</v>
      </c>
      <c r="K1801" s="9" t="s">
        <v>13084</v>
      </c>
      <c r="L1801" s="8" t="s">
        <v>13085</v>
      </c>
      <c r="M1801" s="9" t="s">
        <v>49</v>
      </c>
      <c r="N1801" s="9" t="s">
        <v>211</v>
      </c>
      <c r="O1801" s="9">
        <f>HYPERLINK("https://www.google.com/maps/search/?api=1&amp;query=40.13949727,-5.23206557", "https://www.google.com/maps/search/?api=1&amp;query=40.13949727,-5.23206557")</f>
      </c>
      <c r="P1801" s="9" t="s">
        <v>11650</v>
      </c>
      <c r="Q1801" s="9" t="s">
        <v>13086</v>
      </c>
    </row>
    <row r="1802" spans="1:17" x14ac:dyDescent="0.25">
      <c r="A1802" s="8" t="s">
        <v>13087</v>
      </c>
      <c r="B1802" s="8" t="s">
        <v>13088</v>
      </c>
      <c r="C1802" s="9" t="s">
        <v>13089</v>
      </c>
      <c r="D1802" s="9" t="s">
        <v>379</v>
      </c>
      <c r="E1802" s="9" t="s">
        <v>13090</v>
      </c>
      <c r="F1802" s="10">
        <v>1.514</v>
      </c>
      <c r="G1802" s="10">
        <v>1.665</v>
      </c>
      <c r="H1802" s="10"/>
      <c r="I1802" s="9" t="s">
        <v>379</v>
      </c>
      <c r="J1802" s="9" t="s">
        <v>13091</v>
      </c>
      <c r="K1802" s="9" t="s">
        <v>13092</v>
      </c>
      <c r="L1802" s="8" t="s">
        <v>13093</v>
      </c>
      <c r="M1802" s="9" t="s">
        <v>36</v>
      </c>
      <c r="N1802" s="9" t="s">
        <v>13094</v>
      </c>
      <c r="O1802" s="9">
        <f>HYPERLINK("https://www.google.com/maps/search/?api=1&amp;query=43.11678706,-1.27172058", "https://www.google.com/maps/search/?api=1&amp;query=43.11678706,-1.27172058")</f>
      </c>
      <c r="P1802" s="9" t="s">
        <v>2576</v>
      </c>
      <c r="Q1802" s="9" t="s">
        <v>7816</v>
      </c>
    </row>
    <row r="1803" spans="1:17" x14ac:dyDescent="0.25">
      <c r="A1803" s="8" t="s">
        <v>13095</v>
      </c>
      <c r="B1803" s="8" t="s">
        <v>13096</v>
      </c>
      <c r="C1803" s="9" t="s">
        <v>13097</v>
      </c>
      <c r="D1803" s="9" t="s">
        <v>409</v>
      </c>
      <c r="E1803" s="9" t="s">
        <v>13098</v>
      </c>
      <c r="F1803" s="10">
        <v>1.514</v>
      </c>
      <c r="G1803" s="10">
        <v>1.665</v>
      </c>
      <c r="H1803" s="10"/>
      <c r="I1803" s="9" t="s">
        <v>292</v>
      </c>
      <c r="J1803" s="9" t="s">
        <v>13099</v>
      </c>
      <c r="K1803" s="9" t="s">
        <v>13100</v>
      </c>
      <c r="L1803" s="8" t="s">
        <v>13101</v>
      </c>
      <c r="M1803" s="9" t="s">
        <v>49</v>
      </c>
      <c r="N1803" s="9" t="s">
        <v>13102</v>
      </c>
      <c r="O1803" s="9">
        <f>HYPERLINK("https://www.google.com/maps/search/?api=1&amp;query=41.74049254,-1.07895354", "https://www.google.com/maps/search/?api=1&amp;query=41.74049254,-1.07895354")</f>
      </c>
      <c r="P1803" s="9" t="s">
        <v>771</v>
      </c>
      <c r="Q1803" s="9" t="s">
        <v>13103</v>
      </c>
    </row>
    <row r="1804" spans="1:17" x14ac:dyDescent="0.25">
      <c r="A1804" s="8" t="s">
        <v>13104</v>
      </c>
      <c r="B1804" s="8" t="s">
        <v>13105</v>
      </c>
      <c r="C1804" s="9" t="s">
        <v>13106</v>
      </c>
      <c r="D1804" s="9" t="s">
        <v>166</v>
      </c>
      <c r="E1804" s="9" t="s">
        <v>13107</v>
      </c>
      <c r="F1804" s="10">
        <v>1.514</v>
      </c>
      <c r="G1804" s="10">
        <v>1.665</v>
      </c>
      <c r="H1804" s="10"/>
      <c r="I1804" s="9" t="s">
        <v>168</v>
      </c>
      <c r="J1804" s="9" t="s">
        <v>13108</v>
      </c>
      <c r="K1804" s="9" t="s">
        <v>13109</v>
      </c>
      <c r="L1804" s="8" t="s">
        <v>13110</v>
      </c>
      <c r="M1804" s="9" t="s">
        <v>36</v>
      </c>
      <c r="N1804" s="9" t="s">
        <v>954</v>
      </c>
      <c r="O1804" s="9">
        <f>HYPERLINK("https://www.google.com/maps/search/?api=1&amp;query=40.46375515,-3.17893275", "https://www.google.com/maps/search/?api=1&amp;query=40.46375515,-3.17893275")</f>
      </c>
      <c r="P1804" s="9" t="s">
        <v>646</v>
      </c>
      <c r="Q1804" s="9" t="s">
        <v>647</v>
      </c>
    </row>
    <row r="1805" spans="1:17" x14ac:dyDescent="0.25">
      <c r="A1805" s="8" t="s">
        <v>13111</v>
      </c>
      <c r="B1805" s="8" t="s">
        <v>13112</v>
      </c>
      <c r="C1805" s="9" t="s">
        <v>13113</v>
      </c>
      <c r="D1805" s="9" t="s">
        <v>1434</v>
      </c>
      <c r="E1805" s="9" t="s">
        <v>2899</v>
      </c>
      <c r="F1805" s="10">
        <v>1.514</v>
      </c>
      <c r="G1805" s="10">
        <v>1.665</v>
      </c>
      <c r="H1805" s="10"/>
      <c r="I1805" s="9" t="s">
        <v>1434</v>
      </c>
      <c r="J1805" s="9" t="s">
        <v>13114</v>
      </c>
      <c r="K1805" s="9" t="s">
        <v>13115</v>
      </c>
      <c r="L1805" s="8" t="s">
        <v>2902</v>
      </c>
      <c r="M1805" s="9" t="s">
        <v>100</v>
      </c>
      <c r="N1805" s="9" t="s">
        <v>873</v>
      </c>
      <c r="O1805" s="9">
        <f>HYPERLINK("https://www.google.com/maps/search/?api=1&amp;query=42.46010162,-2.40709801", "https://www.google.com/maps/search/?api=1&amp;query=42.46010162,-2.40709801")</f>
      </c>
      <c r="P1805" s="9" t="s">
        <v>38</v>
      </c>
      <c r="Q1805" s="9" t="s">
        <v>13116</v>
      </c>
    </row>
    <row r="1806" spans="1:17" x14ac:dyDescent="0.25">
      <c r="A1806" s="8" t="s">
        <v>13117</v>
      </c>
      <c r="B1806" s="8" t="s">
        <v>13118</v>
      </c>
      <c r="C1806" s="9" t="s">
        <v>13119</v>
      </c>
      <c r="D1806" s="9" t="s">
        <v>106</v>
      </c>
      <c r="E1806" s="9" t="s">
        <v>13120</v>
      </c>
      <c r="F1806" s="10">
        <v>1.514</v>
      </c>
      <c r="G1806" s="10">
        <v>1.665</v>
      </c>
      <c r="H1806" s="10"/>
      <c r="I1806" s="9" t="s">
        <v>106</v>
      </c>
      <c r="J1806" s="9" t="s">
        <v>13121</v>
      </c>
      <c r="K1806" s="9" t="s">
        <v>13122</v>
      </c>
      <c r="L1806" s="8" t="s">
        <v>13123</v>
      </c>
      <c r="M1806" s="9" t="s">
        <v>36</v>
      </c>
      <c r="N1806" s="9" t="s">
        <v>13124</v>
      </c>
      <c r="O1806" s="9">
        <f>HYPERLINK("https://www.google.com/maps/search/?api=1&amp;query=38.17795322,-1.35272516", "https://www.google.com/maps/search/?api=1&amp;query=38.17795322,-1.35272516")</f>
      </c>
      <c r="P1806" s="9" t="s">
        <v>4917</v>
      </c>
      <c r="Q1806" s="9" t="s">
        <v>112</v>
      </c>
    </row>
    <row r="1807" spans="1:17" x14ac:dyDescent="0.25">
      <c r="A1807" s="8" t="s">
        <v>13125</v>
      </c>
      <c r="B1807" s="8" t="s">
        <v>13126</v>
      </c>
      <c r="C1807" s="9" t="s">
        <v>13127</v>
      </c>
      <c r="D1807" s="9" t="s">
        <v>892</v>
      </c>
      <c r="E1807" s="9" t="s">
        <v>13128</v>
      </c>
      <c r="F1807" s="10">
        <v>1.514</v>
      </c>
      <c r="G1807" s="10">
        <v>1.665</v>
      </c>
      <c r="H1807" s="10"/>
      <c r="I1807" s="9" t="s">
        <v>32</v>
      </c>
      <c r="J1807" s="9" t="s">
        <v>13129</v>
      </c>
      <c r="K1807" s="9" t="s">
        <v>13130</v>
      </c>
      <c r="L1807" s="8" t="s">
        <v>13131</v>
      </c>
      <c r="M1807" s="9" t="s">
        <v>36</v>
      </c>
      <c r="N1807" s="9" t="s">
        <v>13132</v>
      </c>
      <c r="O1807" s="9">
        <f>HYPERLINK("https://www.google.com/maps/search/?api=1&amp;query=40.31798356,-5.85891985", "https://www.google.com/maps/search/?api=1&amp;query=40.31798356,-5.85891985")</f>
      </c>
      <c r="P1807" s="9" t="s">
        <v>1803</v>
      </c>
      <c r="Q1807" s="9" t="s">
        <v>1131</v>
      </c>
    </row>
    <row r="1808" spans="1:17" x14ac:dyDescent="0.25">
      <c r="A1808" s="8" t="s">
        <v>13133</v>
      </c>
      <c r="B1808" s="8" t="s">
        <v>13134</v>
      </c>
      <c r="C1808" s="9" t="s">
        <v>13135</v>
      </c>
      <c r="D1808" s="9" t="s">
        <v>2288</v>
      </c>
      <c r="E1808" s="9" t="s">
        <v>7218</v>
      </c>
      <c r="F1808" s="10">
        <v>1.514</v>
      </c>
      <c r="G1808" s="10">
        <v>1.665</v>
      </c>
      <c r="H1808" s="10"/>
      <c r="I1808" s="9" t="s">
        <v>168</v>
      </c>
      <c r="J1808" s="9" t="s">
        <v>13136</v>
      </c>
      <c r="K1808" s="9" t="s">
        <v>13137</v>
      </c>
      <c r="L1808" s="8" t="s">
        <v>7221</v>
      </c>
      <c r="M1808" s="9" t="s">
        <v>49</v>
      </c>
      <c r="N1808" s="9" t="s">
        <v>37</v>
      </c>
      <c r="O1808" s="9">
        <f>HYPERLINK("https://www.google.com/maps/search/?api=1&amp;query=39.25579886,-2.58317717", "https://www.google.com/maps/search/?api=1&amp;query=39.25579886,-2.58317717")</f>
      </c>
      <c r="P1808" s="9" t="s">
        <v>38</v>
      </c>
      <c r="Q1808" s="9" t="s">
        <v>9240</v>
      </c>
    </row>
    <row r="1809" spans="1:17" x14ac:dyDescent="0.25">
      <c r="A1809" s="8" t="s">
        <v>13138</v>
      </c>
      <c r="B1809" s="8" t="s">
        <v>13139</v>
      </c>
      <c r="C1809" s="9" t="s">
        <v>13140</v>
      </c>
      <c r="D1809" s="9" t="s">
        <v>177</v>
      </c>
      <c r="E1809" s="9" t="s">
        <v>177</v>
      </c>
      <c r="F1809" s="10">
        <v>1.514</v>
      </c>
      <c r="G1809" s="10">
        <v>1.665</v>
      </c>
      <c r="H1809" s="10"/>
      <c r="I1809" s="9" t="s">
        <v>74</v>
      </c>
      <c r="J1809" s="9" t="s">
        <v>13141</v>
      </c>
      <c r="K1809" s="9" t="s">
        <v>13142</v>
      </c>
      <c r="L1809" s="8" t="s">
        <v>13143</v>
      </c>
      <c r="M1809" s="9" t="s">
        <v>49</v>
      </c>
      <c r="N1809" s="9" t="s">
        <v>66</v>
      </c>
      <c r="O1809" s="9">
        <f>HYPERLINK("https://www.google.com/maps/search/?api=1&amp;query=41.62971425,-4.72730547", "https://www.google.com/maps/search/?api=1&amp;query=41.62971425,-4.72730547")</f>
      </c>
      <c r="P1809" s="9" t="s">
        <v>1250</v>
      </c>
      <c r="Q1809" s="9" t="s">
        <v>102</v>
      </c>
    </row>
    <row r="1810" spans="1:17" x14ac:dyDescent="0.25">
      <c r="A1810" s="8" t="s">
        <v>13144</v>
      </c>
      <c r="B1810" s="8" t="s">
        <v>13145</v>
      </c>
      <c r="C1810" s="9" t="s">
        <v>13146</v>
      </c>
      <c r="D1810" s="9" t="s">
        <v>2050</v>
      </c>
      <c r="E1810" s="9" t="s">
        <v>13147</v>
      </c>
      <c r="F1810" s="10">
        <v>1.514</v>
      </c>
      <c r="G1810" s="10">
        <v>1.665</v>
      </c>
      <c r="H1810" s="10"/>
      <c r="I1810" s="9" t="s">
        <v>140</v>
      </c>
      <c r="J1810" s="9" t="s">
        <v>13148</v>
      </c>
      <c r="K1810" s="9" t="s">
        <v>13149</v>
      </c>
      <c r="L1810" s="8" t="s">
        <v>13150</v>
      </c>
      <c r="M1810" s="9" t="s">
        <v>49</v>
      </c>
      <c r="N1810" s="9" t="s">
        <v>122</v>
      </c>
      <c r="O1810" s="9">
        <f>HYPERLINK("https://www.google.com/maps/search/?api=1&amp;query=41.9115348,-8.09450196", "https://www.google.com/maps/search/?api=1&amp;query=41.9115348,-8.09450196")</f>
      </c>
      <c r="P1810" s="9" t="s">
        <v>1439</v>
      </c>
      <c r="Q1810" s="9" t="s">
        <v>3744</v>
      </c>
    </row>
    <row r="1811" spans="1:17" x14ac:dyDescent="0.25">
      <c r="A1811" s="8" t="s">
        <v>13151</v>
      </c>
      <c r="B1811" s="8" t="s">
        <v>13152</v>
      </c>
      <c r="C1811" s="9" t="s">
        <v>13153</v>
      </c>
      <c r="D1811" s="9" t="s">
        <v>516</v>
      </c>
      <c r="E1811" s="9" t="s">
        <v>3881</v>
      </c>
      <c r="F1811" s="10">
        <v>1.514</v>
      </c>
      <c r="G1811" s="10">
        <v>1.665</v>
      </c>
      <c r="H1811" s="10"/>
      <c r="I1811" s="9" t="s">
        <v>140</v>
      </c>
      <c r="J1811" s="9" t="s">
        <v>13154</v>
      </c>
      <c r="K1811" s="9" t="s">
        <v>13155</v>
      </c>
      <c r="L1811" s="8" t="s">
        <v>3884</v>
      </c>
      <c r="M1811" s="9" t="s">
        <v>49</v>
      </c>
      <c r="N1811" s="9" t="s">
        <v>13156</v>
      </c>
      <c r="O1811" s="9">
        <f>HYPERLINK("https://www.google.com/maps/search/?api=1&amp;query=43.05078026,-7.56554595", "https://www.google.com/maps/search/?api=1&amp;query=43.05078026,-7.56554595")</f>
      </c>
      <c r="P1811" s="9" t="s">
        <v>321</v>
      </c>
      <c r="Q1811" s="9" t="s">
        <v>13157</v>
      </c>
    </row>
    <row r="1812" spans="1:17" x14ac:dyDescent="0.25">
      <c r="A1812" s="8" t="s">
        <v>13158</v>
      </c>
      <c r="B1812" s="8" t="s">
        <v>13159</v>
      </c>
      <c r="C1812" s="9" t="s">
        <v>13160</v>
      </c>
      <c r="D1812" s="9" t="s">
        <v>72</v>
      </c>
      <c r="E1812" s="9" t="s">
        <v>1723</v>
      </c>
      <c r="F1812" s="10">
        <v>1.514</v>
      </c>
      <c r="G1812" s="10">
        <v>1.665</v>
      </c>
      <c r="H1812" s="10"/>
      <c r="I1812" s="9" t="s">
        <v>74</v>
      </c>
      <c r="J1812" s="9" t="s">
        <v>13161</v>
      </c>
      <c r="K1812" s="9" t="s">
        <v>13162</v>
      </c>
      <c r="L1812" s="8" t="s">
        <v>1726</v>
      </c>
      <c r="M1812" s="9" t="s">
        <v>49</v>
      </c>
      <c r="N1812" s="9" t="s">
        <v>13163</v>
      </c>
      <c r="O1812" s="9">
        <f>HYPERLINK("https://www.google.com/maps/search/?api=1&amp;query=42.79317851,-4.26558369", "https://www.google.com/maps/search/?api=1&amp;query=42.79317851,-4.26558369")</f>
      </c>
      <c r="P1812" s="9" t="s">
        <v>1803</v>
      </c>
      <c r="Q1812" s="9" t="s">
        <v>7794</v>
      </c>
    </row>
    <row r="1813" spans="1:17" x14ac:dyDescent="0.25">
      <c r="A1813" s="8" t="s">
        <v>13164</v>
      </c>
      <c r="B1813" s="8" t="s">
        <v>13165</v>
      </c>
      <c r="C1813" s="9" t="s">
        <v>13166</v>
      </c>
      <c r="D1813" s="9" t="s">
        <v>444</v>
      </c>
      <c r="E1813" s="9" t="s">
        <v>13167</v>
      </c>
      <c r="F1813" s="10">
        <v>1.514</v>
      </c>
      <c r="G1813" s="10">
        <v>1.665</v>
      </c>
      <c r="H1813" s="10"/>
      <c r="I1813" s="9" t="s">
        <v>444</v>
      </c>
      <c r="J1813" s="9" t="s">
        <v>13168</v>
      </c>
      <c r="K1813" s="9" t="s">
        <v>13169</v>
      </c>
      <c r="L1813" s="8" t="s">
        <v>13170</v>
      </c>
      <c r="M1813" s="9" t="s">
        <v>100</v>
      </c>
      <c r="N1813" s="9" t="s">
        <v>13171</v>
      </c>
      <c r="O1813" s="9">
        <f>HYPERLINK("https://www.google.com/maps/search/?api=1&amp;query=43.42649896,-6.82141172", "https://www.google.com/maps/search/?api=1&amp;query=43.42649896,-6.82141172")</f>
      </c>
      <c r="P1813" s="9" t="s">
        <v>1927</v>
      </c>
      <c r="Q1813" s="9" t="s">
        <v>13172</v>
      </c>
    </row>
    <row r="1814" spans="1:17" x14ac:dyDescent="0.25">
      <c r="A1814" s="8" t="s">
        <v>13173</v>
      </c>
      <c r="B1814" s="8" t="s">
        <v>13174</v>
      </c>
      <c r="C1814" s="9" t="s">
        <v>9559</v>
      </c>
      <c r="D1814" s="9" t="s">
        <v>398</v>
      </c>
      <c r="E1814" s="9" t="s">
        <v>827</v>
      </c>
      <c r="F1814" s="10">
        <v>1.514</v>
      </c>
      <c r="G1814" s="10">
        <v>1.665</v>
      </c>
      <c r="H1814" s="10"/>
      <c r="I1814" s="9" t="s">
        <v>400</v>
      </c>
      <c r="J1814" s="9" t="s">
        <v>13175</v>
      </c>
      <c r="K1814" s="9" t="s">
        <v>13176</v>
      </c>
      <c r="L1814" s="8" t="s">
        <v>13177</v>
      </c>
      <c r="M1814" s="9" t="s">
        <v>49</v>
      </c>
      <c r="N1814" s="9" t="s">
        <v>88</v>
      </c>
      <c r="O1814" s="9">
        <f>HYPERLINK("https://www.google.com/maps/search/?api=1&amp;query=38.26034934,-0.7180799", "https://www.google.com/maps/search/?api=1&amp;query=38.26034934,-0.7180799")</f>
      </c>
      <c r="P1814" s="9" t="s">
        <v>965</v>
      </c>
      <c r="Q1814" s="9" t="s">
        <v>966</v>
      </c>
    </row>
    <row r="1815" spans="1:17" x14ac:dyDescent="0.25">
      <c r="A1815" s="8" t="s">
        <v>13178</v>
      </c>
      <c r="B1815" s="8" t="s">
        <v>13179</v>
      </c>
      <c r="C1815" s="9" t="s">
        <v>13180</v>
      </c>
      <c r="D1815" s="9" t="s">
        <v>1192</v>
      </c>
      <c r="E1815" s="9" t="s">
        <v>13181</v>
      </c>
      <c r="F1815" s="10">
        <v>1.514</v>
      </c>
      <c r="G1815" s="10">
        <v>1.665</v>
      </c>
      <c r="H1815" s="10"/>
      <c r="I1815" s="9" t="s">
        <v>168</v>
      </c>
      <c r="J1815" s="9" t="s">
        <v>13182</v>
      </c>
      <c r="K1815" s="9" t="s">
        <v>13183</v>
      </c>
      <c r="L1815" s="8" t="s">
        <v>13184</v>
      </c>
      <c r="M1815" s="9" t="s">
        <v>49</v>
      </c>
      <c r="N1815" s="9" t="s">
        <v>122</v>
      </c>
      <c r="O1815" s="9">
        <f>HYPERLINK("https://www.google.com/maps/search/?api=1&amp;query=38.76623928,-3.39816836", "https://www.google.com/maps/search/?api=1&amp;query=38.76623928,-3.39816836")</f>
      </c>
      <c r="P1815" s="9" t="s">
        <v>3400</v>
      </c>
      <c r="Q1815" s="9" t="s">
        <v>874</v>
      </c>
    </row>
    <row r="1816" spans="1:17" x14ac:dyDescent="0.25">
      <c r="A1816" s="8" t="s">
        <v>13185</v>
      </c>
      <c r="B1816" s="8" t="s">
        <v>13186</v>
      </c>
      <c r="C1816" s="9" t="s">
        <v>13187</v>
      </c>
      <c r="D1816" s="9" t="s">
        <v>808</v>
      </c>
      <c r="E1816" s="9" t="s">
        <v>10493</v>
      </c>
      <c r="F1816" s="10">
        <v>1.514</v>
      </c>
      <c r="G1816" s="10">
        <v>1.665</v>
      </c>
      <c r="H1816" s="10"/>
      <c r="I1816" s="9" t="s">
        <v>808</v>
      </c>
      <c r="J1816" s="9" t="s">
        <v>13188</v>
      </c>
      <c r="K1816" s="9" t="s">
        <v>13189</v>
      </c>
      <c r="L1816" s="8" t="s">
        <v>10496</v>
      </c>
      <c r="M1816" s="9" t="s">
        <v>49</v>
      </c>
      <c r="N1816" s="9" t="s">
        <v>645</v>
      </c>
      <c r="O1816" s="9">
        <f>HYPERLINK("https://www.google.com/maps/search/?api=1&amp;query=43.31907962,-4.06856214", "https://www.google.com/maps/search/?api=1&amp;query=43.31907962,-4.06856214")</f>
      </c>
      <c r="P1816" s="9" t="s">
        <v>3400</v>
      </c>
      <c r="Q1816" s="9" t="s">
        <v>13190</v>
      </c>
    </row>
    <row r="1817" spans="1:17" x14ac:dyDescent="0.25">
      <c r="A1817" s="8" t="s">
        <v>13191</v>
      </c>
      <c r="B1817" s="8" t="s">
        <v>13192</v>
      </c>
      <c r="C1817" s="9" t="s">
        <v>13193</v>
      </c>
      <c r="D1817" s="9" t="s">
        <v>444</v>
      </c>
      <c r="E1817" s="9" t="s">
        <v>13194</v>
      </c>
      <c r="F1817" s="10">
        <v>1.514</v>
      </c>
      <c r="G1817" s="10">
        <v>1.665</v>
      </c>
      <c r="H1817" s="10"/>
      <c r="I1817" s="9" t="s">
        <v>444</v>
      </c>
      <c r="J1817" s="9" t="s">
        <v>13195</v>
      </c>
      <c r="K1817" s="9" t="s">
        <v>13196</v>
      </c>
      <c r="L1817" s="8" t="s">
        <v>8342</v>
      </c>
      <c r="M1817" s="9" t="s">
        <v>49</v>
      </c>
      <c r="N1817" s="9" t="s">
        <v>13197</v>
      </c>
      <c r="O1817" s="9">
        <f>HYPERLINK("https://www.google.com/maps/search/?api=1&amp;query=43.39333568,-5.66129761", "https://www.google.com/maps/search/?api=1&amp;query=43.39333568,-5.66129761")</f>
      </c>
      <c r="P1817" s="9" t="s">
        <v>111</v>
      </c>
      <c r="Q1817" s="9" t="s">
        <v>1131</v>
      </c>
    </row>
    <row r="1818" spans="1:17" x14ac:dyDescent="0.25">
      <c r="A1818" s="8" t="s">
        <v>13198</v>
      </c>
      <c r="B1818" s="8" t="s">
        <v>13199</v>
      </c>
      <c r="C1818" s="9" t="s">
        <v>13200</v>
      </c>
      <c r="D1818" s="9" t="s">
        <v>409</v>
      </c>
      <c r="E1818" s="9" t="s">
        <v>409</v>
      </c>
      <c r="F1818" s="10">
        <v>1.514</v>
      </c>
      <c r="G1818" s="10">
        <v>1.665</v>
      </c>
      <c r="H1818" s="10"/>
      <c r="I1818" s="9" t="s">
        <v>292</v>
      </c>
      <c r="J1818" s="9" t="s">
        <v>13201</v>
      </c>
      <c r="K1818" s="9" t="s">
        <v>13202</v>
      </c>
      <c r="L1818" s="8" t="s">
        <v>3899</v>
      </c>
      <c r="M1818" s="9" t="s">
        <v>49</v>
      </c>
      <c r="N1818" s="9" t="s">
        <v>3034</v>
      </c>
      <c r="O1818" s="9">
        <f>HYPERLINK("https://www.google.com/maps/search/?api=1&amp;query=41.62445795,-1.01002775", "https://www.google.com/maps/search/?api=1&amp;query=41.62445795,-1.01002775")</f>
      </c>
      <c r="P1818" s="9" t="s">
        <v>646</v>
      </c>
      <c r="Q1818" s="9" t="s">
        <v>754</v>
      </c>
    </row>
    <row r="1819" spans="1:17" x14ac:dyDescent="0.25">
      <c r="A1819" s="8" t="s">
        <v>13203</v>
      </c>
      <c r="B1819" s="8" t="s">
        <v>13204</v>
      </c>
      <c r="C1819" s="9" t="s">
        <v>13205</v>
      </c>
      <c r="D1819" s="9" t="s">
        <v>155</v>
      </c>
      <c r="E1819" s="9" t="s">
        <v>13206</v>
      </c>
      <c r="F1819" s="10">
        <v>1.514</v>
      </c>
      <c r="G1819" s="10">
        <v>1.665</v>
      </c>
      <c r="H1819" s="10"/>
      <c r="I1819" s="9" t="s">
        <v>157</v>
      </c>
      <c r="J1819" s="9" t="s">
        <v>13207</v>
      </c>
      <c r="K1819" s="9" t="s">
        <v>13208</v>
      </c>
      <c r="L1819" s="8" t="s">
        <v>13209</v>
      </c>
      <c r="M1819" s="9" t="s">
        <v>49</v>
      </c>
      <c r="N1819" s="9" t="s">
        <v>12417</v>
      </c>
      <c r="O1819" s="9">
        <f>HYPERLINK("https://www.google.com/maps/search/?api=1&amp;query=38.96256908,1.39474956", "https://www.google.com/maps/search/?api=1&amp;query=38.96256908,1.39474956")</f>
      </c>
      <c r="P1819" s="9" t="s">
        <v>13210</v>
      </c>
      <c r="Q1819" s="9" t="s">
        <v>1131</v>
      </c>
    </row>
    <row r="1820" spans="1:17" x14ac:dyDescent="0.25">
      <c r="A1820" s="8" t="s">
        <v>13211</v>
      </c>
      <c r="B1820" s="8" t="s">
        <v>13212</v>
      </c>
      <c r="C1820" s="9" t="s">
        <v>13213</v>
      </c>
      <c r="D1820" s="9" t="s">
        <v>892</v>
      </c>
      <c r="E1820" s="9" t="s">
        <v>13214</v>
      </c>
      <c r="F1820" s="10">
        <v>1.514</v>
      </c>
      <c r="G1820" s="10">
        <v>1.665</v>
      </c>
      <c r="H1820" s="10"/>
      <c r="I1820" s="9" t="s">
        <v>32</v>
      </c>
      <c r="J1820" s="9" t="s">
        <v>13215</v>
      </c>
      <c r="K1820" s="9" t="s">
        <v>13216</v>
      </c>
      <c r="L1820" s="8" t="s">
        <v>13217</v>
      </c>
      <c r="M1820" s="9" t="s">
        <v>36</v>
      </c>
      <c r="N1820" s="9" t="s">
        <v>122</v>
      </c>
      <c r="O1820" s="9">
        <f>HYPERLINK("https://www.google.com/maps/search/?api=1&amp;query=39.29086608,-5.69507281", "https://www.google.com/maps/search/?api=1&amp;query=39.29086608,-5.69507281")</f>
      </c>
      <c r="P1820" s="9" t="s">
        <v>8200</v>
      </c>
      <c r="Q1820" s="9" t="s">
        <v>1131</v>
      </c>
    </row>
    <row r="1821" spans="1:17" x14ac:dyDescent="0.25">
      <c r="A1821" s="8" t="s">
        <v>13218</v>
      </c>
      <c r="B1821" s="8" t="s">
        <v>13219</v>
      </c>
      <c r="C1821" s="9" t="s">
        <v>13220</v>
      </c>
      <c r="D1821" s="9" t="s">
        <v>30</v>
      </c>
      <c r="E1821" s="9" t="s">
        <v>13221</v>
      </c>
      <c r="F1821" s="10">
        <v>1.514</v>
      </c>
      <c r="G1821" s="10">
        <v>1.665</v>
      </c>
      <c r="H1821" s="10"/>
      <c r="I1821" s="9" t="s">
        <v>32</v>
      </c>
      <c r="J1821" s="9" t="s">
        <v>13222</v>
      </c>
      <c r="K1821" s="9" t="s">
        <v>13223</v>
      </c>
      <c r="L1821" s="8" t="s">
        <v>13224</v>
      </c>
      <c r="M1821" s="9" t="s">
        <v>49</v>
      </c>
      <c r="N1821" s="9" t="s">
        <v>13225</v>
      </c>
      <c r="O1821" s="9">
        <f>HYPERLINK("https://www.google.com/maps/search/?api=1&amp;query=38.40716333,-6.00229406", "https://www.google.com/maps/search/?api=1&amp;query=38.40716333,-6.00229406")</f>
      </c>
      <c r="P1821" s="9" t="s">
        <v>2158</v>
      </c>
      <c r="Q1821" s="9" t="s">
        <v>1742</v>
      </c>
    </row>
    <row r="1822" spans="1:17" x14ac:dyDescent="0.25">
      <c r="A1822" s="8" t="s">
        <v>13226</v>
      </c>
      <c r="B1822" s="8" t="s">
        <v>13227</v>
      </c>
      <c r="C1822" s="9" t="s">
        <v>13228</v>
      </c>
      <c r="D1822" s="9" t="s">
        <v>226</v>
      </c>
      <c r="E1822" s="9" t="s">
        <v>13229</v>
      </c>
      <c r="F1822" s="10">
        <v>1.514</v>
      </c>
      <c r="G1822" s="10">
        <v>1.665</v>
      </c>
      <c r="H1822" s="10"/>
      <c r="I1822" s="9" t="s">
        <v>168</v>
      </c>
      <c r="J1822" s="9" t="s">
        <v>13230</v>
      </c>
      <c r="K1822" s="9" t="s">
        <v>13231</v>
      </c>
      <c r="L1822" s="8" t="s">
        <v>13232</v>
      </c>
      <c r="M1822" s="9" t="s">
        <v>36</v>
      </c>
      <c r="N1822" s="9" t="s">
        <v>13233</v>
      </c>
      <c r="O1822" s="9">
        <f>HYPERLINK("https://www.google.com/maps/search/?api=1&amp;query=40.03545227,-2.7333601", "https://www.google.com/maps/search/?api=1&amp;query=40.03545227,-2.7333601")</f>
      </c>
      <c r="P1822" s="9" t="s">
        <v>1803</v>
      </c>
      <c r="Q1822" s="9" t="s">
        <v>1131</v>
      </c>
    </row>
    <row r="1823" spans="1:17" x14ac:dyDescent="0.25">
      <c r="A1823" s="8" t="s">
        <v>13234</v>
      </c>
      <c r="B1823" s="8" t="s">
        <v>13235</v>
      </c>
      <c r="C1823" s="9" t="s">
        <v>13236</v>
      </c>
      <c r="D1823" s="9" t="s">
        <v>1282</v>
      </c>
      <c r="E1823" s="9" t="s">
        <v>1282</v>
      </c>
      <c r="F1823" s="10">
        <v>1.514</v>
      </c>
      <c r="G1823" s="10">
        <v>1.665</v>
      </c>
      <c r="H1823" s="10"/>
      <c r="I1823" s="9" t="s">
        <v>45</v>
      </c>
      <c r="J1823" s="9" t="s">
        <v>13237</v>
      </c>
      <c r="K1823" s="9" t="s">
        <v>13238</v>
      </c>
      <c r="L1823" s="8" t="s">
        <v>3750</v>
      </c>
      <c r="M1823" s="9" t="s">
        <v>49</v>
      </c>
      <c r="N1823" s="9" t="s">
        <v>357</v>
      </c>
      <c r="O1823" s="9">
        <f>HYPERLINK("https://www.google.com/maps/search/?api=1&amp;query=37.21074925,-3.60941599", "https://www.google.com/maps/search/?api=1&amp;query=37.21074925,-3.60941599")</f>
      </c>
      <c r="P1823" s="9" t="s">
        <v>897</v>
      </c>
      <c r="Q1823" s="9" t="s">
        <v>13239</v>
      </c>
    </row>
    <row r="1824" spans="1:17" x14ac:dyDescent="0.25">
      <c r="A1824" s="8" t="s">
        <v>13240</v>
      </c>
      <c r="B1824" s="8" t="s">
        <v>13241</v>
      </c>
      <c r="C1824" s="9" t="s">
        <v>13242</v>
      </c>
      <c r="D1824" s="9" t="s">
        <v>398</v>
      </c>
      <c r="E1824" s="9" t="s">
        <v>13243</v>
      </c>
      <c r="F1824" s="10">
        <v>1.514</v>
      </c>
      <c r="G1824" s="10">
        <v>1.665</v>
      </c>
      <c r="H1824" s="10"/>
      <c r="I1824" s="9" t="s">
        <v>400</v>
      </c>
      <c r="J1824" s="9" t="s">
        <v>13244</v>
      </c>
      <c r="K1824" s="9" t="s">
        <v>13245</v>
      </c>
      <c r="L1824" s="8" t="s">
        <v>13246</v>
      </c>
      <c r="M1824" s="9" t="s">
        <v>36</v>
      </c>
      <c r="N1824" s="9" t="s">
        <v>592</v>
      </c>
      <c r="O1824" s="9">
        <f>HYPERLINK("https://www.google.com/maps/search/?api=1&amp;query=38.19599532,-0.67863411", "https://www.google.com/maps/search/?api=1&amp;query=38.19599532,-0.67863411")</f>
      </c>
      <c r="P1824" s="9" t="s">
        <v>1514</v>
      </c>
      <c r="Q1824" s="9" t="s">
        <v>3942</v>
      </c>
    </row>
    <row r="1825" spans="1:17" x14ac:dyDescent="0.25">
      <c r="A1825" s="8" t="s">
        <v>13247</v>
      </c>
      <c r="B1825" s="8" t="s">
        <v>13248</v>
      </c>
      <c r="C1825" s="9" t="s">
        <v>13249</v>
      </c>
      <c r="D1825" s="9" t="s">
        <v>61</v>
      </c>
      <c r="E1825" s="9" t="s">
        <v>61</v>
      </c>
      <c r="F1825" s="10">
        <v>1.514</v>
      </c>
      <c r="G1825" s="10">
        <v>1.665</v>
      </c>
      <c r="H1825" s="10"/>
      <c r="I1825" s="9" t="s">
        <v>45</v>
      </c>
      <c r="J1825" s="9" t="s">
        <v>13250</v>
      </c>
      <c r="K1825" s="9" t="s">
        <v>13251</v>
      </c>
      <c r="L1825" s="8" t="s">
        <v>13252</v>
      </c>
      <c r="M1825" s="9" t="s">
        <v>49</v>
      </c>
      <c r="N1825" s="9" t="s">
        <v>37</v>
      </c>
      <c r="O1825" s="9">
        <f>HYPERLINK("https://www.google.com/maps/search/?api=1&amp;query=37.39487185,-6.00250811", "https://www.google.com/maps/search/?api=1&amp;query=37.39487185,-6.00250811")</f>
      </c>
      <c r="P1825" s="9" t="s">
        <v>897</v>
      </c>
      <c r="Q1825" s="9" t="s">
        <v>13253</v>
      </c>
    </row>
    <row r="1826" spans="1:17" x14ac:dyDescent="0.25">
      <c r="A1826" s="8" t="s">
        <v>4052</v>
      </c>
      <c r="B1826" s="8" t="s">
        <v>13254</v>
      </c>
      <c r="C1826" s="9" t="s">
        <v>13255</v>
      </c>
      <c r="D1826" s="9" t="s">
        <v>577</v>
      </c>
      <c r="E1826" s="9" t="s">
        <v>13256</v>
      </c>
      <c r="F1826" s="10">
        <v>1.514</v>
      </c>
      <c r="G1826" s="10">
        <v>1.665</v>
      </c>
      <c r="H1826" s="10"/>
      <c r="I1826" s="9" t="s">
        <v>74</v>
      </c>
      <c r="J1826" s="9" t="s">
        <v>13257</v>
      </c>
      <c r="K1826" s="9" t="s">
        <v>13258</v>
      </c>
      <c r="L1826" s="8" t="s">
        <v>13259</v>
      </c>
      <c r="M1826" s="9" t="s">
        <v>49</v>
      </c>
      <c r="N1826" s="9" t="s">
        <v>7851</v>
      </c>
      <c r="O1826" s="9">
        <f>HYPERLINK("https://www.google.com/maps/search/?api=1&amp;query=40.45595273,-4.8205528", "https://www.google.com/maps/search/?api=1&amp;query=40.45595273,-4.8205528")</f>
      </c>
      <c r="P1826" s="9" t="s">
        <v>2158</v>
      </c>
      <c r="Q1826" s="9" t="s">
        <v>13260</v>
      </c>
    </row>
    <row r="1827" spans="1:17" x14ac:dyDescent="0.25">
      <c r="A1827" s="8" t="s">
        <v>13261</v>
      </c>
      <c r="B1827" s="8" t="s">
        <v>13262</v>
      </c>
      <c r="C1827" s="9" t="s">
        <v>9865</v>
      </c>
      <c r="D1827" s="9" t="s">
        <v>83</v>
      </c>
      <c r="E1827" s="9" t="s">
        <v>83</v>
      </c>
      <c r="F1827" s="10">
        <v>1.514</v>
      </c>
      <c r="G1827" s="10">
        <v>1.665</v>
      </c>
      <c r="H1827" s="10"/>
      <c r="I1827" s="9" t="s">
        <v>83</v>
      </c>
      <c r="J1827" s="9" t="s">
        <v>13263</v>
      </c>
      <c r="K1827" s="9" t="s">
        <v>13264</v>
      </c>
      <c r="L1827" s="8" t="s">
        <v>5045</v>
      </c>
      <c r="M1827" s="9" t="s">
        <v>100</v>
      </c>
      <c r="N1827" s="9" t="s">
        <v>37</v>
      </c>
      <c r="O1827" s="9">
        <f>HYPERLINK("https://www.google.com/maps/search/?api=1&amp;query=40.50000389,-3.69795444", "https://www.google.com/maps/search/?api=1&amp;query=40.50000389,-3.69795444")</f>
      </c>
      <c r="P1827" s="9" t="s">
        <v>13265</v>
      </c>
      <c r="Q1827" s="9" t="s">
        <v>9584</v>
      </c>
    </row>
    <row r="1828" spans="1:17" x14ac:dyDescent="0.25">
      <c r="A1828" s="8" t="s">
        <v>13266</v>
      </c>
      <c r="B1828" s="8" t="s">
        <v>13267</v>
      </c>
      <c r="C1828" s="9" t="s">
        <v>13268</v>
      </c>
      <c r="D1828" s="9" t="s">
        <v>280</v>
      </c>
      <c r="E1828" s="9" t="s">
        <v>4538</v>
      </c>
      <c r="F1828" s="10">
        <v>1.514</v>
      </c>
      <c r="G1828" s="10">
        <v>1.665</v>
      </c>
      <c r="H1828" s="10"/>
      <c r="I1828" s="9" t="s">
        <v>118</v>
      </c>
      <c r="J1828" s="9" t="s">
        <v>13269</v>
      </c>
      <c r="K1828" s="9" t="s">
        <v>13270</v>
      </c>
      <c r="L1828" s="8" t="s">
        <v>4541</v>
      </c>
      <c r="M1828" s="9" t="s">
        <v>49</v>
      </c>
      <c r="N1828" s="9" t="s">
        <v>37</v>
      </c>
      <c r="O1828" s="9">
        <f>HYPERLINK("https://www.google.com/maps/search/?api=1&amp;query=43.04474401,-2.20256308", "https://www.google.com/maps/search/?api=1&amp;query=43.04474401,-2.20256308")</f>
      </c>
      <c r="P1828" s="9" t="s">
        <v>915</v>
      </c>
      <c r="Q1828" s="9" t="s">
        <v>13271</v>
      </c>
    </row>
    <row r="1829" spans="1:17" x14ac:dyDescent="0.25">
      <c r="A1829" s="8" t="s">
        <v>13272</v>
      </c>
      <c r="B1829" s="8" t="s">
        <v>13273</v>
      </c>
      <c r="C1829" s="9" t="s">
        <v>13274</v>
      </c>
      <c r="D1829" s="9" t="s">
        <v>808</v>
      </c>
      <c r="E1829" s="9" t="s">
        <v>13275</v>
      </c>
      <c r="F1829" s="10">
        <v>1.514</v>
      </c>
      <c r="G1829" s="10">
        <v>1.665</v>
      </c>
      <c r="H1829" s="10"/>
      <c r="I1829" s="9" t="s">
        <v>808</v>
      </c>
      <c r="J1829" s="9" t="s">
        <v>13276</v>
      </c>
      <c r="K1829" s="9" t="s">
        <v>13277</v>
      </c>
      <c r="L1829" s="8" t="s">
        <v>13278</v>
      </c>
      <c r="M1829" s="9" t="s">
        <v>49</v>
      </c>
      <c r="N1829" s="9" t="s">
        <v>13279</v>
      </c>
      <c r="O1829" s="9">
        <f>HYPERLINK("https://www.google.com/maps/search/?api=1&amp;query=43.23487339,-3.81687813", "https://www.google.com/maps/search/?api=1&amp;query=43.23487339,-3.81687813")</f>
      </c>
      <c r="P1829" s="9" t="s">
        <v>1645</v>
      </c>
      <c r="Q1829" s="9" t="s">
        <v>647</v>
      </c>
    </row>
    <row r="1830" spans="1:17" x14ac:dyDescent="0.25">
      <c r="A1830" s="8" t="s">
        <v>13280</v>
      </c>
      <c r="B1830" s="8" t="s">
        <v>13281</v>
      </c>
      <c r="C1830" s="9" t="s">
        <v>13282</v>
      </c>
      <c r="D1830" s="9" t="s">
        <v>217</v>
      </c>
      <c r="E1830" s="9" t="s">
        <v>13283</v>
      </c>
      <c r="F1830" s="10">
        <v>1.514</v>
      </c>
      <c r="G1830" s="10">
        <v>1.665</v>
      </c>
      <c r="H1830" s="10"/>
      <c r="I1830" s="9" t="s">
        <v>45</v>
      </c>
      <c r="J1830" s="9" t="s">
        <v>13284</v>
      </c>
      <c r="K1830" s="9" t="s">
        <v>13285</v>
      </c>
      <c r="L1830" s="8" t="s">
        <v>1227</v>
      </c>
      <c r="M1830" s="9" t="s">
        <v>100</v>
      </c>
      <c r="N1830" s="9" t="s">
        <v>37</v>
      </c>
      <c r="O1830" s="9">
        <f>HYPERLINK("https://www.google.com/maps/search/?api=1&amp;query=37.11271027,-4.56707435", "https://www.google.com/maps/search/?api=1&amp;query=37.11271027,-4.56707435")</f>
      </c>
      <c r="P1830" s="9" t="s">
        <v>4374</v>
      </c>
      <c r="Q1830" s="9" t="s">
        <v>13286</v>
      </c>
    </row>
    <row r="1831" spans="1:17" x14ac:dyDescent="0.25">
      <c r="A1831" s="8" t="s">
        <v>13287</v>
      </c>
      <c r="B1831" s="8" t="s">
        <v>13288</v>
      </c>
      <c r="C1831" s="9" t="s">
        <v>13289</v>
      </c>
      <c r="D1831" s="9" t="s">
        <v>187</v>
      </c>
      <c r="E1831" s="9" t="s">
        <v>13290</v>
      </c>
      <c r="F1831" s="10">
        <v>1.514</v>
      </c>
      <c r="G1831" s="10">
        <v>1.665</v>
      </c>
      <c r="H1831" s="10"/>
      <c r="I1831" s="9" t="s">
        <v>74</v>
      </c>
      <c r="J1831" s="9" t="s">
        <v>13291</v>
      </c>
      <c r="K1831" s="9" t="s">
        <v>13292</v>
      </c>
      <c r="L1831" s="8" t="s">
        <v>13293</v>
      </c>
      <c r="M1831" s="9" t="s">
        <v>49</v>
      </c>
      <c r="N1831" s="9" t="s">
        <v>13294</v>
      </c>
      <c r="O1831" s="9">
        <f>HYPERLINK("https://www.google.com/maps/search/?api=1&amp;query=42.35200191,-5.73947832", "https://www.google.com/maps/search/?api=1&amp;query=42.35200191,-5.73947832")</f>
      </c>
      <c r="P1831" s="9" t="s">
        <v>771</v>
      </c>
      <c r="Q1831" s="9" t="s">
        <v>13295</v>
      </c>
    </row>
    <row r="1832" spans="1:17" x14ac:dyDescent="0.25">
      <c r="A1832" s="8" t="s">
        <v>13296</v>
      </c>
      <c r="B1832" s="8" t="s">
        <v>13297</v>
      </c>
      <c r="C1832" s="9" t="s">
        <v>13298</v>
      </c>
      <c r="D1832" s="9" t="s">
        <v>424</v>
      </c>
      <c r="E1832" s="9" t="s">
        <v>13299</v>
      </c>
      <c r="F1832" s="10">
        <v>1.514</v>
      </c>
      <c r="G1832" s="10">
        <v>1.665</v>
      </c>
      <c r="H1832" s="10"/>
      <c r="I1832" s="9" t="s">
        <v>96</v>
      </c>
      <c r="J1832" s="9" t="s">
        <v>13300</v>
      </c>
      <c r="K1832" s="9" t="s">
        <v>13301</v>
      </c>
      <c r="L1832" s="8" t="s">
        <v>13302</v>
      </c>
      <c r="M1832" s="9" t="s">
        <v>49</v>
      </c>
      <c r="N1832" s="9" t="s">
        <v>88</v>
      </c>
      <c r="O1832" s="9">
        <f>HYPERLINK("https://www.google.com/maps/search/?api=1&amp;query=41.75434709,0.91566415", "https://www.google.com/maps/search/?api=1&amp;query=41.75434709,0.91566415")</f>
      </c>
      <c r="P1832" s="9" t="s">
        <v>4183</v>
      </c>
      <c r="Q1832" s="9" t="s">
        <v>8460</v>
      </c>
    </row>
    <row r="1833" spans="1:17" x14ac:dyDescent="0.25">
      <c r="A1833" s="8" t="s">
        <v>13303</v>
      </c>
      <c r="B1833" s="8" t="s">
        <v>13304</v>
      </c>
      <c r="C1833" s="9" t="s">
        <v>13305</v>
      </c>
      <c r="D1833" s="9" t="s">
        <v>197</v>
      </c>
      <c r="E1833" s="9" t="s">
        <v>13306</v>
      </c>
      <c r="F1833" s="10">
        <v>1.514</v>
      </c>
      <c r="G1833" s="10">
        <v>1.665</v>
      </c>
      <c r="H1833" s="10"/>
      <c r="I1833" s="9" t="s">
        <v>168</v>
      </c>
      <c r="J1833" s="9" t="s">
        <v>13307</v>
      </c>
      <c r="K1833" s="9" t="s">
        <v>13308</v>
      </c>
      <c r="L1833" s="8" t="s">
        <v>13309</v>
      </c>
      <c r="M1833" s="9" t="s">
        <v>36</v>
      </c>
      <c r="N1833" s="9" t="s">
        <v>645</v>
      </c>
      <c r="O1833" s="9">
        <f>HYPERLINK("https://www.google.com/maps/search/?api=1&amp;query=39.73284722,-3.98577936", "https://www.google.com/maps/search/?api=1&amp;query=39.73284722,-3.98577936")</f>
      </c>
      <c r="P1833" s="9" t="s">
        <v>10950</v>
      </c>
      <c r="Q1833" s="9" t="s">
        <v>13310</v>
      </c>
    </row>
    <row r="1834" spans="1:17" x14ac:dyDescent="0.25">
      <c r="A1834" s="8" t="s">
        <v>13311</v>
      </c>
      <c r="B1834" s="8" t="s">
        <v>13312</v>
      </c>
      <c r="C1834" s="9" t="s">
        <v>13313</v>
      </c>
      <c r="D1834" s="9" t="s">
        <v>2288</v>
      </c>
      <c r="E1834" s="9" t="s">
        <v>13314</v>
      </c>
      <c r="F1834" s="10">
        <v>1.514</v>
      </c>
      <c r="G1834" s="10">
        <v>1.665</v>
      </c>
      <c r="H1834" s="10"/>
      <c r="I1834" s="9" t="s">
        <v>168</v>
      </c>
      <c r="J1834" s="9" t="s">
        <v>13315</v>
      </c>
      <c r="K1834" s="9" t="s">
        <v>13316</v>
      </c>
      <c r="L1834" s="8" t="s">
        <v>13317</v>
      </c>
      <c r="M1834" s="9" t="s">
        <v>36</v>
      </c>
      <c r="N1834" s="9" t="s">
        <v>13318</v>
      </c>
      <c r="O1834" s="9">
        <f>HYPERLINK("https://www.google.com/maps/search/?api=1&amp;query=38.96731464,-2.75130923", "https://www.google.com/maps/search/?api=1&amp;query=38.96731464,-2.75130923")</f>
      </c>
      <c r="P1834" s="9" t="s">
        <v>9840</v>
      </c>
      <c r="Q1834" s="9" t="s">
        <v>5188</v>
      </c>
    </row>
    <row r="1835" spans="1:17" x14ac:dyDescent="0.25">
      <c r="A1835" s="8" t="s">
        <v>13319</v>
      </c>
      <c r="B1835" s="8" t="s">
        <v>13320</v>
      </c>
      <c r="C1835" s="9" t="s">
        <v>13321</v>
      </c>
      <c r="D1835" s="9" t="s">
        <v>217</v>
      </c>
      <c r="E1835" s="9" t="s">
        <v>5058</v>
      </c>
      <c r="F1835" s="10">
        <v>1.514</v>
      </c>
      <c r="G1835" s="10">
        <v>1.665</v>
      </c>
      <c r="H1835" s="10"/>
      <c r="I1835" s="9" t="s">
        <v>45</v>
      </c>
      <c r="J1835" s="9" t="s">
        <v>13322</v>
      </c>
      <c r="K1835" s="9" t="s">
        <v>13323</v>
      </c>
      <c r="L1835" s="8" t="s">
        <v>5061</v>
      </c>
      <c r="M1835" s="9" t="s">
        <v>49</v>
      </c>
      <c r="N1835" s="9" t="s">
        <v>37</v>
      </c>
      <c r="O1835" s="9">
        <f>HYPERLINK("https://www.google.com/maps/search/?api=1&amp;query=36.500194,-4.798833", "https://www.google.com/maps/search/?api=1&amp;query=36.500194,-4.798833")</f>
      </c>
      <c r="P1835" s="9" t="s">
        <v>1751</v>
      </c>
      <c r="Q1835" s="9" t="s">
        <v>13324</v>
      </c>
    </row>
    <row r="1836" spans="1:17" x14ac:dyDescent="0.25">
      <c r="A1836" s="8" t="s">
        <v>13325</v>
      </c>
      <c r="B1836" s="8" t="s">
        <v>13326</v>
      </c>
      <c r="C1836" s="9" t="s">
        <v>13327</v>
      </c>
      <c r="D1836" s="9" t="s">
        <v>2288</v>
      </c>
      <c r="E1836" s="9" t="s">
        <v>2288</v>
      </c>
      <c r="F1836" s="10">
        <v>1.514</v>
      </c>
      <c r="G1836" s="10">
        <v>1.665</v>
      </c>
      <c r="H1836" s="10"/>
      <c r="I1836" s="9" t="s">
        <v>168</v>
      </c>
      <c r="J1836" s="9" t="s">
        <v>13328</v>
      </c>
      <c r="K1836" s="9" t="s">
        <v>13329</v>
      </c>
      <c r="L1836" s="8" t="s">
        <v>4931</v>
      </c>
      <c r="M1836" s="9" t="s">
        <v>36</v>
      </c>
      <c r="N1836" s="9" t="s">
        <v>13330</v>
      </c>
      <c r="O1836" s="9">
        <f>HYPERLINK("https://www.google.com/maps/search/?api=1&amp;query=38.9261329,-2.03162566", "https://www.google.com/maps/search/?api=1&amp;query=38.9261329,-2.03162566")</f>
      </c>
      <c r="P1836" s="9" t="s">
        <v>10950</v>
      </c>
      <c r="Q1836" s="9" t="s">
        <v>13331</v>
      </c>
    </row>
    <row r="1837" spans="1:17" x14ac:dyDescent="0.25">
      <c r="A1837" s="8" t="s">
        <v>13332</v>
      </c>
      <c r="B1837" s="8" t="s">
        <v>13333</v>
      </c>
      <c r="C1837" s="9" t="s">
        <v>13334</v>
      </c>
      <c r="D1837" s="9" t="s">
        <v>217</v>
      </c>
      <c r="E1837" s="9" t="s">
        <v>6167</v>
      </c>
      <c r="F1837" s="10">
        <v>1.514</v>
      </c>
      <c r="G1837" s="10">
        <v>1.665</v>
      </c>
      <c r="H1837" s="10"/>
      <c r="I1837" s="9" t="s">
        <v>45</v>
      </c>
      <c r="J1837" s="9" t="s">
        <v>13335</v>
      </c>
      <c r="K1837" s="9" t="s">
        <v>13336</v>
      </c>
      <c r="L1837" s="8" t="s">
        <v>6170</v>
      </c>
      <c r="M1837" s="9" t="s">
        <v>36</v>
      </c>
      <c r="N1837" s="9" t="s">
        <v>211</v>
      </c>
      <c r="O1837" s="9">
        <f>HYPERLINK("https://www.google.com/maps/search/?api=1&amp;query=36.55864416,-4.62096255", "https://www.google.com/maps/search/?api=1&amp;query=36.55864416,-4.62096255")</f>
      </c>
      <c r="P1837" s="9" t="s">
        <v>572</v>
      </c>
      <c r="Q1837" s="9" t="s">
        <v>13337</v>
      </c>
    </row>
    <row r="1838" spans="1:17" x14ac:dyDescent="0.25">
      <c r="A1838" s="8" t="s">
        <v>13338</v>
      </c>
      <c r="B1838" s="8" t="s">
        <v>13339</v>
      </c>
      <c r="C1838" s="9" t="s">
        <v>13340</v>
      </c>
      <c r="D1838" s="9" t="s">
        <v>577</v>
      </c>
      <c r="E1838" s="9" t="s">
        <v>13341</v>
      </c>
      <c r="F1838" s="10">
        <v>1.514</v>
      </c>
      <c r="G1838" s="10">
        <v>1.665</v>
      </c>
      <c r="H1838" s="10"/>
      <c r="I1838" s="9" t="s">
        <v>74</v>
      </c>
      <c r="J1838" s="9" t="s">
        <v>13342</v>
      </c>
      <c r="K1838" s="9" t="s">
        <v>13343</v>
      </c>
      <c r="L1838" s="8" t="s">
        <v>13344</v>
      </c>
      <c r="M1838" s="9" t="s">
        <v>49</v>
      </c>
      <c r="N1838" s="9" t="s">
        <v>10182</v>
      </c>
      <c r="O1838" s="9">
        <f>HYPERLINK("https://www.google.com/maps/search/?api=1&amp;query=41.05973968,-4.72042673", "https://www.google.com/maps/search/?api=1&amp;query=41.05973968,-4.72042673")</f>
      </c>
      <c r="P1838" s="9" t="s">
        <v>1439</v>
      </c>
      <c r="Q1838" s="9" t="s">
        <v>1131</v>
      </c>
    </row>
    <row r="1839" spans="1:17" x14ac:dyDescent="0.25">
      <c r="A1839" s="8" t="s">
        <v>13345</v>
      </c>
      <c r="B1839" s="8" t="s">
        <v>13346</v>
      </c>
      <c r="C1839" s="9" t="s">
        <v>13347</v>
      </c>
      <c r="D1839" s="9" t="s">
        <v>177</v>
      </c>
      <c r="E1839" s="9" t="s">
        <v>177</v>
      </c>
      <c r="F1839" s="10">
        <v>1.514</v>
      </c>
      <c r="G1839" s="10">
        <v>1.665</v>
      </c>
      <c r="H1839" s="10"/>
      <c r="I1839" s="9" t="s">
        <v>74</v>
      </c>
      <c r="J1839" s="9" t="s">
        <v>13348</v>
      </c>
      <c r="K1839" s="9" t="s">
        <v>13349</v>
      </c>
      <c r="L1839" s="8" t="s">
        <v>1380</v>
      </c>
      <c r="M1839" s="9" t="s">
        <v>49</v>
      </c>
      <c r="N1839" s="9" t="s">
        <v>13350</v>
      </c>
      <c r="O1839" s="9">
        <f>HYPERLINK("https://www.google.com/maps/search/?api=1&amp;query=41.60436791,-4.75406651", "https://www.google.com/maps/search/?api=1&amp;query=41.60436791,-4.75406651")</f>
      </c>
      <c r="P1839" s="9" t="s">
        <v>1287</v>
      </c>
      <c r="Q1839" s="9" t="s">
        <v>8298</v>
      </c>
    </row>
    <row r="1840" spans="1:17" x14ac:dyDescent="0.25">
      <c r="A1840" s="8" t="s">
        <v>13351</v>
      </c>
      <c r="B1840" s="8" t="s">
        <v>13352</v>
      </c>
      <c r="C1840" s="9" t="s">
        <v>13353</v>
      </c>
      <c r="D1840" s="9" t="s">
        <v>444</v>
      </c>
      <c r="E1840" s="9" t="s">
        <v>13354</v>
      </c>
      <c r="F1840" s="10">
        <v>1.514</v>
      </c>
      <c r="G1840" s="10">
        <v>1.665</v>
      </c>
      <c r="H1840" s="10"/>
      <c r="I1840" s="9" t="s">
        <v>444</v>
      </c>
      <c r="J1840" s="9" t="s">
        <v>13355</v>
      </c>
      <c r="K1840" s="9" t="s">
        <v>13356</v>
      </c>
      <c r="L1840" s="8" t="s">
        <v>8559</v>
      </c>
      <c r="M1840" s="9" t="s">
        <v>49</v>
      </c>
      <c r="N1840" s="9" t="s">
        <v>211</v>
      </c>
      <c r="O1840" s="9">
        <f>HYPERLINK("https://www.google.com/maps/search/?api=1&amp;query=43.56851783,-6.9440283", "https://www.google.com/maps/search/?api=1&amp;query=43.56851783,-6.9440283")</f>
      </c>
      <c r="P1840" s="9" t="s">
        <v>831</v>
      </c>
      <c r="Q1840" s="9" t="s">
        <v>5306</v>
      </c>
    </row>
    <row r="1841" spans="1:17" x14ac:dyDescent="0.25">
      <c r="A1841" s="8" t="s">
        <v>13357</v>
      </c>
      <c r="B1841" s="8" t="s">
        <v>13358</v>
      </c>
      <c r="C1841" s="9" t="s">
        <v>13359</v>
      </c>
      <c r="D1841" s="9" t="s">
        <v>469</v>
      </c>
      <c r="E1841" s="9" t="s">
        <v>13360</v>
      </c>
      <c r="F1841" s="10">
        <v>1.514</v>
      </c>
      <c r="G1841" s="10">
        <v>1.665</v>
      </c>
      <c r="H1841" s="10"/>
      <c r="I1841" s="9" t="s">
        <v>74</v>
      </c>
      <c r="J1841" s="9" t="s">
        <v>13361</v>
      </c>
      <c r="K1841" s="9" t="s">
        <v>13362</v>
      </c>
      <c r="L1841" s="8" t="s">
        <v>13363</v>
      </c>
      <c r="M1841" s="9" t="s">
        <v>49</v>
      </c>
      <c r="N1841" s="9" t="s">
        <v>1719</v>
      </c>
      <c r="O1841" s="9">
        <f>HYPERLINK("https://www.google.com/maps/search/?api=1&amp;query=40.97256718,-5.61919506", "https://www.google.com/maps/search/?api=1&amp;query=40.97256718,-5.61919506")</f>
      </c>
      <c r="P1841" s="9" t="s">
        <v>1803</v>
      </c>
      <c r="Q1841" s="9" t="s">
        <v>1982</v>
      </c>
    </row>
    <row r="1842" spans="1:17" x14ac:dyDescent="0.25">
      <c r="A1842" s="8" t="s">
        <v>13364</v>
      </c>
      <c r="B1842" s="8" t="s">
        <v>13365</v>
      </c>
      <c r="C1842" s="9" t="s">
        <v>13366</v>
      </c>
      <c r="D1842" s="9" t="s">
        <v>61</v>
      </c>
      <c r="E1842" s="9" t="s">
        <v>13367</v>
      </c>
      <c r="F1842" s="10">
        <v>1.514</v>
      </c>
      <c r="G1842" s="10">
        <v>1.665</v>
      </c>
      <c r="H1842" s="10"/>
      <c r="I1842" s="9" t="s">
        <v>45</v>
      </c>
      <c r="J1842" s="9" t="s">
        <v>13368</v>
      </c>
      <c r="K1842" s="9" t="s">
        <v>13369</v>
      </c>
      <c r="L1842" s="8" t="s">
        <v>13370</v>
      </c>
      <c r="M1842" s="9" t="s">
        <v>49</v>
      </c>
      <c r="N1842" s="9" t="s">
        <v>8274</v>
      </c>
      <c r="O1842" s="9">
        <f>HYPERLINK("https://www.google.com/maps/search/?api=1&amp;query=37.35537621,-5.22460577", "https://www.google.com/maps/search/?api=1&amp;query=37.35537621,-5.22460577")</f>
      </c>
      <c r="P1842" s="9" t="s">
        <v>13371</v>
      </c>
      <c r="Q1842" s="9" t="s">
        <v>13372</v>
      </c>
    </row>
    <row r="1843" spans="1:17" x14ac:dyDescent="0.25">
      <c r="A1843" s="8" t="s">
        <v>13373</v>
      </c>
      <c r="B1843" s="8" t="s">
        <v>13374</v>
      </c>
      <c r="C1843" s="9" t="s">
        <v>13375</v>
      </c>
      <c r="D1843" s="9" t="s">
        <v>808</v>
      </c>
      <c r="E1843" s="9" t="s">
        <v>13376</v>
      </c>
      <c r="F1843" s="10">
        <v>1.514</v>
      </c>
      <c r="G1843" s="10">
        <v>1.665</v>
      </c>
      <c r="H1843" s="10"/>
      <c r="I1843" s="9" t="s">
        <v>808</v>
      </c>
      <c r="J1843" s="9" t="s">
        <v>13377</v>
      </c>
      <c r="K1843" s="9" t="s">
        <v>13378</v>
      </c>
      <c r="L1843" s="8" t="s">
        <v>13379</v>
      </c>
      <c r="M1843" s="9" t="s">
        <v>49</v>
      </c>
      <c r="N1843" s="9" t="s">
        <v>37</v>
      </c>
      <c r="O1843" s="9">
        <f>HYPERLINK("https://www.google.com/maps/search/?api=1&amp;query=43.131389,-4.049", "https://www.google.com/maps/search/?api=1&amp;query=43.131389,-4.049")</f>
      </c>
      <c r="P1843" s="9" t="s">
        <v>13380</v>
      </c>
      <c r="Q1843" s="9" t="s">
        <v>722</v>
      </c>
    </row>
    <row r="1844" spans="1:17" x14ac:dyDescent="0.25">
      <c r="A1844" s="8" t="s">
        <v>13381</v>
      </c>
      <c r="B1844" s="8" t="s">
        <v>13382</v>
      </c>
      <c r="C1844" s="9" t="s">
        <v>13383</v>
      </c>
      <c r="D1844" s="9" t="s">
        <v>106</v>
      </c>
      <c r="E1844" s="9" t="s">
        <v>106</v>
      </c>
      <c r="F1844" s="10">
        <v>1.514</v>
      </c>
      <c r="G1844" s="10">
        <v>1.665</v>
      </c>
      <c r="H1844" s="10"/>
      <c r="I1844" s="9" t="s">
        <v>106</v>
      </c>
      <c r="J1844" s="9" t="s">
        <v>13384</v>
      </c>
      <c r="K1844" s="9" t="s">
        <v>13385</v>
      </c>
      <c r="L1844" s="8" t="s">
        <v>10553</v>
      </c>
      <c r="M1844" s="9" t="s">
        <v>36</v>
      </c>
      <c r="N1844" s="9" t="s">
        <v>37</v>
      </c>
      <c r="O1844" s="9">
        <f>HYPERLINK("https://www.google.com/maps/search/?api=1&amp;query=37.98746196,-1.11522456", "https://www.google.com/maps/search/?api=1&amp;query=37.98746196,-1.11522456")</f>
      </c>
      <c r="P1844" s="9" t="s">
        <v>2292</v>
      </c>
      <c r="Q1844" s="9" t="s">
        <v>13386</v>
      </c>
    </row>
    <row r="1845" spans="1:17" x14ac:dyDescent="0.25">
      <c r="A1845" s="8" t="s">
        <v>13387</v>
      </c>
      <c r="B1845" s="8" t="s">
        <v>13388</v>
      </c>
      <c r="C1845" s="9" t="s">
        <v>13389</v>
      </c>
      <c r="D1845" s="9" t="s">
        <v>290</v>
      </c>
      <c r="E1845" s="9" t="s">
        <v>13390</v>
      </c>
      <c r="F1845" s="10">
        <v>1.514</v>
      </c>
      <c r="G1845" s="10">
        <v>1.665</v>
      </c>
      <c r="H1845" s="10"/>
      <c r="I1845" s="9" t="s">
        <v>292</v>
      </c>
      <c r="J1845" s="9" t="s">
        <v>13391</v>
      </c>
      <c r="K1845" s="9" t="s">
        <v>13392</v>
      </c>
      <c r="L1845" s="8" t="s">
        <v>13393</v>
      </c>
      <c r="M1845" s="9" t="s">
        <v>49</v>
      </c>
      <c r="N1845" s="9" t="s">
        <v>13394</v>
      </c>
      <c r="O1845" s="9">
        <f>HYPERLINK("https://www.google.com/maps/search/?api=1&amp;query=40.52912816,-1.02534586", "https://www.google.com/maps/search/?api=1&amp;query=40.52912816,-1.02534586")</f>
      </c>
      <c r="P1845" s="9" t="s">
        <v>144</v>
      </c>
      <c r="Q1845" s="9" t="s">
        <v>1742</v>
      </c>
    </row>
    <row r="1846" spans="1:17" x14ac:dyDescent="0.25">
      <c r="A1846" s="8" t="s">
        <v>13395</v>
      </c>
      <c r="B1846" s="8" t="s">
        <v>13396</v>
      </c>
      <c r="C1846" s="9" t="s">
        <v>13397</v>
      </c>
      <c r="D1846" s="9" t="s">
        <v>1192</v>
      </c>
      <c r="E1846" s="9" t="s">
        <v>13398</v>
      </c>
      <c r="F1846" s="10">
        <v>1.514</v>
      </c>
      <c r="G1846" s="10">
        <v>1.665</v>
      </c>
      <c r="H1846" s="10"/>
      <c r="I1846" s="9" t="s">
        <v>168</v>
      </c>
      <c r="J1846" s="9" t="s">
        <v>13399</v>
      </c>
      <c r="K1846" s="9" t="s">
        <v>13400</v>
      </c>
      <c r="L1846" s="8" t="s">
        <v>13401</v>
      </c>
      <c r="M1846" s="9" t="s">
        <v>49</v>
      </c>
      <c r="N1846" s="9" t="s">
        <v>5450</v>
      </c>
      <c r="O1846" s="9">
        <f>HYPERLINK("https://www.google.com/maps/search/?api=1&amp;query=38.89058247,-3.71555349", "https://www.google.com/maps/search/?api=1&amp;query=38.89058247,-3.71555349")</f>
      </c>
      <c r="P1846" s="9" t="s">
        <v>11564</v>
      </c>
      <c r="Q1846" s="9" t="s">
        <v>112</v>
      </c>
    </row>
    <row r="1847" spans="1:17" x14ac:dyDescent="0.25">
      <c r="A1847" s="8" t="s">
        <v>13402</v>
      </c>
      <c r="B1847" s="8" t="s">
        <v>13403</v>
      </c>
      <c r="C1847" s="9" t="s">
        <v>13404</v>
      </c>
      <c r="D1847" s="9" t="s">
        <v>197</v>
      </c>
      <c r="E1847" s="9" t="s">
        <v>13405</v>
      </c>
      <c r="F1847" s="10">
        <v>1.514</v>
      </c>
      <c r="G1847" s="10">
        <v>1.665</v>
      </c>
      <c r="H1847" s="10"/>
      <c r="I1847" s="9" t="s">
        <v>168</v>
      </c>
      <c r="J1847" s="9" t="s">
        <v>13406</v>
      </c>
      <c r="K1847" s="9" t="s">
        <v>13407</v>
      </c>
      <c r="L1847" s="8" t="s">
        <v>13408</v>
      </c>
      <c r="M1847" s="9" t="s">
        <v>49</v>
      </c>
      <c r="N1847" s="9" t="s">
        <v>13409</v>
      </c>
      <c r="O1847" s="9">
        <f>HYPERLINK("https://www.google.com/maps/search/?api=1&amp;query=39.51052104,-3.24201561", "https://www.google.com/maps/search/?api=1&amp;query=39.51052104,-3.24201561")</f>
      </c>
      <c r="P1847" s="9" t="s">
        <v>2594</v>
      </c>
      <c r="Q1847" s="9" t="s">
        <v>1742</v>
      </c>
    </row>
    <row r="1848" spans="1:17" x14ac:dyDescent="0.25">
      <c r="A1848" s="8" t="s">
        <v>13410</v>
      </c>
      <c r="B1848" s="8" t="s">
        <v>13411</v>
      </c>
      <c r="C1848" s="9" t="s">
        <v>13412</v>
      </c>
      <c r="D1848" s="9" t="s">
        <v>1192</v>
      </c>
      <c r="E1848" s="9" t="s">
        <v>13413</v>
      </c>
      <c r="F1848" s="10">
        <v>1.514</v>
      </c>
      <c r="G1848" s="10">
        <v>1.665</v>
      </c>
      <c r="H1848" s="10"/>
      <c r="I1848" s="9" t="s">
        <v>168</v>
      </c>
      <c r="J1848" s="9" t="s">
        <v>13414</v>
      </c>
      <c r="K1848" s="9" t="s">
        <v>13415</v>
      </c>
      <c r="L1848" s="8" t="s">
        <v>13416</v>
      </c>
      <c r="M1848" s="9" t="s">
        <v>49</v>
      </c>
      <c r="N1848" s="9" t="s">
        <v>88</v>
      </c>
      <c r="O1848" s="9">
        <f>HYPERLINK("https://www.google.com/maps/search/?api=1&amp;query=38.73677116,-3.01952422", "https://www.google.com/maps/search/?api=1&amp;query=38.73677116,-3.01952422")</f>
      </c>
      <c r="P1848" s="9" t="s">
        <v>493</v>
      </c>
      <c r="Q1848" s="9" t="s">
        <v>13417</v>
      </c>
    </row>
    <row r="1849" spans="1:17" x14ac:dyDescent="0.25">
      <c r="A1849" s="8" t="s">
        <v>13418</v>
      </c>
      <c r="B1849" s="8" t="s">
        <v>13419</v>
      </c>
      <c r="C1849" s="9" t="s">
        <v>13420</v>
      </c>
      <c r="D1849" s="9" t="s">
        <v>658</v>
      </c>
      <c r="E1849" s="9" t="s">
        <v>2266</v>
      </c>
      <c r="F1849" s="10">
        <v>1.514</v>
      </c>
      <c r="G1849" s="10">
        <v>1.665</v>
      </c>
      <c r="H1849" s="10"/>
      <c r="I1849" s="9" t="s">
        <v>45</v>
      </c>
      <c r="J1849" s="9" t="s">
        <v>13421</v>
      </c>
      <c r="K1849" s="9" t="s">
        <v>13422</v>
      </c>
      <c r="L1849" s="8" t="s">
        <v>2269</v>
      </c>
      <c r="M1849" s="9" t="s">
        <v>49</v>
      </c>
      <c r="N1849" s="9" t="s">
        <v>645</v>
      </c>
      <c r="O1849" s="9">
        <f>HYPERLINK("https://www.google.com/maps/search/?api=1&amp;query=36.81591105,-2.43259528", "https://www.google.com/maps/search/?api=1&amp;query=36.81591105,-2.43259528")</f>
      </c>
      <c r="P1849" s="9" t="s">
        <v>11163</v>
      </c>
      <c r="Q1849" s="9" t="s">
        <v>1982</v>
      </c>
    </row>
    <row r="1850" spans="1:17" x14ac:dyDescent="0.25">
      <c r="A1850" s="8" t="s">
        <v>13423</v>
      </c>
      <c r="B1850" s="8" t="s">
        <v>13424</v>
      </c>
      <c r="C1850" s="9" t="s">
        <v>7298</v>
      </c>
      <c r="D1850" s="9" t="s">
        <v>106</v>
      </c>
      <c r="E1850" s="9" t="s">
        <v>106</v>
      </c>
      <c r="F1850" s="10">
        <v>1.514</v>
      </c>
      <c r="G1850" s="10">
        <v>1.665</v>
      </c>
      <c r="H1850" s="10"/>
      <c r="I1850" s="9" t="s">
        <v>106</v>
      </c>
      <c r="J1850" s="9" t="s">
        <v>13425</v>
      </c>
      <c r="K1850" s="9" t="s">
        <v>13426</v>
      </c>
      <c r="L1850" s="8" t="s">
        <v>13427</v>
      </c>
      <c r="M1850" s="9" t="s">
        <v>49</v>
      </c>
      <c r="N1850" s="9" t="s">
        <v>37</v>
      </c>
      <c r="O1850" s="9">
        <f>HYPERLINK("https://www.google.com/maps/search/?api=1&amp;query=37.99168415,-1.11662932", "https://www.google.com/maps/search/?api=1&amp;query=37.99168415,-1.11662932")</f>
      </c>
      <c r="P1850" s="9" t="s">
        <v>3400</v>
      </c>
      <c r="Q1850" s="9" t="s">
        <v>13428</v>
      </c>
    </row>
    <row r="1851" spans="1:17" x14ac:dyDescent="0.25">
      <c r="A1851" s="8" t="s">
        <v>13429</v>
      </c>
      <c r="B1851" s="8" t="s">
        <v>13430</v>
      </c>
      <c r="C1851" s="9" t="s">
        <v>13431</v>
      </c>
      <c r="D1851" s="9" t="s">
        <v>400</v>
      </c>
      <c r="E1851" s="9" t="s">
        <v>13432</v>
      </c>
      <c r="F1851" s="10">
        <v>1.514</v>
      </c>
      <c r="G1851" s="10">
        <v>1.665</v>
      </c>
      <c r="H1851" s="10"/>
      <c r="I1851" s="9" t="s">
        <v>400</v>
      </c>
      <c r="J1851" s="9" t="s">
        <v>13433</v>
      </c>
      <c r="K1851" s="9" t="s">
        <v>13434</v>
      </c>
      <c r="L1851" s="8" t="s">
        <v>13435</v>
      </c>
      <c r="M1851" s="9" t="s">
        <v>36</v>
      </c>
      <c r="N1851" s="9" t="s">
        <v>88</v>
      </c>
      <c r="O1851" s="9">
        <f>HYPERLINK("https://www.google.com/maps/search/?api=1&amp;query=39.3753077,-0.56323825", "https://www.google.com/maps/search/?api=1&amp;query=39.3753077,-0.56323825")</f>
      </c>
      <c r="P1851" s="9" t="s">
        <v>1364</v>
      </c>
      <c r="Q1851" s="9" t="s">
        <v>3771</v>
      </c>
    </row>
    <row r="1852" spans="1:17" x14ac:dyDescent="0.25">
      <c r="A1852" s="8" t="s">
        <v>13436</v>
      </c>
      <c r="B1852" s="8" t="s">
        <v>13437</v>
      </c>
      <c r="C1852" s="9" t="s">
        <v>13438</v>
      </c>
      <c r="D1852" s="9" t="s">
        <v>631</v>
      </c>
      <c r="E1852" s="9" t="s">
        <v>13439</v>
      </c>
      <c r="F1852" s="10">
        <v>1.514</v>
      </c>
      <c r="G1852" s="10">
        <v>1.665</v>
      </c>
      <c r="H1852" s="10"/>
      <c r="I1852" s="9" t="s">
        <v>45</v>
      </c>
      <c r="J1852" s="9" t="s">
        <v>13440</v>
      </c>
      <c r="K1852" s="9" t="s">
        <v>13441</v>
      </c>
      <c r="L1852" s="8" t="s">
        <v>13442</v>
      </c>
      <c r="M1852" s="9" t="s">
        <v>36</v>
      </c>
      <c r="N1852" s="9" t="s">
        <v>357</v>
      </c>
      <c r="O1852" s="9">
        <f>HYPERLINK("https://www.google.com/maps/search/?api=1&amp;query=38.30062572,-5.27534337", "https://www.google.com/maps/search/?api=1&amp;query=38.30062572,-5.27534337")</f>
      </c>
      <c r="P1852" s="9" t="s">
        <v>493</v>
      </c>
      <c r="Q1852" s="9" t="s">
        <v>13443</v>
      </c>
    </row>
    <row r="1853" spans="1:17" x14ac:dyDescent="0.25">
      <c r="A1853" s="8" t="s">
        <v>13444</v>
      </c>
      <c r="B1853" s="8" t="s">
        <v>13445</v>
      </c>
      <c r="C1853" s="9" t="s">
        <v>13446</v>
      </c>
      <c r="D1853" s="9" t="s">
        <v>83</v>
      </c>
      <c r="E1853" s="9" t="s">
        <v>83</v>
      </c>
      <c r="F1853" s="10">
        <v>1.514</v>
      </c>
      <c r="G1853" s="10">
        <v>1.665</v>
      </c>
      <c r="H1853" s="10"/>
      <c r="I1853" s="9" t="s">
        <v>83</v>
      </c>
      <c r="J1853" s="9" t="s">
        <v>13447</v>
      </c>
      <c r="K1853" s="9" t="s">
        <v>13448</v>
      </c>
      <c r="L1853" s="8" t="s">
        <v>3273</v>
      </c>
      <c r="M1853" s="9" t="s">
        <v>49</v>
      </c>
      <c r="N1853" s="9" t="s">
        <v>8987</v>
      </c>
      <c r="O1853" s="9">
        <f>HYPERLINK("https://www.google.com/maps/search/?api=1&amp;query=40.45790762,-3.71375218", "https://www.google.com/maps/search/?api=1&amp;query=40.45790762,-3.71375218")</f>
      </c>
      <c r="P1853" s="9" t="s">
        <v>2594</v>
      </c>
      <c r="Q1853" s="9" t="s">
        <v>1131</v>
      </c>
    </row>
    <row r="1854" spans="1:17" x14ac:dyDescent="0.25">
      <c r="A1854" s="8" t="s">
        <v>13449</v>
      </c>
      <c r="B1854" s="8" t="s">
        <v>13450</v>
      </c>
      <c r="C1854" s="9" t="s">
        <v>13451</v>
      </c>
      <c r="D1854" s="9" t="s">
        <v>400</v>
      </c>
      <c r="E1854" s="9" t="s">
        <v>400</v>
      </c>
      <c r="F1854" s="10">
        <v>1.514</v>
      </c>
      <c r="G1854" s="10">
        <v>1.665</v>
      </c>
      <c r="H1854" s="10"/>
      <c r="I1854" s="9" t="s">
        <v>400</v>
      </c>
      <c r="J1854" s="9" t="s">
        <v>13452</v>
      </c>
      <c r="K1854" s="9" t="s">
        <v>13453</v>
      </c>
      <c r="L1854" s="8" t="s">
        <v>11965</v>
      </c>
      <c r="M1854" s="9" t="s">
        <v>36</v>
      </c>
      <c r="N1854" s="9" t="s">
        <v>88</v>
      </c>
      <c r="O1854" s="9">
        <f>HYPERLINK("https://www.google.com/maps/search/?api=1&amp;query=39.4588076,-0.34025293", "https://www.google.com/maps/search/?api=1&amp;query=39.4588076,-0.34025293")</f>
      </c>
      <c r="P1854" s="9" t="s">
        <v>880</v>
      </c>
      <c r="Q1854" s="9" t="s">
        <v>12450</v>
      </c>
    </row>
    <row r="1855" spans="1:17" x14ac:dyDescent="0.25">
      <c r="A1855" s="8" t="s">
        <v>13454</v>
      </c>
      <c r="B1855" s="8" t="s">
        <v>13455</v>
      </c>
      <c r="C1855" s="9" t="s">
        <v>13456</v>
      </c>
      <c r="D1855" s="9" t="s">
        <v>2050</v>
      </c>
      <c r="E1855" s="9" t="s">
        <v>13457</v>
      </c>
      <c r="F1855" s="10">
        <v>1.514</v>
      </c>
      <c r="G1855" s="10">
        <v>1.665</v>
      </c>
      <c r="H1855" s="10"/>
      <c r="I1855" s="9" t="s">
        <v>140</v>
      </c>
      <c r="J1855" s="9" t="s">
        <v>13458</v>
      </c>
      <c r="K1855" s="9" t="s">
        <v>13459</v>
      </c>
      <c r="L1855" s="8" t="s">
        <v>13460</v>
      </c>
      <c r="M1855" s="9" t="s">
        <v>100</v>
      </c>
      <c r="N1855" s="9" t="s">
        <v>13461</v>
      </c>
      <c r="O1855" s="9">
        <f>HYPERLINK("https://www.google.com/maps/search/?api=1&amp;query=41.98857528,-7.60063474", "https://www.google.com/maps/search/?api=1&amp;query=41.98857528,-7.60063474")</f>
      </c>
      <c r="P1855" s="9" t="s">
        <v>8364</v>
      </c>
      <c r="Q1855" s="9" t="s">
        <v>13462</v>
      </c>
    </row>
    <row r="1856" spans="1:17" x14ac:dyDescent="0.25">
      <c r="A1856" s="8" t="s">
        <v>13463</v>
      </c>
      <c r="B1856" s="8" t="s">
        <v>13464</v>
      </c>
      <c r="C1856" s="9" t="s">
        <v>13465</v>
      </c>
      <c r="D1856" s="9" t="s">
        <v>400</v>
      </c>
      <c r="E1856" s="9" t="s">
        <v>12439</v>
      </c>
      <c r="F1856" s="10">
        <v>1.514</v>
      </c>
      <c r="G1856" s="10">
        <v>1.665</v>
      </c>
      <c r="H1856" s="10"/>
      <c r="I1856" s="9" t="s">
        <v>400</v>
      </c>
      <c r="J1856" s="9" t="s">
        <v>13466</v>
      </c>
      <c r="K1856" s="9" t="s">
        <v>13467</v>
      </c>
      <c r="L1856" s="8" t="s">
        <v>12442</v>
      </c>
      <c r="M1856" s="9" t="s">
        <v>49</v>
      </c>
      <c r="N1856" s="9" t="s">
        <v>37</v>
      </c>
      <c r="O1856" s="9">
        <f>HYPERLINK("https://www.google.com/maps/search/?api=1&amp;query=39.36438184,-0.42042081", "https://www.google.com/maps/search/?api=1&amp;query=39.36438184,-0.42042081")</f>
      </c>
      <c r="P1856" s="9" t="s">
        <v>13468</v>
      </c>
      <c r="Q1856" s="9" t="s">
        <v>1982</v>
      </c>
    </row>
    <row r="1857" spans="1:17" x14ac:dyDescent="0.25">
      <c r="A1857" s="8" t="s">
        <v>13469</v>
      </c>
      <c r="B1857" s="8" t="s">
        <v>13470</v>
      </c>
      <c r="C1857" s="9" t="s">
        <v>13471</v>
      </c>
      <c r="D1857" s="9" t="s">
        <v>400</v>
      </c>
      <c r="E1857" s="9" t="s">
        <v>400</v>
      </c>
      <c r="F1857" s="10">
        <v>1.514</v>
      </c>
      <c r="G1857" s="10">
        <v>1.665</v>
      </c>
      <c r="H1857" s="10"/>
      <c r="I1857" s="9" t="s">
        <v>400</v>
      </c>
      <c r="J1857" s="9" t="s">
        <v>13472</v>
      </c>
      <c r="K1857" s="9" t="s">
        <v>13473</v>
      </c>
      <c r="L1857" s="8" t="s">
        <v>2261</v>
      </c>
      <c r="M1857" s="9" t="s">
        <v>49</v>
      </c>
      <c r="N1857" s="9" t="s">
        <v>88</v>
      </c>
      <c r="O1857" s="9">
        <f>HYPERLINK("https://www.google.com/maps/search/?api=1&amp;query=39.4787422,-0.40119575", "https://www.google.com/maps/search/?api=1&amp;query=39.4787422,-0.40119575")</f>
      </c>
      <c r="P1857" s="9" t="s">
        <v>2576</v>
      </c>
      <c r="Q1857" s="9" t="s">
        <v>512</v>
      </c>
    </row>
    <row r="1858" spans="1:17" x14ac:dyDescent="0.25">
      <c r="A1858" s="8" t="s">
        <v>13474</v>
      </c>
      <c r="B1858" s="8" t="s">
        <v>13475</v>
      </c>
      <c r="C1858" s="9" t="s">
        <v>13476</v>
      </c>
      <c r="D1858" s="9" t="s">
        <v>280</v>
      </c>
      <c r="E1858" s="9" t="s">
        <v>13477</v>
      </c>
      <c r="F1858" s="10">
        <v>1.514</v>
      </c>
      <c r="G1858" s="10">
        <v>1.665</v>
      </c>
      <c r="H1858" s="10"/>
      <c r="I1858" s="9" t="s">
        <v>118</v>
      </c>
      <c r="J1858" s="9" t="s">
        <v>13478</v>
      </c>
      <c r="K1858" s="9" t="s">
        <v>13479</v>
      </c>
      <c r="L1858" s="8" t="s">
        <v>13480</v>
      </c>
      <c r="M1858" s="9" t="s">
        <v>49</v>
      </c>
      <c r="N1858" s="9" t="s">
        <v>645</v>
      </c>
      <c r="O1858" s="9">
        <f>HYPERLINK("https://www.google.com/maps/search/?api=1&amp;query=43.28323222,-2.15839589", "https://www.google.com/maps/search/?api=1&amp;query=43.28323222,-2.15839589")</f>
      </c>
      <c r="P1858" s="9" t="s">
        <v>13481</v>
      </c>
      <c r="Q1858" s="9" t="s">
        <v>13482</v>
      </c>
    </row>
    <row r="1859" spans="1:17" x14ac:dyDescent="0.25">
      <c r="A1859" s="8" t="s">
        <v>13483</v>
      </c>
      <c r="B1859" s="8" t="s">
        <v>13484</v>
      </c>
      <c r="C1859" s="9" t="s">
        <v>13485</v>
      </c>
      <c r="D1859" s="9" t="s">
        <v>30</v>
      </c>
      <c r="E1859" s="9" t="s">
        <v>30</v>
      </c>
      <c r="F1859" s="10">
        <v>1.514</v>
      </c>
      <c r="G1859" s="10">
        <v>1.665</v>
      </c>
      <c r="H1859" s="10"/>
      <c r="I1859" s="9" t="s">
        <v>32</v>
      </c>
      <c r="J1859" s="9" t="s">
        <v>13486</v>
      </c>
      <c r="K1859" s="9" t="s">
        <v>13487</v>
      </c>
      <c r="L1859" s="8" t="s">
        <v>9246</v>
      </c>
      <c r="M1859" s="9" t="s">
        <v>49</v>
      </c>
      <c r="N1859" s="9" t="s">
        <v>13488</v>
      </c>
      <c r="O1859" s="9">
        <f>HYPERLINK("https://www.google.com/maps/search/?api=1&amp;query=38.90632239,-6.96514706", "https://www.google.com/maps/search/?api=1&amp;query=38.90632239,-6.96514706")</f>
      </c>
      <c r="P1859" s="9" t="s">
        <v>521</v>
      </c>
      <c r="Q1859" s="9" t="s">
        <v>1131</v>
      </c>
    </row>
    <row r="1860" spans="1:17" x14ac:dyDescent="0.25">
      <c r="A1860" s="8" t="s">
        <v>13489</v>
      </c>
      <c r="B1860" s="8" t="s">
        <v>13490</v>
      </c>
      <c r="C1860" s="9" t="s">
        <v>13491</v>
      </c>
      <c r="D1860" s="9" t="s">
        <v>83</v>
      </c>
      <c r="E1860" s="9" t="s">
        <v>83</v>
      </c>
      <c r="F1860" s="10">
        <v>1.514</v>
      </c>
      <c r="G1860" s="10">
        <v>1.665</v>
      </c>
      <c r="H1860" s="10"/>
      <c r="I1860" s="9" t="s">
        <v>83</v>
      </c>
      <c r="J1860" s="9" t="s">
        <v>13492</v>
      </c>
      <c r="K1860" s="9" t="s">
        <v>13493</v>
      </c>
      <c r="L1860" s="8" t="s">
        <v>5754</v>
      </c>
      <c r="M1860" s="9" t="s">
        <v>100</v>
      </c>
      <c r="N1860" s="9" t="s">
        <v>37</v>
      </c>
      <c r="O1860" s="9">
        <f>HYPERLINK("https://www.google.com/maps/search/?api=1&amp;query=40.49554684,-3.71882032", "https://www.google.com/maps/search/?api=1&amp;query=40.49554684,-3.71882032")</f>
      </c>
      <c r="P1860" s="9" t="s">
        <v>38</v>
      </c>
      <c r="Q1860" s="9" t="s">
        <v>13494</v>
      </c>
    </row>
    <row r="1861" spans="1:17" x14ac:dyDescent="0.25">
      <c r="A1861" s="8" t="s">
        <v>7417</v>
      </c>
      <c r="B1861" s="8" t="s">
        <v>13495</v>
      </c>
      <c r="C1861" s="9" t="s">
        <v>13496</v>
      </c>
      <c r="D1861" s="9" t="s">
        <v>1192</v>
      </c>
      <c r="E1861" s="9" t="s">
        <v>13497</v>
      </c>
      <c r="F1861" s="10">
        <v>1.514</v>
      </c>
      <c r="G1861" s="10">
        <v>1.665</v>
      </c>
      <c r="H1861" s="10"/>
      <c r="I1861" s="9" t="s">
        <v>168</v>
      </c>
      <c r="J1861" s="9" t="s">
        <v>13498</v>
      </c>
      <c r="K1861" s="9" t="s">
        <v>13499</v>
      </c>
      <c r="L1861" s="8" t="s">
        <v>13500</v>
      </c>
      <c r="M1861" s="9" t="s">
        <v>36</v>
      </c>
      <c r="N1861" s="9" t="s">
        <v>13501</v>
      </c>
      <c r="O1861" s="9">
        <f>HYPERLINK("https://www.google.com/maps/search/?api=1&amp;query=39.15132307,-4.15862803", "https://www.google.com/maps/search/?api=1&amp;query=39.15132307,-4.15862803")</f>
      </c>
      <c r="P1861" s="9" t="s">
        <v>992</v>
      </c>
      <c r="Q1861" s="9" t="s">
        <v>1742</v>
      </c>
    </row>
    <row r="1862" spans="1:17" x14ac:dyDescent="0.25">
      <c r="A1862" s="8" t="s">
        <v>13502</v>
      </c>
      <c r="B1862" s="8" t="s">
        <v>13503</v>
      </c>
      <c r="C1862" s="9" t="s">
        <v>13504</v>
      </c>
      <c r="D1862" s="9" t="s">
        <v>3841</v>
      </c>
      <c r="E1862" s="9" t="s">
        <v>13505</v>
      </c>
      <c r="F1862" s="10">
        <v>1.514</v>
      </c>
      <c r="G1862" s="10">
        <v>1.665</v>
      </c>
      <c r="H1862" s="10"/>
      <c r="I1862" s="9" t="s">
        <v>74</v>
      </c>
      <c r="J1862" s="9" t="s">
        <v>13506</v>
      </c>
      <c r="K1862" s="9" t="s">
        <v>13507</v>
      </c>
      <c r="L1862" s="8" t="s">
        <v>13508</v>
      </c>
      <c r="M1862" s="9" t="s">
        <v>36</v>
      </c>
      <c r="N1862" s="9" t="s">
        <v>13509</v>
      </c>
      <c r="O1862" s="9">
        <f>HYPERLINK("https://www.google.com/maps/search/?api=1&amp;query=41.24823604,-2.21799387", "https://www.google.com/maps/search/?api=1&amp;query=41.24823604,-2.21799387")</f>
      </c>
      <c r="P1862" s="9" t="s">
        <v>56</v>
      </c>
      <c r="Q1862" s="9" t="s">
        <v>1877</v>
      </c>
    </row>
    <row r="1863" spans="1:17" x14ac:dyDescent="0.25">
      <c r="A1863" s="8" t="s">
        <v>13510</v>
      </c>
      <c r="B1863" s="8" t="s">
        <v>13511</v>
      </c>
      <c r="C1863" s="9" t="s">
        <v>13512</v>
      </c>
      <c r="D1863" s="9" t="s">
        <v>307</v>
      </c>
      <c r="E1863" s="9" t="s">
        <v>307</v>
      </c>
      <c r="F1863" s="10">
        <v>1.514</v>
      </c>
      <c r="G1863" s="10">
        <v>1.665</v>
      </c>
      <c r="H1863" s="10"/>
      <c r="I1863" s="9" t="s">
        <v>74</v>
      </c>
      <c r="J1863" s="9" t="s">
        <v>13513</v>
      </c>
      <c r="K1863" s="9" t="s">
        <v>13514</v>
      </c>
      <c r="L1863" s="8" t="s">
        <v>13515</v>
      </c>
      <c r="M1863" s="9" t="s">
        <v>36</v>
      </c>
      <c r="N1863" s="9" t="s">
        <v>37</v>
      </c>
      <c r="O1863" s="9">
        <f>HYPERLINK("https://www.google.com/maps/search/?api=1&amp;query=41.51064566,-5.73643182", "https://www.google.com/maps/search/?api=1&amp;query=41.51064566,-5.73643182")</f>
      </c>
      <c r="P1863" s="9" t="s">
        <v>1250</v>
      </c>
      <c r="Q1863" s="9" t="s">
        <v>1131</v>
      </c>
    </row>
    <row r="1864" spans="1:17" x14ac:dyDescent="0.25">
      <c r="A1864" s="8" t="s">
        <v>13516</v>
      </c>
      <c r="B1864" s="8" t="s">
        <v>13517</v>
      </c>
      <c r="C1864" s="9" t="s">
        <v>13518</v>
      </c>
      <c r="D1864" s="9" t="s">
        <v>217</v>
      </c>
      <c r="E1864" s="9" t="s">
        <v>13519</v>
      </c>
      <c r="F1864" s="10">
        <v>1.514</v>
      </c>
      <c r="G1864" s="10">
        <v>1.665</v>
      </c>
      <c r="H1864" s="10"/>
      <c r="I1864" s="9" t="s">
        <v>45</v>
      </c>
      <c r="J1864" s="9" t="s">
        <v>13520</v>
      </c>
      <c r="K1864" s="9" t="s">
        <v>13521</v>
      </c>
      <c r="L1864" s="8" t="s">
        <v>13522</v>
      </c>
      <c r="M1864" s="9" t="s">
        <v>49</v>
      </c>
      <c r="N1864" s="9" t="s">
        <v>37</v>
      </c>
      <c r="O1864" s="9">
        <f>HYPERLINK("https://www.google.com/maps/search/?api=1&amp;query=37.06929933,-4.32818429", "https://www.google.com/maps/search/?api=1&amp;query=37.06929933,-4.32818429")</f>
      </c>
      <c r="P1864" s="9" t="s">
        <v>144</v>
      </c>
      <c r="Q1864" s="9" t="s">
        <v>7038</v>
      </c>
    </row>
    <row r="1865" spans="1:17" x14ac:dyDescent="0.25">
      <c r="A1865" s="8" t="s">
        <v>13523</v>
      </c>
      <c r="B1865" s="8" t="s">
        <v>13524</v>
      </c>
      <c r="C1865" s="9" t="s">
        <v>13525</v>
      </c>
      <c r="D1865" s="9" t="s">
        <v>469</v>
      </c>
      <c r="E1865" s="9" t="s">
        <v>13526</v>
      </c>
      <c r="F1865" s="10">
        <v>1.514</v>
      </c>
      <c r="G1865" s="10">
        <v>1.665</v>
      </c>
      <c r="H1865" s="10"/>
      <c r="I1865" s="9" t="s">
        <v>74</v>
      </c>
      <c r="J1865" s="9" t="s">
        <v>13527</v>
      </c>
      <c r="K1865" s="9" t="s">
        <v>13528</v>
      </c>
      <c r="L1865" s="8" t="s">
        <v>13529</v>
      </c>
      <c r="M1865" s="9" t="s">
        <v>36</v>
      </c>
      <c r="N1865" s="9" t="s">
        <v>3234</v>
      </c>
      <c r="O1865" s="9">
        <f>HYPERLINK("https://www.google.com/maps/search/?api=1&amp;query=40.94577265,-5.55438347", "https://www.google.com/maps/search/?api=1&amp;query=40.94577265,-5.55438347")</f>
      </c>
      <c r="P1865" s="9" t="s">
        <v>321</v>
      </c>
      <c r="Q1865" s="9" t="s">
        <v>13530</v>
      </c>
    </row>
    <row r="1866" spans="1:17" x14ac:dyDescent="0.25">
      <c r="A1866" s="8" t="s">
        <v>13531</v>
      </c>
      <c r="B1866" s="8" t="s">
        <v>13532</v>
      </c>
      <c r="C1866" s="9" t="s">
        <v>13533</v>
      </c>
      <c r="D1866" s="9" t="s">
        <v>469</v>
      </c>
      <c r="E1866" s="9" t="s">
        <v>13534</v>
      </c>
      <c r="F1866" s="10">
        <v>1.514</v>
      </c>
      <c r="G1866" s="10">
        <v>1.665</v>
      </c>
      <c r="H1866" s="10"/>
      <c r="I1866" s="9" t="s">
        <v>74</v>
      </c>
      <c r="J1866" s="9" t="s">
        <v>13535</v>
      </c>
      <c r="K1866" s="9" t="s">
        <v>13536</v>
      </c>
      <c r="L1866" s="8" t="s">
        <v>13537</v>
      </c>
      <c r="M1866" s="9" t="s">
        <v>49</v>
      </c>
      <c r="N1866" s="9" t="s">
        <v>13318</v>
      </c>
      <c r="O1866" s="9">
        <f>HYPERLINK("https://www.google.com/maps/search/?api=1&amp;query=41.0857458,-5.69707711", "https://www.google.com/maps/search/?api=1&amp;query=41.0857458,-5.69707711")</f>
      </c>
      <c r="P1866" s="9" t="s">
        <v>1741</v>
      </c>
      <c r="Q1866" s="9" t="s">
        <v>13538</v>
      </c>
    </row>
    <row r="1867" spans="1:17" x14ac:dyDescent="0.25">
      <c r="A1867" s="8" t="s">
        <v>13539</v>
      </c>
      <c r="B1867" s="8" t="s">
        <v>13540</v>
      </c>
      <c r="C1867" s="9" t="s">
        <v>13541</v>
      </c>
      <c r="D1867" s="9" t="s">
        <v>217</v>
      </c>
      <c r="E1867" s="9" t="s">
        <v>271</v>
      </c>
      <c r="F1867" s="10">
        <v>1.514</v>
      </c>
      <c r="G1867" s="10">
        <v>1.665</v>
      </c>
      <c r="H1867" s="10"/>
      <c r="I1867" s="9" t="s">
        <v>45</v>
      </c>
      <c r="J1867" s="9" t="s">
        <v>13542</v>
      </c>
      <c r="K1867" s="9" t="s">
        <v>13543</v>
      </c>
      <c r="L1867" s="8" t="s">
        <v>4476</v>
      </c>
      <c r="M1867" s="9" t="s">
        <v>49</v>
      </c>
      <c r="N1867" s="9" t="s">
        <v>37</v>
      </c>
      <c r="O1867" s="9">
        <f>HYPERLINK("https://www.google.com/maps/search/?api=1&amp;query=36.72299478,-4.4510756", "https://www.google.com/maps/search/?api=1&amp;query=36.72299478,-4.4510756")</f>
      </c>
      <c r="P1867" s="9" t="s">
        <v>13544</v>
      </c>
      <c r="Q1867" s="9" t="s">
        <v>7618</v>
      </c>
    </row>
    <row r="1868" spans="1:17" x14ac:dyDescent="0.25">
      <c r="A1868" s="8" t="s">
        <v>13545</v>
      </c>
      <c r="B1868" s="8" t="s">
        <v>13546</v>
      </c>
      <c r="C1868" s="9" t="s">
        <v>13547</v>
      </c>
      <c r="D1868" s="9" t="s">
        <v>197</v>
      </c>
      <c r="E1868" s="9" t="s">
        <v>13548</v>
      </c>
      <c r="F1868" s="10">
        <v>1.514</v>
      </c>
      <c r="G1868" s="10">
        <v>1.665</v>
      </c>
      <c r="H1868" s="10"/>
      <c r="I1868" s="9" t="s">
        <v>168</v>
      </c>
      <c r="J1868" s="9" t="s">
        <v>13549</v>
      </c>
      <c r="K1868" s="9" t="s">
        <v>13550</v>
      </c>
      <c r="L1868" s="8" t="s">
        <v>13551</v>
      </c>
      <c r="M1868" s="9" t="s">
        <v>49</v>
      </c>
      <c r="N1868" s="9" t="s">
        <v>9045</v>
      </c>
      <c r="O1868" s="9">
        <f>HYPERLINK("https://www.google.com/maps/search/?api=1&amp;query=39.504194,-2.989833", "https://www.google.com/maps/search/?api=1&amp;query=39.504194,-2.989833")</f>
      </c>
      <c r="P1868" s="9" t="s">
        <v>7433</v>
      </c>
      <c r="Q1868" s="9" t="s">
        <v>1742</v>
      </c>
    </row>
    <row r="1869" spans="1:17" x14ac:dyDescent="0.25">
      <c r="A1869" s="8" t="s">
        <v>13552</v>
      </c>
      <c r="B1869" s="8" t="s">
        <v>13553</v>
      </c>
      <c r="C1869" s="9" t="s">
        <v>13554</v>
      </c>
      <c r="D1869" s="9" t="s">
        <v>83</v>
      </c>
      <c r="E1869" s="9" t="s">
        <v>11400</v>
      </c>
      <c r="F1869" s="10">
        <v>1.514</v>
      </c>
      <c r="G1869" s="10">
        <v>1.665</v>
      </c>
      <c r="H1869" s="10"/>
      <c r="I1869" s="9" t="s">
        <v>83</v>
      </c>
      <c r="J1869" s="9" t="s">
        <v>13555</v>
      </c>
      <c r="K1869" s="9" t="s">
        <v>13556</v>
      </c>
      <c r="L1869" s="8" t="s">
        <v>11403</v>
      </c>
      <c r="M1869" s="9" t="s">
        <v>100</v>
      </c>
      <c r="N1869" s="9" t="s">
        <v>37</v>
      </c>
      <c r="O1869" s="9">
        <f>HYPERLINK("https://www.google.com/maps/search/?api=1&amp;query=40.71358261,-3.57879552", "https://www.google.com/maps/search/?api=1&amp;query=40.71358261,-3.57879552")</f>
      </c>
      <c r="P1869" s="9" t="s">
        <v>8265</v>
      </c>
      <c r="Q1869" s="9" t="s">
        <v>13557</v>
      </c>
    </row>
    <row r="1870" spans="1:17" x14ac:dyDescent="0.25">
      <c r="A1870" s="8" t="s">
        <v>13558</v>
      </c>
      <c r="B1870" s="8" t="s">
        <v>13559</v>
      </c>
      <c r="C1870" s="9" t="s">
        <v>13560</v>
      </c>
      <c r="D1870" s="9" t="s">
        <v>166</v>
      </c>
      <c r="E1870" s="9" t="s">
        <v>13561</v>
      </c>
      <c r="F1870" s="10">
        <v>1.514</v>
      </c>
      <c r="G1870" s="10">
        <v>1.665</v>
      </c>
      <c r="H1870" s="10"/>
      <c r="I1870" s="9" t="s">
        <v>168</v>
      </c>
      <c r="J1870" s="9" t="s">
        <v>13562</v>
      </c>
      <c r="K1870" s="9" t="s">
        <v>13563</v>
      </c>
      <c r="L1870" s="8" t="s">
        <v>13564</v>
      </c>
      <c r="M1870" s="9" t="s">
        <v>100</v>
      </c>
      <c r="N1870" s="9" t="s">
        <v>211</v>
      </c>
      <c r="O1870" s="9">
        <f>HYPERLINK("https://www.google.com/maps/search/?api=1&amp;query=41.0122733,-2.55460175", "https://www.google.com/maps/search/?api=1&amp;query=41.0122733,-2.55460175")</f>
      </c>
      <c r="P1870" s="9" t="s">
        <v>172</v>
      </c>
      <c r="Q1870" s="9" t="s">
        <v>3771</v>
      </c>
    </row>
    <row r="1871" spans="1:17" x14ac:dyDescent="0.25">
      <c r="A1871" s="8" t="s">
        <v>13565</v>
      </c>
      <c r="B1871" s="8" t="s">
        <v>13566</v>
      </c>
      <c r="C1871" s="9" t="s">
        <v>13567</v>
      </c>
      <c r="D1871" s="9" t="s">
        <v>72</v>
      </c>
      <c r="E1871" s="9" t="s">
        <v>13568</v>
      </c>
      <c r="F1871" s="10">
        <v>1.514</v>
      </c>
      <c r="G1871" s="10">
        <v>1.665</v>
      </c>
      <c r="H1871" s="10"/>
      <c r="I1871" s="9" t="s">
        <v>74</v>
      </c>
      <c r="J1871" s="9" t="s">
        <v>13569</v>
      </c>
      <c r="K1871" s="9" t="s">
        <v>13570</v>
      </c>
      <c r="L1871" s="8" t="s">
        <v>13571</v>
      </c>
      <c r="M1871" s="9" t="s">
        <v>36</v>
      </c>
      <c r="N1871" s="9" t="s">
        <v>88</v>
      </c>
      <c r="O1871" s="9">
        <f>HYPERLINK("https://www.google.com/maps/search/?api=1&amp;query=42.42235958,-4.67963632", "https://www.google.com/maps/search/?api=1&amp;query=42.42235958,-4.67963632")</f>
      </c>
      <c r="P1871" s="9" t="s">
        <v>880</v>
      </c>
      <c r="Q1871" s="9" t="s">
        <v>4404</v>
      </c>
    </row>
    <row r="1872" spans="1:17" x14ac:dyDescent="0.25">
      <c r="A1872" s="8" t="s">
        <v>13572</v>
      </c>
      <c r="B1872" s="8" t="s">
        <v>13573</v>
      </c>
      <c r="C1872" s="9" t="s">
        <v>13574</v>
      </c>
      <c r="D1872" s="9" t="s">
        <v>290</v>
      </c>
      <c r="E1872" s="9" t="s">
        <v>13575</v>
      </c>
      <c r="F1872" s="10">
        <v>1.514</v>
      </c>
      <c r="G1872" s="10">
        <v>1.665</v>
      </c>
      <c r="H1872" s="10"/>
      <c r="I1872" s="9" t="s">
        <v>292</v>
      </c>
      <c r="J1872" s="9" t="s">
        <v>13576</v>
      </c>
      <c r="K1872" s="9" t="s">
        <v>13577</v>
      </c>
      <c r="L1872" s="8" t="s">
        <v>13578</v>
      </c>
      <c r="M1872" s="9" t="s">
        <v>49</v>
      </c>
      <c r="N1872" s="9" t="s">
        <v>7777</v>
      </c>
      <c r="O1872" s="9">
        <f>HYPERLINK("https://www.google.com/maps/search/?api=1&amp;query=41.01620096,0.19293976", "https://www.google.com/maps/search/?api=1&amp;query=41.01620096,0.19293976")</f>
      </c>
      <c r="P1872" s="9" t="s">
        <v>13579</v>
      </c>
      <c r="Q1872" s="9" t="s">
        <v>13580</v>
      </c>
    </row>
    <row r="1873" spans="1:17" x14ac:dyDescent="0.25">
      <c r="A1873" s="8" t="s">
        <v>13581</v>
      </c>
      <c r="B1873" s="8" t="s">
        <v>13582</v>
      </c>
      <c r="C1873" s="9" t="s">
        <v>13583</v>
      </c>
      <c r="D1873" s="9" t="s">
        <v>83</v>
      </c>
      <c r="E1873" s="9" t="s">
        <v>5704</v>
      </c>
      <c r="F1873" s="10">
        <v>1.514</v>
      </c>
      <c r="G1873" s="10">
        <v>1.665</v>
      </c>
      <c r="H1873" s="10"/>
      <c r="I1873" s="9" t="s">
        <v>83</v>
      </c>
      <c r="J1873" s="9" t="s">
        <v>13584</v>
      </c>
      <c r="K1873" s="9" t="s">
        <v>13585</v>
      </c>
      <c r="L1873" s="8" t="s">
        <v>5707</v>
      </c>
      <c r="M1873" s="9" t="s">
        <v>36</v>
      </c>
      <c r="N1873" s="9" t="s">
        <v>592</v>
      </c>
      <c r="O1873" s="9">
        <f>HYPERLINK("https://www.google.com/maps/search/?api=1&amp;query=40.22971326,-3.34751912", "https://www.google.com/maps/search/?api=1&amp;query=40.22971326,-3.34751912")</f>
      </c>
      <c r="P1873" s="9" t="s">
        <v>646</v>
      </c>
      <c r="Q1873" s="9" t="s">
        <v>13586</v>
      </c>
    </row>
    <row r="1874" spans="1:17" x14ac:dyDescent="0.25">
      <c r="A1874" s="8" t="s">
        <v>13587</v>
      </c>
      <c r="B1874" s="8" t="s">
        <v>13588</v>
      </c>
      <c r="C1874" s="9" t="s">
        <v>13589</v>
      </c>
      <c r="D1874" s="9" t="s">
        <v>1282</v>
      </c>
      <c r="E1874" s="9" t="s">
        <v>13590</v>
      </c>
      <c r="F1874" s="10">
        <v>1.514</v>
      </c>
      <c r="G1874" s="10">
        <v>1.665</v>
      </c>
      <c r="H1874" s="10"/>
      <c r="I1874" s="9" t="s">
        <v>45</v>
      </c>
      <c r="J1874" s="9" t="s">
        <v>13591</v>
      </c>
      <c r="K1874" s="9" t="s">
        <v>13592</v>
      </c>
      <c r="L1874" s="8" t="s">
        <v>13593</v>
      </c>
      <c r="M1874" s="9" t="s">
        <v>49</v>
      </c>
      <c r="N1874" s="9" t="s">
        <v>5851</v>
      </c>
      <c r="O1874" s="9">
        <f>HYPERLINK("https://www.google.com/maps/search/?api=1&amp;query=37.32599961,-4.00527775", "https://www.google.com/maps/search/?api=1&amp;query=37.32599961,-4.00527775")</f>
      </c>
      <c r="P1874" s="9" t="s">
        <v>1927</v>
      </c>
      <c r="Q1874" s="9" t="s">
        <v>8215</v>
      </c>
    </row>
    <row r="1875" spans="1:17" x14ac:dyDescent="0.25">
      <c r="A1875" s="8" t="s">
        <v>13594</v>
      </c>
      <c r="B1875" s="8" t="s">
        <v>13595</v>
      </c>
      <c r="C1875" s="9" t="s">
        <v>13596</v>
      </c>
      <c r="D1875" s="9" t="s">
        <v>1483</v>
      </c>
      <c r="E1875" s="9" t="s">
        <v>13597</v>
      </c>
      <c r="F1875" s="10">
        <v>1.514</v>
      </c>
      <c r="G1875" s="10">
        <v>1.665</v>
      </c>
      <c r="H1875" s="10"/>
      <c r="I1875" s="9" t="s">
        <v>74</v>
      </c>
      <c r="J1875" s="9" t="s">
        <v>13598</v>
      </c>
      <c r="K1875" s="9" t="s">
        <v>13599</v>
      </c>
      <c r="L1875" s="8" t="s">
        <v>13600</v>
      </c>
      <c r="M1875" s="9" t="s">
        <v>36</v>
      </c>
      <c r="N1875" s="9" t="s">
        <v>211</v>
      </c>
      <c r="O1875" s="9">
        <f>HYPERLINK("https://www.google.com/maps/search/?api=1&amp;query=41.69863589,-3.92311003", "https://www.google.com/maps/search/?api=1&amp;query=41.69863589,-3.92311003")</f>
      </c>
      <c r="P1875" s="9" t="s">
        <v>493</v>
      </c>
      <c r="Q1875" s="9" t="s">
        <v>1742</v>
      </c>
    </row>
    <row r="1876" spans="1:17" x14ac:dyDescent="0.25">
      <c r="A1876" s="8" t="s">
        <v>13601</v>
      </c>
      <c r="B1876" s="8" t="s">
        <v>13602</v>
      </c>
      <c r="C1876" s="9" t="s">
        <v>13603</v>
      </c>
      <c r="D1876" s="9" t="s">
        <v>400</v>
      </c>
      <c r="E1876" s="9" t="s">
        <v>7645</v>
      </c>
      <c r="F1876" s="10">
        <v>1.514</v>
      </c>
      <c r="G1876" s="10">
        <v>1.665</v>
      </c>
      <c r="H1876" s="10"/>
      <c r="I1876" s="9" t="s">
        <v>400</v>
      </c>
      <c r="J1876" s="9" t="s">
        <v>13604</v>
      </c>
      <c r="K1876" s="9" t="s">
        <v>13605</v>
      </c>
      <c r="L1876" s="8" t="s">
        <v>7648</v>
      </c>
      <c r="M1876" s="9" t="s">
        <v>49</v>
      </c>
      <c r="N1876" s="9" t="s">
        <v>37</v>
      </c>
      <c r="O1876" s="9">
        <f>HYPERLINK("https://www.google.com/maps/search/?api=1&amp;query=39.66262274,-0.23887314", "https://www.google.com/maps/search/?api=1&amp;query=39.66262274,-0.23887314")</f>
      </c>
      <c r="P1876" s="9" t="s">
        <v>7943</v>
      </c>
      <c r="Q1876" s="9" t="s">
        <v>7458</v>
      </c>
    </row>
    <row r="1877" spans="1:17" x14ac:dyDescent="0.25">
      <c r="A1877" s="8" t="s">
        <v>13606</v>
      </c>
      <c r="B1877" s="8" t="s">
        <v>13607</v>
      </c>
      <c r="C1877" s="9" t="s">
        <v>13608</v>
      </c>
      <c r="D1877" s="9" t="s">
        <v>631</v>
      </c>
      <c r="E1877" s="9" t="s">
        <v>13609</v>
      </c>
      <c r="F1877" s="10">
        <v>1.514</v>
      </c>
      <c r="G1877" s="10">
        <v>1.665</v>
      </c>
      <c r="H1877" s="10"/>
      <c r="I1877" s="9" t="s">
        <v>45</v>
      </c>
      <c r="J1877" s="9" t="s">
        <v>13610</v>
      </c>
      <c r="K1877" s="9" t="s">
        <v>13611</v>
      </c>
      <c r="L1877" s="8" t="s">
        <v>13612</v>
      </c>
      <c r="M1877" s="9" t="s">
        <v>36</v>
      </c>
      <c r="N1877" s="9" t="s">
        <v>13613</v>
      </c>
      <c r="O1877" s="9">
        <f>HYPERLINK("https://www.google.com/maps/search/?api=1&amp;query=37.37950049,-4.78133036", "https://www.google.com/maps/search/?api=1&amp;query=37.37950049,-4.78133036")</f>
      </c>
      <c r="P1877" s="9" t="s">
        <v>13614</v>
      </c>
      <c r="Q1877" s="9" t="s">
        <v>13615</v>
      </c>
    </row>
    <row r="1878" spans="1:17" x14ac:dyDescent="0.25">
      <c r="A1878" s="8" t="s">
        <v>13616</v>
      </c>
      <c r="B1878" s="8" t="s">
        <v>13617</v>
      </c>
      <c r="C1878" s="9" t="s">
        <v>13618</v>
      </c>
      <c r="D1878" s="9" t="s">
        <v>444</v>
      </c>
      <c r="E1878" s="9" t="s">
        <v>13619</v>
      </c>
      <c r="F1878" s="10">
        <v>1.514</v>
      </c>
      <c r="G1878" s="10">
        <v>1.665</v>
      </c>
      <c r="H1878" s="10"/>
      <c r="I1878" s="9" t="s">
        <v>444</v>
      </c>
      <c r="J1878" s="9" t="s">
        <v>13620</v>
      </c>
      <c r="K1878" s="9" t="s">
        <v>13621</v>
      </c>
      <c r="L1878" s="8" t="s">
        <v>13622</v>
      </c>
      <c r="M1878" s="9" t="s">
        <v>36</v>
      </c>
      <c r="N1878" s="9" t="s">
        <v>2640</v>
      </c>
      <c r="O1878" s="9">
        <f>HYPERLINK("https://www.google.com/maps/search/?api=1&amp;query=43.32751045,-4.58288561", "https://www.google.com/maps/search/?api=1&amp;query=43.32751045,-4.58288561")</f>
      </c>
      <c r="P1878" s="9" t="s">
        <v>1203</v>
      </c>
      <c r="Q1878" s="9" t="s">
        <v>11262</v>
      </c>
    </row>
    <row r="1879" spans="1:17" x14ac:dyDescent="0.25">
      <c r="A1879" s="8" t="s">
        <v>13623</v>
      </c>
      <c r="B1879" s="8" t="s">
        <v>13624</v>
      </c>
      <c r="C1879" s="9" t="s">
        <v>13625</v>
      </c>
      <c r="D1879" s="9" t="s">
        <v>155</v>
      </c>
      <c r="E1879" s="9" t="s">
        <v>2394</v>
      </c>
      <c r="F1879" s="10">
        <v>1.514</v>
      </c>
      <c r="G1879" s="10">
        <v>1.665</v>
      </c>
      <c r="H1879" s="10"/>
      <c r="I1879" s="9" t="s">
        <v>157</v>
      </c>
      <c r="J1879" s="9" t="s">
        <v>13626</v>
      </c>
      <c r="K1879" s="9" t="s">
        <v>13627</v>
      </c>
      <c r="L1879" s="8" t="s">
        <v>13628</v>
      </c>
      <c r="M1879" s="9" t="s">
        <v>36</v>
      </c>
      <c r="N1879" s="9" t="s">
        <v>37</v>
      </c>
      <c r="O1879" s="9">
        <f>HYPERLINK("https://www.google.com/maps/search/?api=1&amp;query=39.58916456,2.67647548", "https://www.google.com/maps/search/?api=1&amp;query=39.58916456,2.67647548")</f>
      </c>
      <c r="P1879" s="9" t="s">
        <v>13629</v>
      </c>
      <c r="Q1879" s="9" t="s">
        <v>9687</v>
      </c>
    </row>
    <row r="1880" spans="1:17" x14ac:dyDescent="0.25">
      <c r="A1880" s="8" t="s">
        <v>13630</v>
      </c>
      <c r="B1880" s="8" t="s">
        <v>13631</v>
      </c>
      <c r="C1880" s="9" t="s">
        <v>13632</v>
      </c>
      <c r="D1880" s="9" t="s">
        <v>892</v>
      </c>
      <c r="E1880" s="9" t="s">
        <v>1199</v>
      </c>
      <c r="F1880" s="10">
        <v>1.514</v>
      </c>
      <c r="G1880" s="10">
        <v>1.665</v>
      </c>
      <c r="H1880" s="10"/>
      <c r="I1880" s="9" t="s">
        <v>32</v>
      </c>
      <c r="J1880" s="9" t="s">
        <v>13633</v>
      </c>
      <c r="K1880" s="9" t="s">
        <v>13634</v>
      </c>
      <c r="L1880" s="8" t="s">
        <v>1202</v>
      </c>
      <c r="M1880" s="9" t="s">
        <v>49</v>
      </c>
      <c r="N1880" s="9" t="s">
        <v>13635</v>
      </c>
      <c r="O1880" s="9">
        <f>HYPERLINK("https://www.google.com/maps/search/?api=1&amp;query=39.45603194,-6.45367192", "https://www.google.com/maps/search/?api=1&amp;query=39.45603194,-6.45367192")</f>
      </c>
      <c r="P1880" s="9" t="s">
        <v>8200</v>
      </c>
      <c r="Q1880" s="9" t="s">
        <v>1742</v>
      </c>
    </row>
    <row r="1881" spans="1:17" x14ac:dyDescent="0.25">
      <c r="A1881" s="8" t="s">
        <v>13636</v>
      </c>
      <c r="B1881" s="8" t="s">
        <v>13637</v>
      </c>
      <c r="C1881" s="9" t="s">
        <v>13638</v>
      </c>
      <c r="D1881" s="9" t="s">
        <v>217</v>
      </c>
      <c r="E1881" s="9" t="s">
        <v>271</v>
      </c>
      <c r="F1881" s="10">
        <v>1.514</v>
      </c>
      <c r="G1881" s="10">
        <v>1.665</v>
      </c>
      <c r="H1881" s="10"/>
      <c r="I1881" s="9" t="s">
        <v>45</v>
      </c>
      <c r="J1881" s="9" t="s">
        <v>13639</v>
      </c>
      <c r="K1881" s="9" t="s">
        <v>13640</v>
      </c>
      <c r="L1881" s="8" t="s">
        <v>1017</v>
      </c>
      <c r="M1881" s="9" t="s">
        <v>36</v>
      </c>
      <c r="N1881" s="9" t="s">
        <v>88</v>
      </c>
      <c r="O1881" s="9">
        <f>HYPERLINK("https://www.google.com/maps/search/?api=1&amp;query=36.81294566,-4.44193056", "https://www.google.com/maps/search/?api=1&amp;query=36.81294566,-4.44193056")</f>
      </c>
      <c r="P1881" s="9" t="s">
        <v>3580</v>
      </c>
      <c r="Q1881" s="9" t="s">
        <v>13641</v>
      </c>
    </row>
    <row r="1882" spans="1:17" x14ac:dyDescent="0.25">
      <c r="A1882" s="8" t="s">
        <v>13642</v>
      </c>
      <c r="B1882" s="8" t="s">
        <v>13643</v>
      </c>
      <c r="C1882" s="9" t="s">
        <v>13644</v>
      </c>
      <c r="D1882" s="9" t="s">
        <v>444</v>
      </c>
      <c r="E1882" s="9" t="s">
        <v>13645</v>
      </c>
      <c r="F1882" s="10">
        <v>1.514</v>
      </c>
      <c r="G1882" s="10">
        <v>1.665</v>
      </c>
      <c r="H1882" s="10"/>
      <c r="I1882" s="9" t="s">
        <v>444</v>
      </c>
      <c r="J1882" s="9" t="s">
        <v>13646</v>
      </c>
      <c r="K1882" s="9" t="s">
        <v>13647</v>
      </c>
      <c r="L1882" s="8" t="s">
        <v>3728</v>
      </c>
      <c r="M1882" s="9" t="s">
        <v>36</v>
      </c>
      <c r="N1882" s="9" t="s">
        <v>211</v>
      </c>
      <c r="O1882" s="9">
        <f>HYPERLINK("https://www.google.com/maps/search/?api=1&amp;query=43.5438027,-6.78352262", "https://www.google.com/maps/search/?api=1&amp;query=43.5438027,-6.78352262")</f>
      </c>
      <c r="P1882" s="9" t="s">
        <v>771</v>
      </c>
      <c r="Q1882" s="9" t="s">
        <v>13648</v>
      </c>
    </row>
    <row r="1883" spans="1:17" x14ac:dyDescent="0.25">
      <c r="A1883" s="8" t="s">
        <v>13649</v>
      </c>
      <c r="B1883" s="8" t="s">
        <v>13650</v>
      </c>
      <c r="C1883" s="9" t="s">
        <v>9089</v>
      </c>
      <c r="D1883" s="9" t="s">
        <v>106</v>
      </c>
      <c r="E1883" s="9" t="s">
        <v>2424</v>
      </c>
      <c r="F1883" s="10">
        <v>1.514</v>
      </c>
      <c r="G1883" s="10">
        <v>1.665</v>
      </c>
      <c r="H1883" s="10"/>
      <c r="I1883" s="9" t="s">
        <v>106</v>
      </c>
      <c r="J1883" s="9" t="s">
        <v>13651</v>
      </c>
      <c r="K1883" s="9" t="s">
        <v>13652</v>
      </c>
      <c r="L1883" s="8" t="s">
        <v>13653</v>
      </c>
      <c r="M1883" s="9" t="s">
        <v>49</v>
      </c>
      <c r="N1883" s="9" t="s">
        <v>592</v>
      </c>
      <c r="O1883" s="9">
        <f>HYPERLINK("https://www.google.com/maps/search/?api=1&amp;query=37.65040542,-0.91967636", "https://www.google.com/maps/search/?api=1&amp;query=37.65040542,-0.91967636")</f>
      </c>
      <c r="P1883" s="9" t="s">
        <v>13654</v>
      </c>
      <c r="Q1883" s="9" t="s">
        <v>13655</v>
      </c>
    </row>
    <row r="1884" spans="1:17" x14ac:dyDescent="0.25">
      <c r="A1884" s="8" t="s">
        <v>13656</v>
      </c>
      <c r="B1884" s="8" t="s">
        <v>13657</v>
      </c>
      <c r="C1884" s="9" t="s">
        <v>13658</v>
      </c>
      <c r="D1884" s="9" t="s">
        <v>1192</v>
      </c>
      <c r="E1884" s="9" t="s">
        <v>13659</v>
      </c>
      <c r="F1884" s="10">
        <v>1.514</v>
      </c>
      <c r="G1884" s="10">
        <v>1.665</v>
      </c>
      <c r="H1884" s="10"/>
      <c r="I1884" s="9" t="s">
        <v>168</v>
      </c>
      <c r="J1884" s="9" t="s">
        <v>13660</v>
      </c>
      <c r="K1884" s="9" t="s">
        <v>13661</v>
      </c>
      <c r="L1884" s="8" t="s">
        <v>13662</v>
      </c>
      <c r="M1884" s="9" t="s">
        <v>49</v>
      </c>
      <c r="N1884" s="9" t="s">
        <v>13663</v>
      </c>
      <c r="O1884" s="9">
        <f>HYPERLINK("https://www.google.com/maps/search/?api=1&amp;query=38.97382665,-3.33697782", "https://www.google.com/maps/search/?api=1&amp;query=38.97382665,-3.33697782")</f>
      </c>
      <c r="P1884" s="9" t="s">
        <v>6210</v>
      </c>
      <c r="Q1884" s="9" t="s">
        <v>10247</v>
      </c>
    </row>
    <row r="1885" spans="1:17" x14ac:dyDescent="0.25">
      <c r="A1885" s="8" t="s">
        <v>13664</v>
      </c>
      <c r="B1885" s="8" t="s">
        <v>13665</v>
      </c>
      <c r="C1885" s="9" t="s">
        <v>13666</v>
      </c>
      <c r="D1885" s="9" t="s">
        <v>155</v>
      </c>
      <c r="E1885" s="9" t="s">
        <v>1881</v>
      </c>
      <c r="F1885" s="10">
        <v>1.514</v>
      </c>
      <c r="G1885" s="10">
        <v>1.665</v>
      </c>
      <c r="H1885" s="10"/>
      <c r="I1885" s="9" t="s">
        <v>157</v>
      </c>
      <c r="J1885" s="9" t="s">
        <v>13667</v>
      </c>
      <c r="K1885" s="9" t="s">
        <v>13668</v>
      </c>
      <c r="L1885" s="8" t="s">
        <v>1884</v>
      </c>
      <c r="M1885" s="9" t="s">
        <v>36</v>
      </c>
      <c r="N1885" s="9" t="s">
        <v>1910</v>
      </c>
      <c r="O1885" s="9">
        <f>HYPERLINK("https://www.google.com/maps/search/?api=1&amp;query=39.47394053,3.15887002", "https://www.google.com/maps/search/?api=1&amp;query=39.47394053,3.15887002")</f>
      </c>
      <c r="P1885" s="9" t="s">
        <v>13669</v>
      </c>
      <c r="Q1885" s="9" t="s">
        <v>647</v>
      </c>
    </row>
    <row r="1886" spans="1:17" x14ac:dyDescent="0.25">
      <c r="A1886" s="8" t="s">
        <v>13670</v>
      </c>
      <c r="B1886" s="8" t="s">
        <v>13671</v>
      </c>
      <c r="C1886" s="9" t="s">
        <v>13672</v>
      </c>
      <c r="D1886" s="9" t="s">
        <v>30</v>
      </c>
      <c r="E1886" s="9" t="s">
        <v>13673</v>
      </c>
      <c r="F1886" s="10">
        <v>1.514</v>
      </c>
      <c r="G1886" s="10">
        <v>1.665</v>
      </c>
      <c r="H1886" s="10"/>
      <c r="I1886" s="9" t="s">
        <v>32</v>
      </c>
      <c r="J1886" s="9" t="s">
        <v>13674</v>
      </c>
      <c r="K1886" s="9" t="s">
        <v>13675</v>
      </c>
      <c r="L1886" s="8" t="s">
        <v>13676</v>
      </c>
      <c r="M1886" s="9" t="s">
        <v>49</v>
      </c>
      <c r="N1886" s="9" t="s">
        <v>13677</v>
      </c>
      <c r="O1886" s="9">
        <f>HYPERLINK("https://www.google.com/maps/search/?api=1&amp;query=38.7164242,-5.23094252", "https://www.google.com/maps/search/?api=1&amp;query=38.7164242,-5.23094252")</f>
      </c>
      <c r="P1886" s="9" t="s">
        <v>1373</v>
      </c>
      <c r="Q1886" s="9" t="s">
        <v>13678</v>
      </c>
    </row>
    <row r="1887" spans="1:17" x14ac:dyDescent="0.25">
      <c r="A1887" s="8" t="s">
        <v>13679</v>
      </c>
      <c r="B1887" s="8" t="s">
        <v>13680</v>
      </c>
      <c r="C1887" s="9" t="s">
        <v>13681</v>
      </c>
      <c r="D1887" s="9" t="s">
        <v>400</v>
      </c>
      <c r="E1887" s="9" t="s">
        <v>10186</v>
      </c>
      <c r="F1887" s="10">
        <v>1.514</v>
      </c>
      <c r="G1887" s="10">
        <v>1.665</v>
      </c>
      <c r="H1887" s="10"/>
      <c r="I1887" s="9" t="s">
        <v>400</v>
      </c>
      <c r="J1887" s="9" t="s">
        <v>13682</v>
      </c>
      <c r="K1887" s="9" t="s">
        <v>13683</v>
      </c>
      <c r="L1887" s="8" t="s">
        <v>10189</v>
      </c>
      <c r="M1887" s="9" t="s">
        <v>49</v>
      </c>
      <c r="N1887" s="9" t="s">
        <v>13684</v>
      </c>
      <c r="O1887" s="9">
        <f>HYPERLINK("https://www.google.com/maps/search/?api=1&amp;query=39.47131933,-0.46533465", "https://www.google.com/maps/search/?api=1&amp;query=39.47131933,-0.46533465")</f>
      </c>
      <c r="P1887" s="9" t="s">
        <v>8113</v>
      </c>
      <c r="Q1887" s="9" t="s">
        <v>13685</v>
      </c>
    </row>
    <row r="1888" spans="1:17" x14ac:dyDescent="0.25">
      <c r="A1888" s="8" t="s">
        <v>13686</v>
      </c>
      <c r="B1888" s="8" t="s">
        <v>13687</v>
      </c>
      <c r="C1888" s="9" t="s">
        <v>13688</v>
      </c>
      <c r="D1888" s="9" t="s">
        <v>187</v>
      </c>
      <c r="E1888" s="9" t="s">
        <v>13689</v>
      </c>
      <c r="F1888" s="10">
        <v>1.514</v>
      </c>
      <c r="G1888" s="10">
        <v>1.665</v>
      </c>
      <c r="H1888" s="10"/>
      <c r="I1888" s="9" t="s">
        <v>74</v>
      </c>
      <c r="J1888" s="9" t="s">
        <v>13690</v>
      </c>
      <c r="K1888" s="9" t="s">
        <v>13691</v>
      </c>
      <c r="L1888" s="8" t="s">
        <v>13692</v>
      </c>
      <c r="M1888" s="9" t="s">
        <v>49</v>
      </c>
      <c r="N1888" s="9" t="s">
        <v>9045</v>
      </c>
      <c r="O1888" s="9">
        <f>HYPERLINK("https://www.google.com/maps/search/?api=1&amp;query=42.57090917,-5.52063249", "https://www.google.com/maps/search/?api=1&amp;query=42.57090917,-5.52063249")</f>
      </c>
      <c r="P1888" s="9" t="s">
        <v>521</v>
      </c>
      <c r="Q1888" s="9" t="s">
        <v>3771</v>
      </c>
    </row>
    <row r="1889" spans="1:17" x14ac:dyDescent="0.25">
      <c r="A1889" s="8" t="s">
        <v>13693</v>
      </c>
      <c r="B1889" s="8" t="s">
        <v>13694</v>
      </c>
      <c r="C1889" s="9" t="s">
        <v>13695</v>
      </c>
      <c r="D1889" s="9" t="s">
        <v>434</v>
      </c>
      <c r="E1889" s="9" t="s">
        <v>13696</v>
      </c>
      <c r="F1889" s="10">
        <v>1.514</v>
      </c>
      <c r="G1889" s="10">
        <v>1.665</v>
      </c>
      <c r="H1889" s="10"/>
      <c r="I1889" s="9" t="s">
        <v>96</v>
      </c>
      <c r="J1889" s="9" t="s">
        <v>13697</v>
      </c>
      <c r="K1889" s="9" t="s">
        <v>13698</v>
      </c>
      <c r="L1889" s="8" t="s">
        <v>13699</v>
      </c>
      <c r="M1889" s="9" t="s">
        <v>36</v>
      </c>
      <c r="N1889" s="9" t="s">
        <v>6008</v>
      </c>
      <c r="O1889" s="9">
        <f>HYPERLINK("https://www.google.com/maps/search/?api=1&amp;query=41.96683358,2.62517679", "https://www.google.com/maps/search/?api=1&amp;query=41.96683358,2.62517679")</f>
      </c>
      <c r="P1889" s="9" t="s">
        <v>780</v>
      </c>
      <c r="Q1889" s="9" t="s">
        <v>8151</v>
      </c>
    </row>
    <row r="1890" spans="1:17" x14ac:dyDescent="0.25">
      <c r="A1890" s="8" t="s">
        <v>13700</v>
      </c>
      <c r="B1890" s="8" t="s">
        <v>13701</v>
      </c>
      <c r="C1890" s="9" t="s">
        <v>13702</v>
      </c>
      <c r="D1890" s="9" t="s">
        <v>177</v>
      </c>
      <c r="E1890" s="9" t="s">
        <v>13703</v>
      </c>
      <c r="F1890" s="10">
        <v>1.514</v>
      </c>
      <c r="G1890" s="10">
        <v>1.665</v>
      </c>
      <c r="H1890" s="10"/>
      <c r="I1890" s="9" t="s">
        <v>74</v>
      </c>
      <c r="J1890" s="9" t="s">
        <v>13704</v>
      </c>
      <c r="K1890" s="9" t="s">
        <v>13705</v>
      </c>
      <c r="L1890" s="8" t="s">
        <v>13706</v>
      </c>
      <c r="M1890" s="9" t="s">
        <v>36</v>
      </c>
      <c r="N1890" s="9" t="s">
        <v>7222</v>
      </c>
      <c r="O1890" s="9">
        <f>HYPERLINK("https://www.google.com/maps/search/?api=1&amp;query=41.5913119,-4.60718375", "https://www.google.com/maps/search/?api=1&amp;query=41.5913119,-4.60718375")</f>
      </c>
      <c r="P1890" s="9" t="s">
        <v>880</v>
      </c>
      <c r="Q1890" s="9" t="s">
        <v>881</v>
      </c>
    </row>
    <row r="1891" spans="1:17" x14ac:dyDescent="0.25">
      <c r="A1891" s="8" t="s">
        <v>13707</v>
      </c>
      <c r="B1891" s="8" t="s">
        <v>13708</v>
      </c>
      <c r="C1891" s="9" t="s">
        <v>13709</v>
      </c>
      <c r="D1891" s="9" t="s">
        <v>30</v>
      </c>
      <c r="E1891" s="9" t="s">
        <v>13710</v>
      </c>
      <c r="F1891" s="10">
        <v>1.514</v>
      </c>
      <c r="G1891" s="10">
        <v>1.665</v>
      </c>
      <c r="H1891" s="10"/>
      <c r="I1891" s="9" t="s">
        <v>32</v>
      </c>
      <c r="J1891" s="9" t="s">
        <v>13711</v>
      </c>
      <c r="K1891" s="9" t="s">
        <v>13712</v>
      </c>
      <c r="L1891" s="8" t="s">
        <v>13713</v>
      </c>
      <c r="M1891" s="9" t="s">
        <v>100</v>
      </c>
      <c r="N1891" s="9" t="s">
        <v>592</v>
      </c>
      <c r="O1891" s="9">
        <f>HYPERLINK("https://www.google.com/maps/search/?api=1&amp;query=38.85977668,-5.62368322", "https://www.google.com/maps/search/?api=1&amp;query=38.85977668,-5.62368322")</f>
      </c>
      <c r="P1891" s="9" t="s">
        <v>1803</v>
      </c>
      <c r="Q1891" s="9" t="s">
        <v>1742</v>
      </c>
    </row>
    <row r="1892" spans="1:17" x14ac:dyDescent="0.25">
      <c r="A1892" s="8" t="s">
        <v>13714</v>
      </c>
      <c r="B1892" s="8" t="s">
        <v>13715</v>
      </c>
      <c r="C1892" s="9" t="s">
        <v>13716</v>
      </c>
      <c r="D1892" s="9" t="s">
        <v>155</v>
      </c>
      <c r="E1892" s="9" t="s">
        <v>13717</v>
      </c>
      <c r="F1892" s="10">
        <v>1.514</v>
      </c>
      <c r="G1892" s="10">
        <v>1.665</v>
      </c>
      <c r="H1892" s="10"/>
      <c r="I1892" s="9" t="s">
        <v>157</v>
      </c>
      <c r="J1892" s="9" t="s">
        <v>13718</v>
      </c>
      <c r="K1892" s="9" t="s">
        <v>13719</v>
      </c>
      <c r="L1892" s="8" t="s">
        <v>13720</v>
      </c>
      <c r="M1892" s="9" t="s">
        <v>49</v>
      </c>
      <c r="N1892" s="9" t="s">
        <v>8648</v>
      </c>
      <c r="O1892" s="9">
        <f>HYPERLINK("https://www.google.com/maps/search/?api=1&amp;query=39.81428621,3.1099334", "https://www.google.com/maps/search/?api=1&amp;query=39.81428621,3.1099334")</f>
      </c>
      <c r="P1892" s="9" t="s">
        <v>1565</v>
      </c>
      <c r="Q1892" s="9" t="s">
        <v>13721</v>
      </c>
    </row>
    <row r="1893" spans="1:17" x14ac:dyDescent="0.25">
      <c r="A1893" s="8" t="s">
        <v>13722</v>
      </c>
      <c r="B1893" s="8" t="s">
        <v>13723</v>
      </c>
      <c r="C1893" s="9" t="s">
        <v>13724</v>
      </c>
      <c r="D1893" s="9" t="s">
        <v>379</v>
      </c>
      <c r="E1893" s="9" t="s">
        <v>13725</v>
      </c>
      <c r="F1893" s="10">
        <v>1.514</v>
      </c>
      <c r="G1893" s="10">
        <v>1.665</v>
      </c>
      <c r="H1893" s="10"/>
      <c r="I1893" s="9" t="s">
        <v>379</v>
      </c>
      <c r="J1893" s="9" t="s">
        <v>13726</v>
      </c>
      <c r="K1893" s="9" t="s">
        <v>13727</v>
      </c>
      <c r="L1893" s="8" t="s">
        <v>788</v>
      </c>
      <c r="M1893" s="9" t="s">
        <v>49</v>
      </c>
      <c r="N1893" s="9" t="s">
        <v>13330</v>
      </c>
      <c r="O1893" s="9">
        <f>HYPERLINK("https://www.google.com/maps/search/?api=1&amp;query=42.81825466,-1.60324759", "https://www.google.com/maps/search/?api=1&amp;query=42.81825466,-1.60324759")</f>
      </c>
      <c r="P1893" s="9" t="s">
        <v>4045</v>
      </c>
      <c r="Q1893" s="9" t="s">
        <v>9248</v>
      </c>
    </row>
    <row r="1894" spans="1:17" x14ac:dyDescent="0.25">
      <c r="A1894" s="8" t="s">
        <v>13728</v>
      </c>
      <c r="B1894" s="8" t="s">
        <v>13729</v>
      </c>
      <c r="C1894" s="9" t="s">
        <v>13730</v>
      </c>
      <c r="D1894" s="9" t="s">
        <v>43</v>
      </c>
      <c r="E1894" s="9" t="s">
        <v>13731</v>
      </c>
      <c r="F1894" s="10">
        <v>1.514</v>
      </c>
      <c r="G1894" s="10">
        <v>1.665</v>
      </c>
      <c r="H1894" s="10"/>
      <c r="I1894" s="9" t="s">
        <v>45</v>
      </c>
      <c r="J1894" s="9" t="s">
        <v>13732</v>
      </c>
      <c r="K1894" s="9" t="s">
        <v>13733</v>
      </c>
      <c r="L1894" s="8" t="s">
        <v>13734</v>
      </c>
      <c r="M1894" s="9" t="s">
        <v>49</v>
      </c>
      <c r="N1894" s="9" t="s">
        <v>122</v>
      </c>
      <c r="O1894" s="9">
        <f>HYPERLINK("https://www.google.com/maps/search/?api=1&amp;query=37.19925679,-7.31001144", "https://www.google.com/maps/search/?api=1&amp;query=37.19925679,-7.31001144")</f>
      </c>
      <c r="P1894" s="9" t="s">
        <v>266</v>
      </c>
      <c r="Q1894" s="9" t="s">
        <v>8215</v>
      </c>
    </row>
    <row r="1895" spans="1:17" x14ac:dyDescent="0.25">
      <c r="A1895" s="8" t="s">
        <v>13735</v>
      </c>
      <c r="B1895" s="8" t="s">
        <v>13736</v>
      </c>
      <c r="C1895" s="9" t="s">
        <v>13737</v>
      </c>
      <c r="D1895" s="9" t="s">
        <v>197</v>
      </c>
      <c r="E1895" s="9" t="s">
        <v>13738</v>
      </c>
      <c r="F1895" s="10">
        <v>1.514</v>
      </c>
      <c r="G1895" s="10">
        <v>1.665</v>
      </c>
      <c r="H1895" s="10"/>
      <c r="I1895" s="9" t="s">
        <v>168</v>
      </c>
      <c r="J1895" s="9" t="s">
        <v>13739</v>
      </c>
      <c r="K1895" s="9" t="s">
        <v>13740</v>
      </c>
      <c r="L1895" s="8" t="s">
        <v>13741</v>
      </c>
      <c r="M1895" s="9" t="s">
        <v>49</v>
      </c>
      <c r="N1895" s="9" t="s">
        <v>13742</v>
      </c>
      <c r="O1895" s="9">
        <f>HYPERLINK("https://www.google.com/maps/search/?api=1&amp;query=39.85775323,-4.36012919", "https://www.google.com/maps/search/?api=1&amp;query=39.85775323,-4.36012919")</f>
      </c>
      <c r="P1895" s="9" t="s">
        <v>493</v>
      </c>
      <c r="Q1895" s="9" t="s">
        <v>9207</v>
      </c>
    </row>
    <row r="1896" spans="1:17" x14ac:dyDescent="0.25">
      <c r="A1896" s="8" t="s">
        <v>13743</v>
      </c>
      <c r="B1896" s="8" t="s">
        <v>13744</v>
      </c>
      <c r="C1896" s="9" t="s">
        <v>13745</v>
      </c>
      <c r="D1896" s="9" t="s">
        <v>217</v>
      </c>
      <c r="E1896" s="9" t="s">
        <v>13746</v>
      </c>
      <c r="F1896" s="10">
        <v>1.514</v>
      </c>
      <c r="G1896" s="10">
        <v>1.665</v>
      </c>
      <c r="H1896" s="10"/>
      <c r="I1896" s="9" t="s">
        <v>45</v>
      </c>
      <c r="J1896" s="9" t="s">
        <v>13747</v>
      </c>
      <c r="K1896" s="9" t="s">
        <v>13748</v>
      </c>
      <c r="L1896" s="8" t="s">
        <v>13749</v>
      </c>
      <c r="M1896" s="9" t="s">
        <v>36</v>
      </c>
      <c r="N1896" s="9" t="s">
        <v>37</v>
      </c>
      <c r="O1896" s="9">
        <f>HYPERLINK("https://www.google.com/maps/search/?api=1&amp;query=36.36790793,-5.22796017", "https://www.google.com/maps/search/?api=1&amp;query=36.36790793,-5.22796017")</f>
      </c>
      <c r="P1896" s="9" t="s">
        <v>2442</v>
      </c>
      <c r="Q1896" s="9" t="s">
        <v>13750</v>
      </c>
    </row>
    <row r="1897" spans="1:17" x14ac:dyDescent="0.25">
      <c r="A1897" s="8" t="s">
        <v>13751</v>
      </c>
      <c r="B1897" s="8" t="s">
        <v>13752</v>
      </c>
      <c r="C1897" s="9" t="s">
        <v>13753</v>
      </c>
      <c r="D1897" s="9" t="s">
        <v>155</v>
      </c>
      <c r="E1897" s="9" t="s">
        <v>6194</v>
      </c>
      <c r="F1897" s="10">
        <v>1.514</v>
      </c>
      <c r="G1897" s="10">
        <v>1.665</v>
      </c>
      <c r="H1897" s="10"/>
      <c r="I1897" s="9" t="s">
        <v>157</v>
      </c>
      <c r="J1897" s="9" t="s">
        <v>13754</v>
      </c>
      <c r="K1897" s="9" t="s">
        <v>13755</v>
      </c>
      <c r="L1897" s="8" t="s">
        <v>6197</v>
      </c>
      <c r="M1897" s="9" t="s">
        <v>49</v>
      </c>
      <c r="N1897" s="9" t="s">
        <v>88</v>
      </c>
      <c r="O1897" s="9">
        <f>HYPERLINK("https://www.google.com/maps/search/?api=1&amp;query=39.57212704,3.19466169", "https://www.google.com/maps/search/?api=1&amp;query=39.57212704,3.19466169")</f>
      </c>
      <c r="P1897" s="9" t="s">
        <v>1067</v>
      </c>
      <c r="Q1897" s="9" t="s">
        <v>3559</v>
      </c>
    </row>
    <row r="1898" spans="1:17" x14ac:dyDescent="0.25">
      <c r="A1898" s="8" t="s">
        <v>13756</v>
      </c>
      <c r="B1898" s="8" t="s">
        <v>13757</v>
      </c>
      <c r="C1898" s="9" t="s">
        <v>13758</v>
      </c>
      <c r="D1898" s="9" t="s">
        <v>488</v>
      </c>
      <c r="E1898" s="9" t="s">
        <v>13759</v>
      </c>
      <c r="F1898" s="10">
        <v>1.514</v>
      </c>
      <c r="G1898" s="10">
        <v>1.665</v>
      </c>
      <c r="H1898" s="10"/>
      <c r="I1898" s="9" t="s">
        <v>45</v>
      </c>
      <c r="J1898" s="9" t="s">
        <v>13760</v>
      </c>
      <c r="K1898" s="9" t="s">
        <v>13761</v>
      </c>
      <c r="L1898" s="8" t="s">
        <v>13762</v>
      </c>
      <c r="M1898" s="9" t="s">
        <v>49</v>
      </c>
      <c r="N1898" s="9" t="s">
        <v>37</v>
      </c>
      <c r="O1898" s="9">
        <f>HYPERLINK("https://www.google.com/maps/search/?api=1&amp;query=38.33693199,-3.54522788", "https://www.google.com/maps/search/?api=1&amp;query=38.33693199,-3.54522788")</f>
      </c>
      <c r="P1898" s="9" t="s">
        <v>3530</v>
      </c>
      <c r="Q1898" s="9" t="s">
        <v>7641</v>
      </c>
    </row>
    <row r="1899" spans="1:17" x14ac:dyDescent="0.25">
      <c r="A1899" s="8" t="s">
        <v>13763</v>
      </c>
      <c r="B1899" s="8" t="s">
        <v>13764</v>
      </c>
      <c r="C1899" s="9" t="s">
        <v>13765</v>
      </c>
      <c r="D1899" s="9" t="s">
        <v>155</v>
      </c>
      <c r="E1899" s="9" t="s">
        <v>13766</v>
      </c>
      <c r="F1899" s="10">
        <v>1.514</v>
      </c>
      <c r="G1899" s="10">
        <v>1.665</v>
      </c>
      <c r="H1899" s="10"/>
      <c r="I1899" s="9" t="s">
        <v>157</v>
      </c>
      <c r="J1899" s="9" t="s">
        <v>13767</v>
      </c>
      <c r="K1899" s="9" t="s">
        <v>13768</v>
      </c>
      <c r="L1899" s="8" t="s">
        <v>13769</v>
      </c>
      <c r="M1899" s="9" t="s">
        <v>49</v>
      </c>
      <c r="N1899" s="9" t="s">
        <v>88</v>
      </c>
      <c r="O1899" s="9">
        <f>HYPERLINK("https://www.google.com/maps/search/?api=1&amp;query=39.56986626,3.06806779", "https://www.google.com/maps/search/?api=1&amp;query=39.56986626,3.06806779")</f>
      </c>
      <c r="P1899" s="9" t="s">
        <v>8895</v>
      </c>
      <c r="Q1899" s="9" t="s">
        <v>11895</v>
      </c>
    </row>
    <row r="1900" spans="1:17" x14ac:dyDescent="0.25">
      <c r="A1900" s="8" t="s">
        <v>13770</v>
      </c>
      <c r="B1900" s="8" t="s">
        <v>13771</v>
      </c>
      <c r="C1900" s="9" t="s">
        <v>13772</v>
      </c>
      <c r="D1900" s="9" t="s">
        <v>106</v>
      </c>
      <c r="E1900" s="9" t="s">
        <v>11146</v>
      </c>
      <c r="F1900" s="10">
        <v>1.514</v>
      </c>
      <c r="G1900" s="10">
        <v>1.665</v>
      </c>
      <c r="H1900" s="10"/>
      <c r="I1900" s="9" t="s">
        <v>106</v>
      </c>
      <c r="J1900" s="9" t="s">
        <v>13773</v>
      </c>
      <c r="K1900" s="9" t="s">
        <v>13774</v>
      </c>
      <c r="L1900" s="8" t="s">
        <v>11149</v>
      </c>
      <c r="M1900" s="9" t="s">
        <v>100</v>
      </c>
      <c r="N1900" s="9" t="s">
        <v>37</v>
      </c>
      <c r="O1900" s="9">
        <f>HYPERLINK("https://www.google.com/maps/search/?api=1&amp;query=37.6217266,-0.87700439", "https://www.google.com/maps/search/?api=1&amp;query=37.6217266,-0.87700439")</f>
      </c>
      <c r="P1900" s="9" t="s">
        <v>2865</v>
      </c>
      <c r="Q1900" s="9" t="s">
        <v>13775</v>
      </c>
    </row>
    <row r="1901" spans="1:17" x14ac:dyDescent="0.25">
      <c r="A1901" s="8" t="s">
        <v>13776</v>
      </c>
      <c r="B1901" s="8" t="s">
        <v>13777</v>
      </c>
      <c r="C1901" s="9" t="s">
        <v>13778</v>
      </c>
      <c r="D1901" s="9" t="s">
        <v>1192</v>
      </c>
      <c r="E1901" s="9" t="s">
        <v>13779</v>
      </c>
      <c r="F1901" s="10">
        <v>1.514</v>
      </c>
      <c r="G1901" s="10">
        <v>1.665</v>
      </c>
      <c r="H1901" s="10"/>
      <c r="I1901" s="9" t="s">
        <v>168</v>
      </c>
      <c r="J1901" s="9" t="s">
        <v>13780</v>
      </c>
      <c r="K1901" s="9" t="s">
        <v>13781</v>
      </c>
      <c r="L1901" s="8" t="s">
        <v>13782</v>
      </c>
      <c r="M1901" s="9" t="s">
        <v>36</v>
      </c>
      <c r="N1901" s="9" t="s">
        <v>7375</v>
      </c>
      <c r="O1901" s="9">
        <f>HYPERLINK("https://www.google.com/maps/search/?api=1&amp;query=38.98037416,-4.86415628", "https://www.google.com/maps/search/?api=1&amp;query=38.98037416,-4.86415628")</f>
      </c>
      <c r="P1901" s="9" t="s">
        <v>12730</v>
      </c>
      <c r="Q1901" s="9" t="s">
        <v>1742</v>
      </c>
    </row>
    <row r="1902" spans="1:17" x14ac:dyDescent="0.25">
      <c r="A1902" s="8" t="s">
        <v>13783</v>
      </c>
      <c r="B1902" s="8" t="s">
        <v>13784</v>
      </c>
      <c r="C1902" s="9" t="s">
        <v>13785</v>
      </c>
      <c r="D1902" s="9" t="s">
        <v>83</v>
      </c>
      <c r="E1902" s="9" t="s">
        <v>83</v>
      </c>
      <c r="F1902" s="10">
        <v>1.514</v>
      </c>
      <c r="G1902" s="10">
        <v>1.665</v>
      </c>
      <c r="H1902" s="10"/>
      <c r="I1902" s="9" t="s">
        <v>83</v>
      </c>
      <c r="J1902" s="9" t="s">
        <v>13786</v>
      </c>
      <c r="K1902" s="9" t="s">
        <v>13787</v>
      </c>
      <c r="L1902" s="8" t="s">
        <v>4238</v>
      </c>
      <c r="M1902" s="9" t="s">
        <v>49</v>
      </c>
      <c r="N1902" s="9" t="s">
        <v>13788</v>
      </c>
      <c r="O1902" s="9">
        <f>HYPERLINK("https://www.google.com/maps/search/?api=1&amp;query=40.44040491,-3.71788252", "https://www.google.com/maps/search/?api=1&amp;query=40.44040491,-3.71788252")</f>
      </c>
      <c r="P1902" s="9" t="s">
        <v>2594</v>
      </c>
      <c r="Q1902" s="9" t="s">
        <v>1131</v>
      </c>
    </row>
    <row r="1903" spans="1:17" x14ac:dyDescent="0.25">
      <c r="A1903" s="8" t="s">
        <v>13789</v>
      </c>
      <c r="B1903" s="8" t="s">
        <v>13790</v>
      </c>
      <c r="C1903" s="9" t="s">
        <v>13791</v>
      </c>
      <c r="D1903" s="9" t="s">
        <v>444</v>
      </c>
      <c r="E1903" s="9" t="s">
        <v>13792</v>
      </c>
      <c r="F1903" s="10">
        <v>1.514</v>
      </c>
      <c r="G1903" s="10">
        <v>1.665</v>
      </c>
      <c r="H1903" s="10"/>
      <c r="I1903" s="9" t="s">
        <v>444</v>
      </c>
      <c r="J1903" s="9" t="s">
        <v>13793</v>
      </c>
      <c r="K1903" s="9" t="s">
        <v>13794</v>
      </c>
      <c r="L1903" s="8" t="s">
        <v>13795</v>
      </c>
      <c r="M1903" s="9" t="s">
        <v>49</v>
      </c>
      <c r="N1903" s="9" t="s">
        <v>211</v>
      </c>
      <c r="O1903" s="9">
        <f>HYPERLINK("https://www.google.com/maps/search/?api=1&amp;query=43.5554402,-6.84535262", "https://www.google.com/maps/search/?api=1&amp;query=43.5554402,-6.84535262")</f>
      </c>
      <c r="P1903" s="9" t="s">
        <v>6241</v>
      </c>
      <c r="Q1903" s="9" t="s">
        <v>13796</v>
      </c>
    </row>
    <row r="1904" spans="1:17" x14ac:dyDescent="0.25">
      <c r="A1904" s="8" t="s">
        <v>13797</v>
      </c>
      <c r="B1904" s="8" t="s">
        <v>13798</v>
      </c>
      <c r="C1904" s="9" t="s">
        <v>13799</v>
      </c>
      <c r="D1904" s="9" t="s">
        <v>128</v>
      </c>
      <c r="E1904" s="9" t="s">
        <v>3834</v>
      </c>
      <c r="F1904" s="10">
        <v>1.514</v>
      </c>
      <c r="G1904" s="10">
        <v>1.665</v>
      </c>
      <c r="H1904" s="10"/>
      <c r="I1904" s="9" t="s">
        <v>45</v>
      </c>
      <c r="J1904" s="9" t="s">
        <v>13800</v>
      </c>
      <c r="K1904" s="9" t="s">
        <v>13801</v>
      </c>
      <c r="L1904" s="8" t="s">
        <v>13802</v>
      </c>
      <c r="M1904" s="9" t="s">
        <v>49</v>
      </c>
      <c r="N1904" s="9" t="s">
        <v>66</v>
      </c>
      <c r="O1904" s="9">
        <f>HYPERLINK("https://www.google.com/maps/search/?api=1&amp;query=36.39670533,-6.16778092", "https://www.google.com/maps/search/?api=1&amp;query=36.39670533,-6.16778092")</f>
      </c>
      <c r="P1904" s="9" t="s">
        <v>1010</v>
      </c>
      <c r="Q1904" s="9" t="s">
        <v>3559</v>
      </c>
    </row>
    <row r="1905" spans="1:17" x14ac:dyDescent="0.25">
      <c r="A1905" s="8" t="s">
        <v>13803</v>
      </c>
      <c r="B1905" s="8" t="s">
        <v>13804</v>
      </c>
      <c r="C1905" s="9" t="s">
        <v>13805</v>
      </c>
      <c r="D1905" s="9" t="s">
        <v>61</v>
      </c>
      <c r="E1905" s="9" t="s">
        <v>61</v>
      </c>
      <c r="F1905" s="10">
        <v>1.514</v>
      </c>
      <c r="G1905" s="10">
        <v>1.665</v>
      </c>
      <c r="H1905" s="10"/>
      <c r="I1905" s="9" t="s">
        <v>45</v>
      </c>
      <c r="J1905" s="9" t="s">
        <v>13806</v>
      </c>
      <c r="K1905" s="9" t="s">
        <v>13807</v>
      </c>
      <c r="L1905" s="8" t="s">
        <v>13808</v>
      </c>
      <c r="M1905" s="9" t="s">
        <v>49</v>
      </c>
      <c r="N1905" s="9" t="s">
        <v>13809</v>
      </c>
      <c r="O1905" s="9">
        <f>HYPERLINK("https://www.google.com/maps/search/?api=1&amp;query=37.3216667,-5.9688889", "https://www.google.com/maps/search/?api=1&amp;query=37.3216667,-5.9688889")</f>
      </c>
      <c r="P1905" s="9" t="s">
        <v>7834</v>
      </c>
      <c r="Q1905" s="9" t="s">
        <v>2159</v>
      </c>
    </row>
    <row r="1906" spans="1:17" x14ac:dyDescent="0.25">
      <c r="A1906" s="8" t="s">
        <v>13810</v>
      </c>
      <c r="B1906" s="8" t="s">
        <v>13811</v>
      </c>
      <c r="C1906" s="9" t="s">
        <v>13812</v>
      </c>
      <c r="D1906" s="9" t="s">
        <v>61</v>
      </c>
      <c r="E1906" s="9" t="s">
        <v>13813</v>
      </c>
      <c r="F1906" s="10">
        <v>1.514</v>
      </c>
      <c r="G1906" s="10">
        <v>1.665</v>
      </c>
      <c r="H1906" s="10"/>
      <c r="I1906" s="9" t="s">
        <v>45</v>
      </c>
      <c r="J1906" s="9" t="s">
        <v>13814</v>
      </c>
      <c r="K1906" s="9" t="s">
        <v>13815</v>
      </c>
      <c r="L1906" s="8" t="s">
        <v>13816</v>
      </c>
      <c r="M1906" s="9" t="s">
        <v>36</v>
      </c>
      <c r="N1906" s="9" t="s">
        <v>37</v>
      </c>
      <c r="O1906" s="9">
        <f>HYPERLINK("https://www.google.com/maps/search/?api=1&amp;query=37.23045874,-5.32404473", "https://www.google.com/maps/search/?api=1&amp;query=37.23045874,-5.32404473")</f>
      </c>
      <c r="P1906" s="9" t="s">
        <v>521</v>
      </c>
      <c r="Q1906" s="9" t="s">
        <v>1408</v>
      </c>
    </row>
    <row r="1907" spans="1:17" x14ac:dyDescent="0.25">
      <c r="A1907" s="8" t="s">
        <v>13817</v>
      </c>
      <c r="B1907" s="8" t="s">
        <v>13818</v>
      </c>
      <c r="C1907" s="9" t="s">
        <v>13819</v>
      </c>
      <c r="D1907" s="9" t="s">
        <v>1282</v>
      </c>
      <c r="E1907" s="9" t="s">
        <v>13820</v>
      </c>
      <c r="F1907" s="10">
        <v>1.514</v>
      </c>
      <c r="G1907" s="10">
        <v>1.665</v>
      </c>
      <c r="H1907" s="10"/>
      <c r="I1907" s="9" t="s">
        <v>45</v>
      </c>
      <c r="J1907" s="9" t="s">
        <v>13821</v>
      </c>
      <c r="K1907" s="9" t="s">
        <v>13822</v>
      </c>
      <c r="L1907" s="8" t="s">
        <v>13823</v>
      </c>
      <c r="M1907" s="9" t="s">
        <v>49</v>
      </c>
      <c r="N1907" s="9" t="s">
        <v>37</v>
      </c>
      <c r="O1907" s="9">
        <f>HYPERLINK("https://www.google.com/maps/search/?api=1&amp;query=36.98678147,-3.60577805", "https://www.google.com/maps/search/?api=1&amp;query=36.98678147,-3.60577805")</f>
      </c>
      <c r="P1907" s="9" t="s">
        <v>617</v>
      </c>
      <c r="Q1907" s="9" t="s">
        <v>13824</v>
      </c>
    </row>
    <row r="1908" spans="1:17" x14ac:dyDescent="0.25">
      <c r="A1908" s="8" t="s">
        <v>13825</v>
      </c>
      <c r="B1908" s="8" t="s">
        <v>13826</v>
      </c>
      <c r="C1908" s="9" t="s">
        <v>13827</v>
      </c>
      <c r="D1908" s="9" t="s">
        <v>344</v>
      </c>
      <c r="E1908" s="9" t="s">
        <v>13828</v>
      </c>
      <c r="F1908" s="10">
        <v>1.514</v>
      </c>
      <c r="G1908" s="10">
        <v>1.665</v>
      </c>
      <c r="H1908" s="10"/>
      <c r="I1908" s="9" t="s">
        <v>140</v>
      </c>
      <c r="J1908" s="9" t="s">
        <v>13829</v>
      </c>
      <c r="K1908" s="9" t="s">
        <v>13830</v>
      </c>
      <c r="L1908" s="8" t="s">
        <v>13831</v>
      </c>
      <c r="M1908" s="9" t="s">
        <v>36</v>
      </c>
      <c r="N1908" s="9" t="s">
        <v>3234</v>
      </c>
      <c r="O1908" s="9">
        <f>HYPERLINK("https://www.google.com/maps/search/?api=1&amp;query=43.21352128,-8.99740499", "https://www.google.com/maps/search/?api=1&amp;query=43.21352128,-8.99740499")</f>
      </c>
      <c r="P1908" s="9" t="s">
        <v>2213</v>
      </c>
      <c r="Q1908" s="9" t="s">
        <v>1733</v>
      </c>
    </row>
    <row r="1909" spans="1:17" x14ac:dyDescent="0.25">
      <c r="A1909" s="8" t="s">
        <v>13832</v>
      </c>
      <c r="B1909" s="8" t="s">
        <v>13833</v>
      </c>
      <c r="C1909" s="9" t="s">
        <v>13834</v>
      </c>
      <c r="D1909" s="9" t="s">
        <v>1617</v>
      </c>
      <c r="E1909" s="9" t="s">
        <v>13835</v>
      </c>
      <c r="F1909" s="10">
        <v>1.514</v>
      </c>
      <c r="G1909" s="10">
        <v>1.665</v>
      </c>
      <c r="H1909" s="10"/>
      <c r="I1909" s="9" t="s">
        <v>292</v>
      </c>
      <c r="J1909" s="9" t="s">
        <v>13836</v>
      </c>
      <c r="K1909" s="9" t="s">
        <v>13837</v>
      </c>
      <c r="L1909" s="8" t="s">
        <v>13838</v>
      </c>
      <c r="M1909" s="9" t="s">
        <v>36</v>
      </c>
      <c r="N1909" s="9" t="s">
        <v>37</v>
      </c>
      <c r="O1909" s="9">
        <f>HYPERLINK("https://www.google.com/maps/search/?api=1&amp;query=41.67245447,0.18791278", "https://www.google.com/maps/search/?api=1&amp;query=41.67245447,0.18791278")</f>
      </c>
      <c r="P1909" s="9" t="s">
        <v>1423</v>
      </c>
      <c r="Q1909" s="9" t="s">
        <v>2998</v>
      </c>
    </row>
    <row r="1910" spans="1:17" x14ac:dyDescent="0.25">
      <c r="A1910" s="8" t="s">
        <v>13839</v>
      </c>
      <c r="B1910" s="8" t="s">
        <v>13840</v>
      </c>
      <c r="C1910" s="9" t="s">
        <v>13841</v>
      </c>
      <c r="D1910" s="9" t="s">
        <v>30</v>
      </c>
      <c r="E1910" s="9" t="s">
        <v>13842</v>
      </c>
      <c r="F1910" s="10">
        <v>1.514</v>
      </c>
      <c r="G1910" s="10">
        <v>1.665</v>
      </c>
      <c r="H1910" s="10"/>
      <c r="I1910" s="9" t="s">
        <v>32</v>
      </c>
      <c r="J1910" s="9" t="s">
        <v>13843</v>
      </c>
      <c r="K1910" s="9" t="s">
        <v>13844</v>
      </c>
      <c r="L1910" s="8" t="s">
        <v>13845</v>
      </c>
      <c r="M1910" s="9" t="s">
        <v>49</v>
      </c>
      <c r="N1910" s="9" t="s">
        <v>13846</v>
      </c>
      <c r="O1910" s="9">
        <f>HYPERLINK("https://www.google.com/maps/search/?api=1&amp;query=39.00608501,-6.09125584", "https://www.google.com/maps/search/?api=1&amp;query=39.00608501,-6.09125584")</f>
      </c>
      <c r="P1910" s="9" t="s">
        <v>144</v>
      </c>
      <c r="Q1910" s="9" t="s">
        <v>13847</v>
      </c>
    </row>
    <row r="1911" spans="1:17" x14ac:dyDescent="0.25">
      <c r="A1911" s="8" t="s">
        <v>13848</v>
      </c>
      <c r="B1911" s="8" t="s">
        <v>13849</v>
      </c>
      <c r="C1911" s="9" t="s">
        <v>13850</v>
      </c>
      <c r="D1911" s="9" t="s">
        <v>400</v>
      </c>
      <c r="E1911" s="9" t="s">
        <v>13851</v>
      </c>
      <c r="F1911" s="10">
        <v>1.514</v>
      </c>
      <c r="G1911" s="10">
        <v>1.665</v>
      </c>
      <c r="H1911" s="10"/>
      <c r="I1911" s="9" t="s">
        <v>400</v>
      </c>
      <c r="J1911" s="9" t="s">
        <v>13852</v>
      </c>
      <c r="K1911" s="9" t="s">
        <v>13853</v>
      </c>
      <c r="L1911" s="8" t="s">
        <v>13854</v>
      </c>
      <c r="M1911" s="9" t="s">
        <v>36</v>
      </c>
      <c r="N1911" s="9" t="s">
        <v>954</v>
      </c>
      <c r="O1911" s="9">
        <f>HYPERLINK("https://www.google.com/maps/search/?api=1&amp;query=38.82799916,-0.60566633", "https://www.google.com/maps/search/?api=1&amp;query=38.82799916,-0.60566633")</f>
      </c>
      <c r="P1911" s="9" t="s">
        <v>1250</v>
      </c>
      <c r="Q1911" s="9" t="s">
        <v>1131</v>
      </c>
    </row>
    <row r="1912" spans="1:17" x14ac:dyDescent="0.25">
      <c r="A1912" s="8" t="s">
        <v>13855</v>
      </c>
      <c r="B1912" s="8" t="s">
        <v>13856</v>
      </c>
      <c r="C1912" s="9" t="s">
        <v>13857</v>
      </c>
      <c r="D1912" s="9" t="s">
        <v>226</v>
      </c>
      <c r="E1912" s="9" t="s">
        <v>13858</v>
      </c>
      <c r="F1912" s="10">
        <v>1.514</v>
      </c>
      <c r="G1912" s="10">
        <v>1.665</v>
      </c>
      <c r="H1912" s="10"/>
      <c r="I1912" s="9" t="s">
        <v>168</v>
      </c>
      <c r="J1912" s="9" t="s">
        <v>13859</v>
      </c>
      <c r="K1912" s="9" t="s">
        <v>13860</v>
      </c>
      <c r="L1912" s="8" t="s">
        <v>13861</v>
      </c>
      <c r="M1912" s="9" t="s">
        <v>49</v>
      </c>
      <c r="N1912" s="9" t="s">
        <v>13862</v>
      </c>
      <c r="O1912" s="9">
        <f>HYPERLINK("https://www.google.com/maps/search/?api=1&amp;query=39.84687019,-1.27257144", "https://www.google.com/maps/search/?api=1&amp;query=39.84687019,-1.27257144")</f>
      </c>
      <c r="P1912" s="9" t="s">
        <v>4183</v>
      </c>
      <c r="Q1912" s="9" t="s">
        <v>9403</v>
      </c>
    </row>
    <row r="1913" spans="1:17" x14ac:dyDescent="0.25">
      <c r="A1913" s="8" t="s">
        <v>13863</v>
      </c>
      <c r="B1913" s="8" t="s">
        <v>13864</v>
      </c>
      <c r="C1913" s="9" t="s">
        <v>13865</v>
      </c>
      <c r="D1913" s="9" t="s">
        <v>155</v>
      </c>
      <c r="E1913" s="9" t="s">
        <v>6194</v>
      </c>
      <c r="F1913" s="10">
        <v>1.514</v>
      </c>
      <c r="G1913" s="10">
        <v>1.665</v>
      </c>
      <c r="H1913" s="10"/>
      <c r="I1913" s="9" t="s">
        <v>157</v>
      </c>
      <c r="J1913" s="9" t="s">
        <v>13866</v>
      </c>
      <c r="K1913" s="9" t="s">
        <v>13867</v>
      </c>
      <c r="L1913" s="8" t="s">
        <v>6197</v>
      </c>
      <c r="M1913" s="9" t="s">
        <v>49</v>
      </c>
      <c r="N1913" s="9" t="s">
        <v>37</v>
      </c>
      <c r="O1913" s="9">
        <f>HYPERLINK("https://www.google.com/maps/search/?api=1&amp;query=39.56135766,3.20709542", "https://www.google.com/maps/search/?api=1&amp;query=39.56135766,3.20709542")</f>
      </c>
      <c r="P1913" s="9" t="s">
        <v>13868</v>
      </c>
      <c r="Q1913" s="9" t="s">
        <v>8447</v>
      </c>
    </row>
    <row r="1914" spans="1:17" x14ac:dyDescent="0.25">
      <c r="A1914" s="8" t="s">
        <v>13869</v>
      </c>
      <c r="B1914" s="8" t="s">
        <v>13870</v>
      </c>
      <c r="C1914" s="9" t="s">
        <v>13871</v>
      </c>
      <c r="D1914" s="9" t="s">
        <v>808</v>
      </c>
      <c r="E1914" s="9" t="s">
        <v>13872</v>
      </c>
      <c r="F1914" s="10">
        <v>1.514</v>
      </c>
      <c r="G1914" s="10">
        <v>1.665</v>
      </c>
      <c r="H1914" s="10"/>
      <c r="I1914" s="9" t="s">
        <v>808</v>
      </c>
      <c r="J1914" s="9" t="s">
        <v>13873</v>
      </c>
      <c r="K1914" s="9" t="s">
        <v>13874</v>
      </c>
      <c r="L1914" s="8" t="s">
        <v>13875</v>
      </c>
      <c r="M1914" s="9" t="s">
        <v>100</v>
      </c>
      <c r="N1914" s="9" t="s">
        <v>88</v>
      </c>
      <c r="O1914" s="9">
        <f>HYPERLINK("https://www.google.com/maps/search/?api=1&amp;query=43.34154638,-3.15476574", "https://www.google.com/maps/search/?api=1&amp;query=43.34154638,-3.15476574")</f>
      </c>
      <c r="P1914" s="9" t="s">
        <v>6421</v>
      </c>
      <c r="Q1914" s="9" t="s">
        <v>13876</v>
      </c>
    </row>
    <row r="1915" spans="1:17" x14ac:dyDescent="0.25">
      <c r="A1915" s="8" t="s">
        <v>13877</v>
      </c>
      <c r="B1915" s="8" t="s">
        <v>13878</v>
      </c>
      <c r="C1915" s="9" t="s">
        <v>13879</v>
      </c>
      <c r="D1915" s="9" t="s">
        <v>1282</v>
      </c>
      <c r="E1915" s="9" t="s">
        <v>13880</v>
      </c>
      <c r="F1915" s="10">
        <v>1.514</v>
      </c>
      <c r="G1915" s="10">
        <v>1.665</v>
      </c>
      <c r="H1915" s="10"/>
      <c r="I1915" s="9" t="s">
        <v>45</v>
      </c>
      <c r="J1915" s="9" t="s">
        <v>13881</v>
      </c>
      <c r="K1915" s="9" t="s">
        <v>13882</v>
      </c>
      <c r="L1915" s="8" t="s">
        <v>13883</v>
      </c>
      <c r="M1915" s="9" t="s">
        <v>49</v>
      </c>
      <c r="N1915" s="9" t="s">
        <v>5787</v>
      </c>
      <c r="O1915" s="9">
        <f>HYPERLINK("https://www.google.com/maps/search/?api=1&amp;query=37.19272762,-3.69918834", "https://www.google.com/maps/search/?api=1&amp;query=37.19272762,-3.69918834")</f>
      </c>
      <c r="P1915" s="9" t="s">
        <v>965</v>
      </c>
      <c r="Q1915" s="9" t="s">
        <v>3744</v>
      </c>
    </row>
    <row r="1916" spans="1:17" x14ac:dyDescent="0.25">
      <c r="A1916" s="8" t="s">
        <v>13884</v>
      </c>
      <c r="B1916" s="8" t="s">
        <v>13885</v>
      </c>
      <c r="C1916" s="9" t="s">
        <v>13886</v>
      </c>
      <c r="D1916" s="9" t="s">
        <v>631</v>
      </c>
      <c r="E1916" s="9" t="s">
        <v>1047</v>
      </c>
      <c r="F1916" s="10">
        <v>1.514</v>
      </c>
      <c r="G1916" s="10">
        <v>1.665</v>
      </c>
      <c r="H1916" s="10"/>
      <c r="I1916" s="9" t="s">
        <v>45</v>
      </c>
      <c r="J1916" s="9" t="s">
        <v>13887</v>
      </c>
      <c r="K1916" s="9" t="s">
        <v>13888</v>
      </c>
      <c r="L1916" s="8" t="s">
        <v>1893</v>
      </c>
      <c r="M1916" s="9" t="s">
        <v>49</v>
      </c>
      <c r="N1916" s="9" t="s">
        <v>37</v>
      </c>
      <c r="O1916" s="9">
        <f>HYPERLINK("https://www.google.com/maps/search/?api=1&amp;query=37.88148177,-4.79930626", "https://www.google.com/maps/search/?api=1&amp;query=37.88148177,-4.79930626")</f>
      </c>
      <c r="P1916" s="9" t="s">
        <v>2135</v>
      </c>
      <c r="Q1916" s="9" t="s">
        <v>5091</v>
      </c>
    </row>
    <row r="1917" spans="1:17" x14ac:dyDescent="0.25">
      <c r="A1917" s="8" t="s">
        <v>13889</v>
      </c>
      <c r="B1917" s="8" t="s">
        <v>13890</v>
      </c>
      <c r="C1917" s="9" t="s">
        <v>13891</v>
      </c>
      <c r="D1917" s="9" t="s">
        <v>344</v>
      </c>
      <c r="E1917" s="9" t="s">
        <v>1931</v>
      </c>
      <c r="F1917" s="10">
        <v>1.514</v>
      </c>
      <c r="G1917" s="10">
        <v>1.665</v>
      </c>
      <c r="H1917" s="10"/>
      <c r="I1917" s="9" t="s">
        <v>140</v>
      </c>
      <c r="J1917" s="9" t="s">
        <v>13892</v>
      </c>
      <c r="K1917" s="9" t="s">
        <v>13893</v>
      </c>
      <c r="L1917" s="8" t="s">
        <v>13894</v>
      </c>
      <c r="M1917" s="9" t="s">
        <v>49</v>
      </c>
      <c r="N1917" s="9" t="s">
        <v>211</v>
      </c>
      <c r="O1917" s="9">
        <f>HYPERLINK("https://www.google.com/maps/search/?api=1&amp;query=43.35730648,-8.42471864", "https://www.google.com/maps/search/?api=1&amp;query=43.35730648,-8.42471864")</f>
      </c>
      <c r="P1917" s="9" t="s">
        <v>965</v>
      </c>
      <c r="Q1917" s="9" t="s">
        <v>3885</v>
      </c>
    </row>
    <row r="1918" spans="1:17" x14ac:dyDescent="0.25">
      <c r="A1918" s="8" t="s">
        <v>13895</v>
      </c>
      <c r="B1918" s="8" t="s">
        <v>13896</v>
      </c>
      <c r="C1918" s="9" t="s">
        <v>13897</v>
      </c>
      <c r="D1918" s="9" t="s">
        <v>1282</v>
      </c>
      <c r="E1918" s="9" t="s">
        <v>13898</v>
      </c>
      <c r="F1918" s="10">
        <v>1.514</v>
      </c>
      <c r="G1918" s="10">
        <v>1.665</v>
      </c>
      <c r="H1918" s="10"/>
      <c r="I1918" s="9" t="s">
        <v>45</v>
      </c>
      <c r="J1918" s="9" t="s">
        <v>13899</v>
      </c>
      <c r="K1918" s="9" t="s">
        <v>13900</v>
      </c>
      <c r="L1918" s="8" t="s">
        <v>13901</v>
      </c>
      <c r="M1918" s="9" t="s">
        <v>49</v>
      </c>
      <c r="N1918" s="9" t="s">
        <v>3164</v>
      </c>
      <c r="O1918" s="9">
        <f>HYPERLINK("https://www.google.com/maps/search/?api=1&amp;query=37.98234811,-2.3335142", "https://www.google.com/maps/search/?api=1&amp;query=37.98234811,-2.3335142")</f>
      </c>
      <c r="P1918" s="9" t="s">
        <v>1373</v>
      </c>
      <c r="Q1918" s="9" t="s">
        <v>3202</v>
      </c>
    </row>
    <row r="1919" spans="1:17" x14ac:dyDescent="0.25">
      <c r="A1919" s="8" t="s">
        <v>13902</v>
      </c>
      <c r="B1919" s="8" t="s">
        <v>13903</v>
      </c>
      <c r="C1919" s="9" t="s">
        <v>13904</v>
      </c>
      <c r="D1919" s="9" t="s">
        <v>2288</v>
      </c>
      <c r="E1919" s="9" t="s">
        <v>13905</v>
      </c>
      <c r="F1919" s="10">
        <v>1.514</v>
      </c>
      <c r="G1919" s="10">
        <v>1.665</v>
      </c>
      <c r="H1919" s="10"/>
      <c r="I1919" s="9" t="s">
        <v>168</v>
      </c>
      <c r="J1919" s="9" t="s">
        <v>13906</v>
      </c>
      <c r="K1919" s="9" t="s">
        <v>13907</v>
      </c>
      <c r="L1919" s="8" t="s">
        <v>13908</v>
      </c>
      <c r="M1919" s="9" t="s">
        <v>49</v>
      </c>
      <c r="N1919" s="9" t="s">
        <v>1695</v>
      </c>
      <c r="O1919" s="9">
        <f>HYPERLINK("https://www.google.com/maps/search/?api=1&amp;query=38.15136246,-2.29338802", "https://www.google.com/maps/search/?api=1&amp;query=38.15136246,-2.29338802")</f>
      </c>
      <c r="P1919" s="9" t="s">
        <v>13579</v>
      </c>
      <c r="Q1919" s="9" t="s">
        <v>13909</v>
      </c>
    </row>
    <row r="1920" spans="1:17" x14ac:dyDescent="0.25">
      <c r="A1920" s="8" t="s">
        <v>13910</v>
      </c>
      <c r="B1920" s="8" t="s">
        <v>13911</v>
      </c>
      <c r="C1920" s="9" t="s">
        <v>13912</v>
      </c>
      <c r="D1920" s="9" t="s">
        <v>577</v>
      </c>
      <c r="E1920" s="9" t="s">
        <v>13913</v>
      </c>
      <c r="F1920" s="10">
        <v>1.514</v>
      </c>
      <c r="G1920" s="10">
        <v>1.665</v>
      </c>
      <c r="H1920" s="10"/>
      <c r="I1920" s="9" t="s">
        <v>74</v>
      </c>
      <c r="J1920" s="9" t="s">
        <v>13914</v>
      </c>
      <c r="K1920" s="9" t="s">
        <v>13915</v>
      </c>
      <c r="L1920" s="8" t="s">
        <v>13916</v>
      </c>
      <c r="M1920" s="9" t="s">
        <v>49</v>
      </c>
      <c r="N1920" s="9" t="s">
        <v>211</v>
      </c>
      <c r="O1920" s="9">
        <f>HYPERLINK("https://www.google.com/maps/search/?api=1&amp;query=40.4651153,-5.32548686", "https://www.google.com/maps/search/?api=1&amp;query=40.4651153,-5.32548686")</f>
      </c>
      <c r="P1920" s="9" t="s">
        <v>6241</v>
      </c>
      <c r="Q1920" s="9" t="s">
        <v>13917</v>
      </c>
    </row>
    <row r="1921" spans="1:17" x14ac:dyDescent="0.25">
      <c r="A1921" s="8" t="s">
        <v>13918</v>
      </c>
      <c r="B1921" s="8" t="s">
        <v>13919</v>
      </c>
      <c r="C1921" s="9" t="s">
        <v>13920</v>
      </c>
      <c r="D1921" s="9" t="s">
        <v>488</v>
      </c>
      <c r="E1921" s="9" t="s">
        <v>13921</v>
      </c>
      <c r="F1921" s="10">
        <v>1.514</v>
      </c>
      <c r="G1921" s="10">
        <v>1.665</v>
      </c>
      <c r="H1921" s="10"/>
      <c r="I1921" s="9" t="s">
        <v>45</v>
      </c>
      <c r="J1921" s="9" t="s">
        <v>13922</v>
      </c>
      <c r="K1921" s="9" t="s">
        <v>13923</v>
      </c>
      <c r="L1921" s="8" t="s">
        <v>13924</v>
      </c>
      <c r="M1921" s="9" t="s">
        <v>36</v>
      </c>
      <c r="N1921" s="9" t="s">
        <v>122</v>
      </c>
      <c r="O1921" s="9">
        <f>HYPERLINK("https://www.google.com/maps/search/?api=1&amp;query=38.38521201,-2.58608386", "https://www.google.com/maps/search/?api=1&amp;query=38.38521201,-2.58608386")</f>
      </c>
      <c r="P1921" s="9" t="s">
        <v>1423</v>
      </c>
      <c r="Q1921" s="9" t="s">
        <v>7411</v>
      </c>
    </row>
    <row r="1922" spans="1:17" x14ac:dyDescent="0.25">
      <c r="A1922" s="8" t="s">
        <v>13925</v>
      </c>
      <c r="B1922" s="8" t="s">
        <v>13926</v>
      </c>
      <c r="C1922" s="9" t="s">
        <v>12533</v>
      </c>
      <c r="D1922" s="9" t="s">
        <v>1617</v>
      </c>
      <c r="E1922" s="9" t="s">
        <v>5878</v>
      </c>
      <c r="F1922" s="10">
        <v>1.514</v>
      </c>
      <c r="G1922" s="10">
        <v>1.665</v>
      </c>
      <c r="H1922" s="10"/>
      <c r="I1922" s="9" t="s">
        <v>292</v>
      </c>
      <c r="J1922" s="9" t="s">
        <v>13927</v>
      </c>
      <c r="K1922" s="9" t="s">
        <v>13928</v>
      </c>
      <c r="L1922" s="8" t="s">
        <v>5881</v>
      </c>
      <c r="M1922" s="9" t="s">
        <v>49</v>
      </c>
      <c r="N1922" s="9" t="s">
        <v>1695</v>
      </c>
      <c r="O1922" s="9">
        <f>HYPERLINK("https://www.google.com/maps/search/?api=1&amp;query=42.0384302,0.13099143", "https://www.google.com/maps/search/?api=1&amp;query=42.0384302,0.13099143")</f>
      </c>
      <c r="P1922" s="9" t="s">
        <v>1203</v>
      </c>
      <c r="Q1922" s="9" t="s">
        <v>1204</v>
      </c>
    </row>
    <row r="1923" spans="1:17" x14ac:dyDescent="0.25">
      <c r="A1923" s="8" t="s">
        <v>13929</v>
      </c>
      <c r="B1923" s="8" t="s">
        <v>13930</v>
      </c>
      <c r="C1923" s="9" t="s">
        <v>13931</v>
      </c>
      <c r="D1923" s="9" t="s">
        <v>892</v>
      </c>
      <c r="E1923" s="9" t="s">
        <v>13932</v>
      </c>
      <c r="F1923" s="10">
        <v>1.514</v>
      </c>
      <c r="G1923" s="10">
        <v>1.665</v>
      </c>
      <c r="H1923" s="10"/>
      <c r="I1923" s="9" t="s">
        <v>32</v>
      </c>
      <c r="J1923" s="9" t="s">
        <v>13933</v>
      </c>
      <c r="K1923" s="9" t="s">
        <v>13934</v>
      </c>
      <c r="L1923" s="8" t="s">
        <v>13935</v>
      </c>
      <c r="M1923" s="9" t="s">
        <v>49</v>
      </c>
      <c r="N1923" s="9" t="s">
        <v>13936</v>
      </c>
      <c r="O1923" s="9">
        <f>HYPERLINK("https://www.google.com/maps/search/?api=1&amp;query=40.049498,-5.5963542", "https://www.google.com/maps/search/?api=1&amp;query=40.049498,-5.5963542")</f>
      </c>
      <c r="P1923" s="9" t="s">
        <v>1598</v>
      </c>
      <c r="Q1923" s="9" t="s">
        <v>522</v>
      </c>
    </row>
    <row r="1924" spans="1:17" x14ac:dyDescent="0.25">
      <c r="A1924" s="8" t="s">
        <v>13937</v>
      </c>
      <c r="B1924" s="8" t="s">
        <v>13938</v>
      </c>
      <c r="C1924" s="9" t="s">
        <v>13939</v>
      </c>
      <c r="D1924" s="9" t="s">
        <v>166</v>
      </c>
      <c r="E1924" s="9" t="s">
        <v>13940</v>
      </c>
      <c r="F1924" s="10">
        <v>1.514</v>
      </c>
      <c r="G1924" s="10">
        <v>1.665</v>
      </c>
      <c r="H1924" s="10"/>
      <c r="I1924" s="9" t="s">
        <v>168</v>
      </c>
      <c r="J1924" s="9" t="s">
        <v>13941</v>
      </c>
      <c r="K1924" s="9" t="s">
        <v>13942</v>
      </c>
      <c r="L1924" s="8" t="s">
        <v>13943</v>
      </c>
      <c r="M1924" s="9" t="s">
        <v>36</v>
      </c>
      <c r="N1924" s="9" t="s">
        <v>88</v>
      </c>
      <c r="O1924" s="9">
        <f>HYPERLINK("https://www.google.com/maps/search/?api=1&amp;query=40.630611,-3.233833", "https://www.google.com/maps/search/?api=1&amp;query=40.630611,-3.233833")</f>
      </c>
      <c r="P1924" s="9" t="s">
        <v>349</v>
      </c>
      <c r="Q1924" s="9" t="s">
        <v>8372</v>
      </c>
    </row>
    <row r="1925" spans="1:17" x14ac:dyDescent="0.25">
      <c r="A1925" s="8" t="s">
        <v>13944</v>
      </c>
      <c r="B1925" s="8" t="s">
        <v>13945</v>
      </c>
      <c r="C1925" s="9" t="s">
        <v>13946</v>
      </c>
      <c r="D1925" s="9" t="s">
        <v>94</v>
      </c>
      <c r="E1925" s="9" t="s">
        <v>13947</v>
      </c>
      <c r="F1925" s="10">
        <v>1.514</v>
      </c>
      <c r="G1925" s="10">
        <v>1.665</v>
      </c>
      <c r="H1925" s="10"/>
      <c r="I1925" s="9" t="s">
        <v>96</v>
      </c>
      <c r="J1925" s="9" t="s">
        <v>13948</v>
      </c>
      <c r="K1925" s="9" t="s">
        <v>13949</v>
      </c>
      <c r="L1925" s="8" t="s">
        <v>13950</v>
      </c>
      <c r="M1925" s="9" t="s">
        <v>100</v>
      </c>
      <c r="N1925" s="9" t="s">
        <v>88</v>
      </c>
      <c r="O1925" s="9">
        <f>HYPERLINK("https://www.google.com/maps/search/?api=1&amp;query=41.59037878,2.59167618", "https://www.google.com/maps/search/?api=1&amp;query=41.59037878,2.59167618")</f>
      </c>
      <c r="P1925" s="9" t="s">
        <v>1364</v>
      </c>
      <c r="Q1925" s="9" t="s">
        <v>151</v>
      </c>
    </row>
    <row r="1926" spans="1:17" x14ac:dyDescent="0.25">
      <c r="A1926" s="8" t="s">
        <v>13951</v>
      </c>
      <c r="B1926" s="8" t="s">
        <v>13952</v>
      </c>
      <c r="C1926" s="9" t="s">
        <v>13953</v>
      </c>
      <c r="D1926" s="9" t="s">
        <v>631</v>
      </c>
      <c r="E1926" s="9" t="s">
        <v>1047</v>
      </c>
      <c r="F1926" s="10">
        <v>1.514</v>
      </c>
      <c r="G1926" s="10">
        <v>1.665</v>
      </c>
      <c r="H1926" s="10"/>
      <c r="I1926" s="9" t="s">
        <v>45</v>
      </c>
      <c r="J1926" s="9" t="s">
        <v>13954</v>
      </c>
      <c r="K1926" s="9" t="s">
        <v>13955</v>
      </c>
      <c r="L1926" s="8" t="s">
        <v>1893</v>
      </c>
      <c r="M1926" s="9" t="s">
        <v>49</v>
      </c>
      <c r="N1926" s="9" t="s">
        <v>66</v>
      </c>
      <c r="O1926" s="9">
        <f>HYPERLINK("https://www.google.com/maps/search/?api=1&amp;query=37.88327796,-4.80542981", "https://www.google.com/maps/search/?api=1&amp;query=37.88327796,-4.80542981")</f>
      </c>
      <c r="P1926" s="9" t="s">
        <v>2742</v>
      </c>
      <c r="Q1926" s="9" t="s">
        <v>13721</v>
      </c>
    </row>
    <row r="1927" spans="1:17" x14ac:dyDescent="0.25">
      <c r="A1927" s="8" t="s">
        <v>13956</v>
      </c>
      <c r="B1927" s="8" t="s">
        <v>13957</v>
      </c>
      <c r="C1927" s="9" t="s">
        <v>13958</v>
      </c>
      <c r="D1927" s="9" t="s">
        <v>577</v>
      </c>
      <c r="E1927" s="9" t="s">
        <v>13959</v>
      </c>
      <c r="F1927" s="10">
        <v>1.514</v>
      </c>
      <c r="G1927" s="10">
        <v>1.665</v>
      </c>
      <c r="H1927" s="10"/>
      <c r="I1927" s="9" t="s">
        <v>74</v>
      </c>
      <c r="J1927" s="9" t="s">
        <v>13960</v>
      </c>
      <c r="K1927" s="9" t="s">
        <v>13961</v>
      </c>
      <c r="L1927" s="8" t="s">
        <v>13962</v>
      </c>
      <c r="M1927" s="9" t="s">
        <v>36</v>
      </c>
      <c r="N1927" s="9" t="s">
        <v>13963</v>
      </c>
      <c r="O1927" s="9">
        <f>HYPERLINK("https://www.google.com/maps/search/?api=1&amp;query=40.8862363,-4.61494124", "https://www.google.com/maps/search/?api=1&amp;query=40.8862363,-4.61494124")</f>
      </c>
      <c r="P1927" s="9" t="s">
        <v>4029</v>
      </c>
      <c r="Q1927" s="9" t="s">
        <v>13964</v>
      </c>
    </row>
    <row r="1928" spans="1:17" x14ac:dyDescent="0.25">
      <c r="A1928" s="8" t="s">
        <v>13965</v>
      </c>
      <c r="B1928" s="8" t="s">
        <v>13966</v>
      </c>
      <c r="C1928" s="9" t="s">
        <v>13967</v>
      </c>
      <c r="D1928" s="9" t="s">
        <v>83</v>
      </c>
      <c r="E1928" s="9" t="s">
        <v>6885</v>
      </c>
      <c r="F1928" s="10">
        <v>1.514</v>
      </c>
      <c r="G1928" s="10">
        <v>1.665</v>
      </c>
      <c r="H1928" s="10"/>
      <c r="I1928" s="9" t="s">
        <v>83</v>
      </c>
      <c r="J1928" s="9" t="s">
        <v>13968</v>
      </c>
      <c r="K1928" s="9" t="s">
        <v>13969</v>
      </c>
      <c r="L1928" s="8" t="s">
        <v>6888</v>
      </c>
      <c r="M1928" s="9" t="s">
        <v>49</v>
      </c>
      <c r="N1928" s="9" t="s">
        <v>13970</v>
      </c>
      <c r="O1928" s="9">
        <f>HYPERLINK("https://www.google.com/maps/search/?api=1&amp;query=40.5741803,-3.92687456", "https://www.google.com/maps/search/?api=1&amp;query=40.5741803,-3.92687456")</f>
      </c>
      <c r="P1928" s="9" t="s">
        <v>2594</v>
      </c>
      <c r="Q1928" s="9" t="s">
        <v>1131</v>
      </c>
    </row>
    <row r="1929" spans="1:17" x14ac:dyDescent="0.25">
      <c r="A1929" s="8" t="s">
        <v>13971</v>
      </c>
      <c r="B1929" s="8" t="s">
        <v>13972</v>
      </c>
      <c r="C1929" s="9" t="s">
        <v>13973</v>
      </c>
      <c r="D1929" s="9" t="s">
        <v>30</v>
      </c>
      <c r="E1929" s="9" t="s">
        <v>1969</v>
      </c>
      <c r="F1929" s="10">
        <v>1.514</v>
      </c>
      <c r="G1929" s="10">
        <v>1.665</v>
      </c>
      <c r="H1929" s="10"/>
      <c r="I1929" s="9" t="s">
        <v>32</v>
      </c>
      <c r="J1929" s="9" t="s">
        <v>13974</v>
      </c>
      <c r="K1929" s="9" t="s">
        <v>13975</v>
      </c>
      <c r="L1929" s="8" t="s">
        <v>1972</v>
      </c>
      <c r="M1929" s="9" t="s">
        <v>36</v>
      </c>
      <c r="N1929" s="9" t="s">
        <v>88</v>
      </c>
      <c r="O1929" s="9">
        <f>HYPERLINK("https://www.google.com/maps/search/?api=1&amp;query=38.91066672,-6.34043262", "https://www.google.com/maps/search/?api=1&amp;query=38.91066672,-6.34043262")</f>
      </c>
      <c r="P1929" s="9" t="s">
        <v>1645</v>
      </c>
      <c r="Q1929" s="9" t="s">
        <v>13976</v>
      </c>
    </row>
    <row r="1930" spans="1:17" x14ac:dyDescent="0.25">
      <c r="A1930" s="8" t="s">
        <v>13977</v>
      </c>
      <c r="B1930" s="8" t="s">
        <v>13978</v>
      </c>
      <c r="C1930" s="9" t="s">
        <v>13979</v>
      </c>
      <c r="D1930" s="9" t="s">
        <v>83</v>
      </c>
      <c r="E1930" s="9" t="s">
        <v>2747</v>
      </c>
      <c r="F1930" s="10">
        <v>1.514</v>
      </c>
      <c r="G1930" s="10">
        <v>1.665</v>
      </c>
      <c r="H1930" s="10"/>
      <c r="I1930" s="9" t="s">
        <v>83</v>
      </c>
      <c r="J1930" s="9" t="s">
        <v>13980</v>
      </c>
      <c r="K1930" s="9" t="s">
        <v>13981</v>
      </c>
      <c r="L1930" s="8" t="s">
        <v>2750</v>
      </c>
      <c r="M1930" s="9" t="s">
        <v>49</v>
      </c>
      <c r="N1930" s="9" t="s">
        <v>37</v>
      </c>
      <c r="O1930" s="9">
        <f>HYPERLINK("https://www.google.com/maps/search/?api=1&amp;query=40.57134562,-3.99411287", "https://www.google.com/maps/search/?api=1&amp;query=40.57134562,-3.99411287")</f>
      </c>
      <c r="P1930" s="9" t="s">
        <v>557</v>
      </c>
      <c r="Q1930" s="9" t="s">
        <v>5395</v>
      </c>
    </row>
    <row r="1931" spans="1:17" x14ac:dyDescent="0.25">
      <c r="A1931" s="8" t="s">
        <v>13982</v>
      </c>
      <c r="B1931" s="8" t="s">
        <v>13983</v>
      </c>
      <c r="C1931" s="9" t="s">
        <v>13984</v>
      </c>
      <c r="D1931" s="9" t="s">
        <v>83</v>
      </c>
      <c r="E1931" s="9" t="s">
        <v>13985</v>
      </c>
      <c r="F1931" s="10">
        <v>1.514</v>
      </c>
      <c r="G1931" s="10">
        <v>1.665</v>
      </c>
      <c r="H1931" s="10"/>
      <c r="I1931" s="9" t="s">
        <v>83</v>
      </c>
      <c r="J1931" s="9" t="s">
        <v>13986</v>
      </c>
      <c r="K1931" s="9" t="s">
        <v>13987</v>
      </c>
      <c r="L1931" s="8" t="s">
        <v>12218</v>
      </c>
      <c r="M1931" s="9" t="s">
        <v>49</v>
      </c>
      <c r="N1931" s="9" t="s">
        <v>37</v>
      </c>
      <c r="O1931" s="9">
        <f>HYPERLINK("https://www.google.com/maps/search/?api=1&amp;query=40.50289342,-3.51432826", "https://www.google.com/maps/search/?api=1&amp;query=40.50289342,-3.51432826")</f>
      </c>
      <c r="P1931" s="9" t="s">
        <v>1250</v>
      </c>
      <c r="Q1931" s="9" t="s">
        <v>1131</v>
      </c>
    </row>
    <row r="1932" spans="1:17" x14ac:dyDescent="0.25">
      <c r="A1932" s="8" t="s">
        <v>13988</v>
      </c>
      <c r="B1932" s="8" t="s">
        <v>13989</v>
      </c>
      <c r="C1932" s="9" t="s">
        <v>13990</v>
      </c>
      <c r="D1932" s="9" t="s">
        <v>808</v>
      </c>
      <c r="E1932" s="9" t="s">
        <v>13991</v>
      </c>
      <c r="F1932" s="10">
        <v>1.514</v>
      </c>
      <c r="G1932" s="10">
        <v>1.665</v>
      </c>
      <c r="H1932" s="10"/>
      <c r="I1932" s="9" t="s">
        <v>808</v>
      </c>
      <c r="J1932" s="9" t="s">
        <v>13992</v>
      </c>
      <c r="K1932" s="9" t="s">
        <v>13993</v>
      </c>
      <c r="L1932" s="8" t="s">
        <v>13994</v>
      </c>
      <c r="M1932" s="9" t="s">
        <v>49</v>
      </c>
      <c r="N1932" s="9" t="s">
        <v>88</v>
      </c>
      <c r="O1932" s="9">
        <f>HYPERLINK("https://www.google.com/maps/search/?api=1&amp;query=43.39778535,-4.04905242", "https://www.google.com/maps/search/?api=1&amp;query=43.39778535,-4.04905242")</f>
      </c>
      <c r="P1932" s="9" t="s">
        <v>831</v>
      </c>
      <c r="Q1932" s="9" t="s">
        <v>8215</v>
      </c>
    </row>
    <row r="1933" spans="1:17" x14ac:dyDescent="0.25">
      <c r="A1933" s="8" t="s">
        <v>13995</v>
      </c>
      <c r="B1933" s="8" t="s">
        <v>13996</v>
      </c>
      <c r="C1933" s="9" t="s">
        <v>13997</v>
      </c>
      <c r="D1933" s="9" t="s">
        <v>434</v>
      </c>
      <c r="E1933" s="9" t="s">
        <v>13998</v>
      </c>
      <c r="F1933" s="10">
        <v>1.514</v>
      </c>
      <c r="G1933" s="10">
        <v>1.665</v>
      </c>
      <c r="H1933" s="10"/>
      <c r="I1933" s="9" t="s">
        <v>96</v>
      </c>
      <c r="J1933" s="9" t="s">
        <v>13999</v>
      </c>
      <c r="K1933" s="9" t="s">
        <v>14000</v>
      </c>
      <c r="L1933" s="8" t="s">
        <v>14001</v>
      </c>
      <c r="M1933" s="9" t="s">
        <v>49</v>
      </c>
      <c r="N1933" s="9" t="s">
        <v>88</v>
      </c>
      <c r="O1933" s="9">
        <f>HYPERLINK("https://www.google.com/maps/search/?api=1&amp;query=42.31324494,3.11985308", "https://www.google.com/maps/search/?api=1&amp;query=42.31324494,3.11985308")</f>
      </c>
      <c r="P1933" s="9" t="s">
        <v>3400</v>
      </c>
      <c r="Q1933" s="9" t="s">
        <v>9916</v>
      </c>
    </row>
    <row r="1934" spans="1:17" x14ac:dyDescent="0.25">
      <c r="A1934" s="8" t="s">
        <v>14002</v>
      </c>
      <c r="B1934" s="8" t="s">
        <v>14003</v>
      </c>
      <c r="C1934" s="9" t="s">
        <v>14004</v>
      </c>
      <c r="D1934" s="9" t="s">
        <v>30</v>
      </c>
      <c r="E1934" s="9" t="s">
        <v>14005</v>
      </c>
      <c r="F1934" s="10">
        <v>1.514</v>
      </c>
      <c r="G1934" s="10">
        <v>1.665</v>
      </c>
      <c r="H1934" s="10"/>
      <c r="I1934" s="9" t="s">
        <v>32</v>
      </c>
      <c r="J1934" s="9" t="s">
        <v>14006</v>
      </c>
      <c r="K1934" s="9" t="s">
        <v>14007</v>
      </c>
      <c r="L1934" s="8" t="s">
        <v>14008</v>
      </c>
      <c r="M1934" s="9" t="s">
        <v>36</v>
      </c>
      <c r="N1934" s="9" t="s">
        <v>7222</v>
      </c>
      <c r="O1934" s="9">
        <f>HYPERLINK("https://www.google.com/maps/search/?api=1&amp;query=39.08596153,-5.8913021", "https://www.google.com/maps/search/?api=1&amp;query=39.08596153,-5.8913021")</f>
      </c>
      <c r="P1934" s="9" t="s">
        <v>8200</v>
      </c>
      <c r="Q1934" s="9" t="s">
        <v>618</v>
      </c>
    </row>
    <row r="1935" spans="1:17" x14ac:dyDescent="0.25">
      <c r="A1935" s="8" t="s">
        <v>7514</v>
      </c>
      <c r="B1935" s="8" t="s">
        <v>14009</v>
      </c>
      <c r="C1935" s="9" t="s">
        <v>14010</v>
      </c>
      <c r="D1935" s="9" t="s">
        <v>61</v>
      </c>
      <c r="E1935" s="9" t="s">
        <v>14011</v>
      </c>
      <c r="F1935" s="10">
        <v>1.514</v>
      </c>
      <c r="G1935" s="10">
        <v>1.665</v>
      </c>
      <c r="H1935" s="10"/>
      <c r="I1935" s="9" t="s">
        <v>45</v>
      </c>
      <c r="J1935" s="9" t="s">
        <v>14012</v>
      </c>
      <c r="K1935" s="9" t="s">
        <v>14013</v>
      </c>
      <c r="L1935" s="8" t="s">
        <v>14014</v>
      </c>
      <c r="M1935" s="9" t="s">
        <v>36</v>
      </c>
      <c r="N1935" s="9" t="s">
        <v>556</v>
      </c>
      <c r="O1935" s="9">
        <f>HYPERLINK("https://www.google.com/maps/search/?api=1&amp;query=37.35938842,-4.84957046", "https://www.google.com/maps/search/?api=1&amp;query=37.35938842,-4.84957046")</f>
      </c>
      <c r="P1935" s="9" t="s">
        <v>11119</v>
      </c>
      <c r="Q1935" s="9" t="s">
        <v>1982</v>
      </c>
    </row>
    <row r="1936" spans="1:17" x14ac:dyDescent="0.25">
      <c r="A1936" s="8" t="s">
        <v>14015</v>
      </c>
      <c r="B1936" s="8" t="s">
        <v>14016</v>
      </c>
      <c r="C1936" s="9" t="s">
        <v>14017</v>
      </c>
      <c r="D1936" s="9" t="s">
        <v>1560</v>
      </c>
      <c r="E1936" s="9" t="s">
        <v>14018</v>
      </c>
      <c r="F1936" s="10">
        <v>1.514</v>
      </c>
      <c r="G1936" s="10">
        <v>1.665</v>
      </c>
      <c r="H1936" s="10"/>
      <c r="I1936" s="9" t="s">
        <v>400</v>
      </c>
      <c r="J1936" s="9" t="s">
        <v>14019</v>
      </c>
      <c r="K1936" s="9" t="s">
        <v>14020</v>
      </c>
      <c r="L1936" s="8" t="s">
        <v>14021</v>
      </c>
      <c r="M1936" s="9" t="s">
        <v>49</v>
      </c>
      <c r="N1936" s="9" t="s">
        <v>37</v>
      </c>
      <c r="O1936" s="9">
        <f>HYPERLINK("https://www.google.com/maps/search/?api=1&amp;query=40.10477944,0.00876069", "https://www.google.com/maps/search/?api=1&amp;query=40.10477944,0.00876069")</f>
      </c>
      <c r="P1936" s="9" t="s">
        <v>12912</v>
      </c>
      <c r="Q1936" s="9" t="s">
        <v>14022</v>
      </c>
    </row>
    <row r="1937" spans="1:17" x14ac:dyDescent="0.25">
      <c r="A1937" s="8" t="s">
        <v>14023</v>
      </c>
      <c r="B1937" s="8" t="s">
        <v>14024</v>
      </c>
      <c r="C1937" s="9" t="s">
        <v>14025</v>
      </c>
      <c r="D1937" s="9" t="s">
        <v>400</v>
      </c>
      <c r="E1937" s="9" t="s">
        <v>14026</v>
      </c>
      <c r="F1937" s="10">
        <v>1.514</v>
      </c>
      <c r="G1937" s="10">
        <v>1.665</v>
      </c>
      <c r="H1937" s="10"/>
      <c r="I1937" s="9" t="s">
        <v>400</v>
      </c>
      <c r="J1937" s="9" t="s">
        <v>14027</v>
      </c>
      <c r="K1937" s="9" t="s">
        <v>14028</v>
      </c>
      <c r="L1937" s="8" t="s">
        <v>14029</v>
      </c>
      <c r="M1937" s="9" t="s">
        <v>100</v>
      </c>
      <c r="N1937" s="9" t="s">
        <v>88</v>
      </c>
      <c r="O1937" s="9">
        <f>HYPERLINK("https://www.google.com/maps/search/?api=1&amp;query=38.97439589,-0.5923066", "https://www.google.com/maps/search/?api=1&amp;query=38.97439589,-0.5923066")</f>
      </c>
      <c r="P1937" s="9" t="s">
        <v>8895</v>
      </c>
      <c r="Q1937" s="9" t="s">
        <v>1188</v>
      </c>
    </row>
    <row r="1938" spans="1:17" x14ac:dyDescent="0.25">
      <c r="A1938" s="8" t="s">
        <v>14030</v>
      </c>
      <c r="B1938" s="8" t="s">
        <v>14031</v>
      </c>
      <c r="C1938" s="9" t="s">
        <v>14032</v>
      </c>
      <c r="D1938" s="9" t="s">
        <v>106</v>
      </c>
      <c r="E1938" s="9" t="s">
        <v>14033</v>
      </c>
      <c r="F1938" s="10">
        <v>1.514</v>
      </c>
      <c r="G1938" s="10">
        <v>1.665</v>
      </c>
      <c r="H1938" s="10"/>
      <c r="I1938" s="9" t="s">
        <v>106</v>
      </c>
      <c r="J1938" s="9" t="s">
        <v>14034</v>
      </c>
      <c r="K1938" s="9" t="s">
        <v>14035</v>
      </c>
      <c r="L1938" s="8" t="s">
        <v>14036</v>
      </c>
      <c r="M1938" s="9" t="s">
        <v>36</v>
      </c>
      <c r="N1938" s="9" t="s">
        <v>14037</v>
      </c>
      <c r="O1938" s="9">
        <f>HYPERLINK("https://www.google.com/maps/search/?api=1&amp;query=37.71803238,-0.91983233", "https://www.google.com/maps/search/?api=1&amp;query=37.71803238,-0.91983233")</f>
      </c>
      <c r="P1938" s="9" t="s">
        <v>7433</v>
      </c>
      <c r="Q1938" s="9" t="s">
        <v>1170</v>
      </c>
    </row>
    <row r="1939" spans="1:17" x14ac:dyDescent="0.25">
      <c r="A1939" s="8" t="s">
        <v>14038</v>
      </c>
      <c r="B1939" s="8" t="s">
        <v>14039</v>
      </c>
      <c r="C1939" s="9" t="s">
        <v>14040</v>
      </c>
      <c r="D1939" s="9" t="s">
        <v>106</v>
      </c>
      <c r="E1939" s="9" t="s">
        <v>106</v>
      </c>
      <c r="F1939" s="10">
        <v>1.514</v>
      </c>
      <c r="G1939" s="10">
        <v>1.665</v>
      </c>
      <c r="H1939" s="10"/>
      <c r="I1939" s="9" t="s">
        <v>106</v>
      </c>
      <c r="J1939" s="9" t="s">
        <v>14041</v>
      </c>
      <c r="K1939" s="9" t="s">
        <v>14042</v>
      </c>
      <c r="L1939" s="8" t="s">
        <v>10553</v>
      </c>
      <c r="M1939" s="9" t="s">
        <v>36</v>
      </c>
      <c r="N1939" s="9" t="s">
        <v>645</v>
      </c>
      <c r="O1939" s="9">
        <f>HYPERLINK("https://www.google.com/maps/search/?api=1&amp;query=37.98476042,-1.1146804", "https://www.google.com/maps/search/?api=1&amp;query=37.98476042,-1.1146804")</f>
      </c>
      <c r="P1939" s="9" t="s">
        <v>14043</v>
      </c>
      <c r="Q1939" s="9" t="s">
        <v>102</v>
      </c>
    </row>
    <row r="1940" spans="1:17" x14ac:dyDescent="0.25">
      <c r="A1940" s="8" t="s">
        <v>14044</v>
      </c>
      <c r="B1940" s="8" t="s">
        <v>14045</v>
      </c>
      <c r="C1940" s="9" t="s">
        <v>14046</v>
      </c>
      <c r="D1940" s="9" t="s">
        <v>892</v>
      </c>
      <c r="E1940" s="9" t="s">
        <v>1199</v>
      </c>
      <c r="F1940" s="10">
        <v>1.514</v>
      </c>
      <c r="G1940" s="10">
        <v>1.665</v>
      </c>
      <c r="H1940" s="10"/>
      <c r="I1940" s="9" t="s">
        <v>32</v>
      </c>
      <c r="J1940" s="9" t="s">
        <v>14047</v>
      </c>
      <c r="K1940" s="9" t="s">
        <v>14048</v>
      </c>
      <c r="L1940" s="8" t="s">
        <v>14049</v>
      </c>
      <c r="M1940" s="9" t="s">
        <v>36</v>
      </c>
      <c r="N1940" s="9" t="s">
        <v>483</v>
      </c>
      <c r="O1940" s="9">
        <f>HYPERLINK("https://www.google.com/maps/search/?api=1&amp;query=39.54813629,-6.43701754", "https://www.google.com/maps/search/?api=1&amp;query=39.54813629,-6.43701754")</f>
      </c>
      <c r="P1940" s="9" t="s">
        <v>8061</v>
      </c>
      <c r="Q1940" s="9" t="s">
        <v>1733</v>
      </c>
    </row>
    <row r="1941" spans="1:17" x14ac:dyDescent="0.25">
      <c r="A1941" s="8" t="s">
        <v>14050</v>
      </c>
      <c r="B1941" s="8" t="s">
        <v>14051</v>
      </c>
      <c r="C1941" s="9" t="s">
        <v>14052</v>
      </c>
      <c r="D1941" s="9" t="s">
        <v>166</v>
      </c>
      <c r="E1941" s="9" t="s">
        <v>14053</v>
      </c>
      <c r="F1941" s="10">
        <v>1.514</v>
      </c>
      <c r="G1941" s="10">
        <v>1.665</v>
      </c>
      <c r="H1941" s="10"/>
      <c r="I1941" s="9" t="s">
        <v>168</v>
      </c>
      <c r="J1941" s="9" t="s">
        <v>14054</v>
      </c>
      <c r="K1941" s="9" t="s">
        <v>14055</v>
      </c>
      <c r="L1941" s="8" t="s">
        <v>14056</v>
      </c>
      <c r="M1941" s="9" t="s">
        <v>49</v>
      </c>
      <c r="N1941" s="9" t="s">
        <v>1695</v>
      </c>
      <c r="O1941" s="9">
        <f>HYPERLINK("https://www.google.com/maps/search/?api=1&amp;query=40.9103377,-3.07577106", "https://www.google.com/maps/search/?api=1&amp;query=40.9103377,-3.07577106")</f>
      </c>
      <c r="P1941" s="9" t="s">
        <v>172</v>
      </c>
      <c r="Q1941" s="9" t="s">
        <v>1131</v>
      </c>
    </row>
    <row r="1942" spans="1:17" x14ac:dyDescent="0.25">
      <c r="A1942" s="8" t="s">
        <v>14057</v>
      </c>
      <c r="B1942" s="8" t="s">
        <v>14058</v>
      </c>
      <c r="C1942" s="9" t="s">
        <v>14059</v>
      </c>
      <c r="D1942" s="9" t="s">
        <v>488</v>
      </c>
      <c r="E1942" s="9" t="s">
        <v>14060</v>
      </c>
      <c r="F1942" s="10">
        <v>1.514</v>
      </c>
      <c r="G1942" s="10">
        <v>1.665</v>
      </c>
      <c r="H1942" s="10"/>
      <c r="I1942" s="9" t="s">
        <v>45</v>
      </c>
      <c r="J1942" s="9" t="s">
        <v>14061</v>
      </c>
      <c r="K1942" s="9" t="s">
        <v>14062</v>
      </c>
      <c r="L1942" s="8" t="s">
        <v>14063</v>
      </c>
      <c r="M1942" s="9" t="s">
        <v>36</v>
      </c>
      <c r="N1942" s="9" t="s">
        <v>37</v>
      </c>
      <c r="O1942" s="9">
        <f>HYPERLINK("https://www.google.com/maps/search/?api=1&amp;query=37.777855,-3.73387959", "https://www.google.com/maps/search/?api=1&amp;query=37.777855,-3.73387959")</f>
      </c>
      <c r="P1942" s="9" t="s">
        <v>1423</v>
      </c>
      <c r="Q1942" s="9" t="s">
        <v>14064</v>
      </c>
    </row>
    <row r="1943" spans="1:17" x14ac:dyDescent="0.25">
      <c r="A1943" s="8" t="s">
        <v>14065</v>
      </c>
      <c r="B1943" s="8" t="s">
        <v>14066</v>
      </c>
      <c r="C1943" s="9" t="s">
        <v>14067</v>
      </c>
      <c r="D1943" s="9" t="s">
        <v>1617</v>
      </c>
      <c r="E1943" s="9" t="s">
        <v>14068</v>
      </c>
      <c r="F1943" s="10">
        <v>1.514</v>
      </c>
      <c r="G1943" s="10">
        <v>1.665</v>
      </c>
      <c r="H1943" s="10"/>
      <c r="I1943" s="9" t="s">
        <v>292</v>
      </c>
      <c r="J1943" s="9" t="s">
        <v>14069</v>
      </c>
      <c r="K1943" s="9" t="s">
        <v>14070</v>
      </c>
      <c r="L1943" s="8" t="s">
        <v>14071</v>
      </c>
      <c r="M1943" s="9" t="s">
        <v>49</v>
      </c>
      <c r="N1943" s="9" t="s">
        <v>1695</v>
      </c>
      <c r="O1943" s="9">
        <f>HYPERLINK("https://www.google.com/maps/search/?api=1&amp;query=42.31558274,0.56484964", "https://www.google.com/maps/search/?api=1&amp;query=42.31558274,0.56484964")</f>
      </c>
      <c r="P1943" s="9" t="s">
        <v>12730</v>
      </c>
      <c r="Q1943" s="9" t="s">
        <v>14072</v>
      </c>
    </row>
    <row r="1944" spans="1:17" x14ac:dyDescent="0.25">
      <c r="A1944" s="8" t="s">
        <v>14073</v>
      </c>
      <c r="B1944" s="8" t="s">
        <v>14074</v>
      </c>
      <c r="C1944" s="9" t="s">
        <v>14075</v>
      </c>
      <c r="D1944" s="9" t="s">
        <v>106</v>
      </c>
      <c r="E1944" s="9" t="s">
        <v>8707</v>
      </c>
      <c r="F1944" s="10">
        <v>1.514</v>
      </c>
      <c r="G1944" s="10">
        <v>1.665</v>
      </c>
      <c r="H1944" s="10"/>
      <c r="I1944" s="9" t="s">
        <v>106</v>
      </c>
      <c r="J1944" s="9" t="s">
        <v>14076</v>
      </c>
      <c r="K1944" s="9" t="s">
        <v>14077</v>
      </c>
      <c r="L1944" s="8" t="s">
        <v>8710</v>
      </c>
      <c r="M1944" s="9" t="s">
        <v>49</v>
      </c>
      <c r="N1944" s="9" t="s">
        <v>11722</v>
      </c>
      <c r="O1944" s="9">
        <f>HYPERLINK("https://www.google.com/maps/search/?api=1&amp;query=37.95898618,-1.20976102", "https://www.google.com/maps/search/?api=1&amp;query=37.95898618,-1.20976102")</f>
      </c>
      <c r="P1944" s="9" t="s">
        <v>1067</v>
      </c>
      <c r="Q1944" s="9" t="s">
        <v>1131</v>
      </c>
    </row>
    <row r="1945" spans="1:17" x14ac:dyDescent="0.25">
      <c r="A1945" s="8" t="s">
        <v>14078</v>
      </c>
      <c r="B1945" s="8" t="s">
        <v>14079</v>
      </c>
      <c r="C1945" s="9" t="s">
        <v>14080</v>
      </c>
      <c r="D1945" s="9" t="s">
        <v>83</v>
      </c>
      <c r="E1945" s="9" t="s">
        <v>14081</v>
      </c>
      <c r="F1945" s="10">
        <v>1.514</v>
      </c>
      <c r="G1945" s="10">
        <v>1.665</v>
      </c>
      <c r="H1945" s="10"/>
      <c r="I1945" s="9" t="s">
        <v>83</v>
      </c>
      <c r="J1945" s="9" t="s">
        <v>14082</v>
      </c>
      <c r="K1945" s="9" t="s">
        <v>14083</v>
      </c>
      <c r="L1945" s="8" t="s">
        <v>14084</v>
      </c>
      <c r="M1945" s="9" t="s">
        <v>36</v>
      </c>
      <c r="N1945" s="9" t="s">
        <v>37</v>
      </c>
      <c r="O1945" s="9">
        <f>HYPERLINK("https://www.google.com/maps/search/?api=1&amp;query=40.13396463,-3.65640358", "https://www.google.com/maps/search/?api=1&amp;query=40.13396463,-3.65640358")</f>
      </c>
      <c r="P1945" s="9" t="s">
        <v>4439</v>
      </c>
      <c r="Q1945" s="9" t="s">
        <v>4192</v>
      </c>
    </row>
    <row r="1946" spans="1:17" x14ac:dyDescent="0.25">
      <c r="A1946" s="8" t="s">
        <v>14085</v>
      </c>
      <c r="B1946" s="8" t="s">
        <v>14086</v>
      </c>
      <c r="C1946" s="9" t="s">
        <v>14087</v>
      </c>
      <c r="D1946" s="9" t="s">
        <v>61</v>
      </c>
      <c r="E1946" s="9" t="s">
        <v>14088</v>
      </c>
      <c r="F1946" s="10">
        <v>1.514</v>
      </c>
      <c r="G1946" s="10">
        <v>1.665</v>
      </c>
      <c r="H1946" s="10"/>
      <c r="I1946" s="9" t="s">
        <v>45</v>
      </c>
      <c r="J1946" s="9" t="s">
        <v>14089</v>
      </c>
      <c r="K1946" s="9" t="s">
        <v>14090</v>
      </c>
      <c r="L1946" s="8" t="s">
        <v>14091</v>
      </c>
      <c r="M1946" s="9" t="s">
        <v>36</v>
      </c>
      <c r="N1946" s="9" t="s">
        <v>14092</v>
      </c>
      <c r="O1946" s="9">
        <f>HYPERLINK("https://www.google.com/maps/search/?api=1&amp;query=37.9308349,-5.46805416", "https://www.google.com/maps/search/?api=1&amp;query=37.9308349,-5.46805416")</f>
      </c>
      <c r="P1946" s="9" t="s">
        <v>1741</v>
      </c>
      <c r="Q1946" s="9" t="s">
        <v>7411</v>
      </c>
    </row>
    <row r="1947" spans="1:17" x14ac:dyDescent="0.25">
      <c r="A1947" s="8" t="s">
        <v>14093</v>
      </c>
      <c r="B1947" s="8" t="s">
        <v>14094</v>
      </c>
      <c r="C1947" s="9" t="s">
        <v>14095</v>
      </c>
      <c r="D1947" s="9" t="s">
        <v>398</v>
      </c>
      <c r="E1947" s="9" t="s">
        <v>14096</v>
      </c>
      <c r="F1947" s="10">
        <v>1.514</v>
      </c>
      <c r="G1947" s="10">
        <v>1.665</v>
      </c>
      <c r="H1947" s="10"/>
      <c r="I1947" s="9" t="s">
        <v>400</v>
      </c>
      <c r="J1947" s="9" t="s">
        <v>14097</v>
      </c>
      <c r="K1947" s="9" t="s">
        <v>14098</v>
      </c>
      <c r="L1947" s="8" t="s">
        <v>14099</v>
      </c>
      <c r="M1947" s="9" t="s">
        <v>36</v>
      </c>
      <c r="N1947" s="9" t="s">
        <v>37</v>
      </c>
      <c r="O1947" s="9">
        <f>HYPERLINK("https://www.google.com/maps/search/?api=1&amp;query=38.7519428,-0.0419392", "https://www.google.com/maps/search/?api=1&amp;query=38.7519428,-0.0419392")</f>
      </c>
      <c r="P1947" s="9" t="s">
        <v>14100</v>
      </c>
      <c r="Q1947" s="9" t="s">
        <v>14101</v>
      </c>
    </row>
    <row r="1948" spans="1:17" x14ac:dyDescent="0.25">
      <c r="A1948" s="8" t="s">
        <v>14102</v>
      </c>
      <c r="B1948" s="8" t="s">
        <v>14103</v>
      </c>
      <c r="C1948" s="9" t="s">
        <v>14104</v>
      </c>
      <c r="D1948" s="9" t="s">
        <v>919</v>
      </c>
      <c r="E1948" s="9" t="s">
        <v>3122</v>
      </c>
      <c r="F1948" s="10">
        <v>1.514</v>
      </c>
      <c r="G1948" s="10">
        <v>1.665</v>
      </c>
      <c r="H1948" s="10"/>
      <c r="I1948" s="9" t="s">
        <v>118</v>
      </c>
      <c r="J1948" s="9" t="s">
        <v>14105</v>
      </c>
      <c r="K1948" s="9" t="s">
        <v>14106</v>
      </c>
      <c r="L1948" s="8" t="s">
        <v>14107</v>
      </c>
      <c r="M1948" s="9" t="s">
        <v>36</v>
      </c>
      <c r="N1948" s="9" t="s">
        <v>66</v>
      </c>
      <c r="O1948" s="9">
        <f>HYPERLINK("https://www.google.com/maps/search/?api=1&amp;query=42.85758487,-2.72175723", "https://www.google.com/maps/search/?api=1&amp;query=42.85758487,-2.72175723")</f>
      </c>
      <c r="P1948" s="9" t="s">
        <v>14108</v>
      </c>
      <c r="Q1948" s="9" t="s">
        <v>3036</v>
      </c>
    </row>
    <row r="1949" spans="1:17" x14ac:dyDescent="0.25">
      <c r="A1949" s="8" t="s">
        <v>14109</v>
      </c>
      <c r="B1949" s="8" t="s">
        <v>14110</v>
      </c>
      <c r="C1949" s="9" t="s">
        <v>14111</v>
      </c>
      <c r="D1949" s="9" t="s">
        <v>155</v>
      </c>
      <c r="E1949" s="9" t="s">
        <v>14112</v>
      </c>
      <c r="F1949" s="10">
        <v>1.514</v>
      </c>
      <c r="G1949" s="10">
        <v>1.665</v>
      </c>
      <c r="H1949" s="10"/>
      <c r="I1949" s="9" t="s">
        <v>157</v>
      </c>
      <c r="J1949" s="9" t="s">
        <v>14113</v>
      </c>
      <c r="K1949" s="9" t="s">
        <v>14114</v>
      </c>
      <c r="L1949" s="8" t="s">
        <v>14115</v>
      </c>
      <c r="M1949" s="9" t="s">
        <v>49</v>
      </c>
      <c r="N1949" s="9" t="s">
        <v>592</v>
      </c>
      <c r="O1949" s="9">
        <f>HYPERLINK("https://www.google.com/maps/search/?api=1&amp;query=39.5711618,2.72109928", "https://www.google.com/maps/search/?api=1&amp;query=39.5711618,2.72109928")</f>
      </c>
      <c r="P1949" s="9" t="s">
        <v>14116</v>
      </c>
      <c r="Q1949" s="9" t="s">
        <v>14117</v>
      </c>
    </row>
    <row r="1950" spans="1:17" x14ac:dyDescent="0.25">
      <c r="A1950" s="8" t="s">
        <v>14118</v>
      </c>
      <c r="B1950" s="8" t="s">
        <v>14119</v>
      </c>
      <c r="C1950" s="9" t="s">
        <v>14120</v>
      </c>
      <c r="D1950" s="9" t="s">
        <v>516</v>
      </c>
      <c r="E1950" s="9" t="s">
        <v>14121</v>
      </c>
      <c r="F1950" s="10">
        <v>1.514</v>
      </c>
      <c r="G1950" s="10">
        <v>1.665</v>
      </c>
      <c r="H1950" s="10"/>
      <c r="I1950" s="9" t="s">
        <v>140</v>
      </c>
      <c r="J1950" s="9" t="s">
        <v>14122</v>
      </c>
      <c r="K1950" s="9" t="s">
        <v>14123</v>
      </c>
      <c r="L1950" s="8" t="s">
        <v>14124</v>
      </c>
      <c r="M1950" s="9" t="s">
        <v>49</v>
      </c>
      <c r="N1950" s="9" t="s">
        <v>211</v>
      </c>
      <c r="O1950" s="9">
        <f>HYPERLINK("https://www.google.com/maps/search/?api=1&amp;query=42.47387777,-7.26450742", "https://www.google.com/maps/search/?api=1&amp;query=42.47387777,-7.26450742")</f>
      </c>
      <c r="P1950" s="9" t="s">
        <v>880</v>
      </c>
      <c r="Q1950" s="9" t="s">
        <v>3885</v>
      </c>
    </row>
    <row r="1951" spans="1:17" x14ac:dyDescent="0.25">
      <c r="A1951" s="8" t="s">
        <v>14125</v>
      </c>
      <c r="B1951" s="8" t="s">
        <v>14126</v>
      </c>
      <c r="C1951" s="9" t="s">
        <v>14127</v>
      </c>
      <c r="D1951" s="9" t="s">
        <v>197</v>
      </c>
      <c r="E1951" s="9" t="s">
        <v>14128</v>
      </c>
      <c r="F1951" s="10">
        <v>1.514</v>
      </c>
      <c r="G1951" s="10">
        <v>1.665</v>
      </c>
      <c r="H1951" s="10"/>
      <c r="I1951" s="9" t="s">
        <v>168</v>
      </c>
      <c r="J1951" s="9" t="s">
        <v>14129</v>
      </c>
      <c r="K1951" s="9" t="s">
        <v>14130</v>
      </c>
      <c r="L1951" s="8" t="s">
        <v>14131</v>
      </c>
      <c r="M1951" s="9" t="s">
        <v>49</v>
      </c>
      <c r="N1951" s="9" t="s">
        <v>645</v>
      </c>
      <c r="O1951" s="9">
        <f>HYPERLINK("https://www.google.com/maps/search/?api=1&amp;query=40.20982328,-4.08722412", "https://www.google.com/maps/search/?api=1&amp;query=40.20982328,-4.08722412")</f>
      </c>
      <c r="P1951" s="9" t="s">
        <v>172</v>
      </c>
      <c r="Q1951" s="9" t="s">
        <v>3657</v>
      </c>
    </row>
    <row r="1952" spans="1:17" x14ac:dyDescent="0.25">
      <c r="A1952" s="8" t="s">
        <v>14132</v>
      </c>
      <c r="B1952" s="8" t="s">
        <v>14133</v>
      </c>
      <c r="C1952" s="9" t="s">
        <v>14134</v>
      </c>
      <c r="D1952" s="9" t="s">
        <v>217</v>
      </c>
      <c r="E1952" s="9" t="s">
        <v>1144</v>
      </c>
      <c r="F1952" s="10">
        <v>1.514</v>
      </c>
      <c r="G1952" s="10">
        <v>1.665</v>
      </c>
      <c r="H1952" s="10"/>
      <c r="I1952" s="9" t="s">
        <v>45</v>
      </c>
      <c r="J1952" s="9" t="s">
        <v>14135</v>
      </c>
      <c r="K1952" s="9" t="s">
        <v>14136</v>
      </c>
      <c r="L1952" s="8" t="s">
        <v>1147</v>
      </c>
      <c r="M1952" s="9" t="s">
        <v>100</v>
      </c>
      <c r="N1952" s="9" t="s">
        <v>37</v>
      </c>
      <c r="O1952" s="9">
        <f>HYPERLINK("https://www.google.com/maps/search/?api=1&amp;query=36.77857632,-4.11253722", "https://www.google.com/maps/search/?api=1&amp;query=36.77857632,-4.11253722")</f>
      </c>
      <c r="P1952" s="9" t="s">
        <v>8430</v>
      </c>
      <c r="Q1952" s="9" t="s">
        <v>14137</v>
      </c>
    </row>
    <row r="1953" spans="1:17" x14ac:dyDescent="0.25">
      <c r="A1953" s="8" t="s">
        <v>14138</v>
      </c>
      <c r="B1953" s="8" t="s">
        <v>14139</v>
      </c>
      <c r="C1953" s="9" t="s">
        <v>14140</v>
      </c>
      <c r="D1953" s="9" t="s">
        <v>106</v>
      </c>
      <c r="E1953" s="9" t="s">
        <v>14141</v>
      </c>
      <c r="F1953" s="10">
        <v>1.514</v>
      </c>
      <c r="G1953" s="10">
        <v>1.665</v>
      </c>
      <c r="H1953" s="10"/>
      <c r="I1953" s="9" t="s">
        <v>106</v>
      </c>
      <c r="J1953" s="9" t="s">
        <v>14142</v>
      </c>
      <c r="K1953" s="9" t="s">
        <v>14143</v>
      </c>
      <c r="L1953" s="8" t="s">
        <v>14144</v>
      </c>
      <c r="M1953" s="9" t="s">
        <v>49</v>
      </c>
      <c r="N1953" s="9" t="s">
        <v>592</v>
      </c>
      <c r="O1953" s="9">
        <f>HYPERLINK("https://www.google.com/maps/search/?api=1&amp;query=37.61975891,-1.01284741", "https://www.google.com/maps/search/?api=1&amp;query=37.61975891,-1.01284741")</f>
      </c>
      <c r="P1953" s="9" t="s">
        <v>14145</v>
      </c>
      <c r="Q1953" s="9" t="s">
        <v>14146</v>
      </c>
    </row>
    <row r="1954" spans="1:17" x14ac:dyDescent="0.25">
      <c r="A1954" s="8" t="s">
        <v>14147</v>
      </c>
      <c r="B1954" s="8" t="s">
        <v>14148</v>
      </c>
      <c r="C1954" s="9" t="s">
        <v>8324</v>
      </c>
      <c r="D1954" s="9" t="s">
        <v>61</v>
      </c>
      <c r="E1954" s="9" t="s">
        <v>14149</v>
      </c>
      <c r="F1954" s="10">
        <v>1.514</v>
      </c>
      <c r="G1954" s="10">
        <v>1.665</v>
      </c>
      <c r="H1954" s="10"/>
      <c r="I1954" s="9" t="s">
        <v>45</v>
      </c>
      <c r="J1954" s="9" t="s">
        <v>14150</v>
      </c>
      <c r="K1954" s="9" t="s">
        <v>14151</v>
      </c>
      <c r="L1954" s="8" t="s">
        <v>14152</v>
      </c>
      <c r="M1954" s="9" t="s">
        <v>36</v>
      </c>
      <c r="N1954" s="9" t="s">
        <v>88</v>
      </c>
      <c r="O1954" s="9">
        <f>HYPERLINK("https://www.google.com/maps/search/?api=1&amp;query=37.46023841,-6.02717784", "https://www.google.com/maps/search/?api=1&amp;query=37.46023841,-6.02717784")</f>
      </c>
      <c r="P1954" s="9" t="s">
        <v>4426</v>
      </c>
      <c r="Q1954" s="9" t="s">
        <v>6634</v>
      </c>
    </row>
    <row r="1955" spans="1:17" x14ac:dyDescent="0.25">
      <c r="A1955" s="8" t="s">
        <v>14153</v>
      </c>
      <c r="B1955" s="8" t="s">
        <v>14154</v>
      </c>
      <c r="C1955" s="9" t="s">
        <v>14155</v>
      </c>
      <c r="D1955" s="9" t="s">
        <v>1282</v>
      </c>
      <c r="E1955" s="9" t="s">
        <v>14156</v>
      </c>
      <c r="F1955" s="10">
        <v>1.514</v>
      </c>
      <c r="G1955" s="10">
        <v>1.665</v>
      </c>
      <c r="H1955" s="10"/>
      <c r="I1955" s="9" t="s">
        <v>45</v>
      </c>
      <c r="J1955" s="9" t="s">
        <v>14157</v>
      </c>
      <c r="K1955" s="9" t="s">
        <v>14158</v>
      </c>
      <c r="L1955" s="8" t="s">
        <v>14159</v>
      </c>
      <c r="M1955" s="9" t="s">
        <v>49</v>
      </c>
      <c r="N1955" s="9" t="s">
        <v>645</v>
      </c>
      <c r="O1955" s="9">
        <f>HYPERLINK("https://www.google.com/maps/search/?api=1&amp;query=36.74023684,-3.58427857", "https://www.google.com/maps/search/?api=1&amp;query=36.74023684,-3.58427857")</f>
      </c>
      <c r="P1955" s="9" t="s">
        <v>955</v>
      </c>
      <c r="Q1955" s="9" t="s">
        <v>14160</v>
      </c>
    </row>
    <row r="1956" spans="1:17" x14ac:dyDescent="0.25">
      <c r="A1956" s="8" t="s">
        <v>14161</v>
      </c>
      <c r="B1956" s="8" t="s">
        <v>14162</v>
      </c>
      <c r="C1956" s="9" t="s">
        <v>14163</v>
      </c>
      <c r="D1956" s="9" t="s">
        <v>226</v>
      </c>
      <c r="E1956" s="9" t="s">
        <v>14164</v>
      </c>
      <c r="F1956" s="10">
        <v>1.514</v>
      </c>
      <c r="G1956" s="10">
        <v>1.665</v>
      </c>
      <c r="H1956" s="10"/>
      <c r="I1956" s="9" t="s">
        <v>168</v>
      </c>
      <c r="J1956" s="9" t="s">
        <v>14165</v>
      </c>
      <c r="K1956" s="9" t="s">
        <v>14166</v>
      </c>
      <c r="L1956" s="8" t="s">
        <v>14167</v>
      </c>
      <c r="M1956" s="9" t="s">
        <v>49</v>
      </c>
      <c r="N1956" s="9" t="s">
        <v>592</v>
      </c>
      <c r="O1956" s="9">
        <f>HYPERLINK("https://www.google.com/maps/search/?api=1&amp;query=39.41043819,-2.20961134", "https://www.google.com/maps/search/?api=1&amp;query=39.41043819,-2.20961134")</f>
      </c>
      <c r="P1956" s="9" t="s">
        <v>4374</v>
      </c>
      <c r="Q1956" s="9" t="s">
        <v>1131</v>
      </c>
    </row>
    <row r="1957" spans="1:17" x14ac:dyDescent="0.25">
      <c r="A1957" s="8" t="s">
        <v>14168</v>
      </c>
      <c r="B1957" s="8" t="s">
        <v>14169</v>
      </c>
      <c r="C1957" s="9" t="s">
        <v>14170</v>
      </c>
      <c r="D1957" s="9" t="s">
        <v>398</v>
      </c>
      <c r="E1957" s="9" t="s">
        <v>14171</v>
      </c>
      <c r="F1957" s="10">
        <v>1.514</v>
      </c>
      <c r="G1957" s="10">
        <v>1.665</v>
      </c>
      <c r="H1957" s="10"/>
      <c r="I1957" s="9" t="s">
        <v>400</v>
      </c>
      <c r="J1957" s="9" t="s">
        <v>14172</v>
      </c>
      <c r="K1957" s="9" t="s">
        <v>14173</v>
      </c>
      <c r="L1957" s="8" t="s">
        <v>14174</v>
      </c>
      <c r="M1957" s="9" t="s">
        <v>49</v>
      </c>
      <c r="N1957" s="9" t="s">
        <v>37</v>
      </c>
      <c r="O1957" s="9">
        <f>HYPERLINK("https://www.google.com/maps/search/?api=1&amp;query=37.93468157,-0.74940779", "https://www.google.com/maps/search/?api=1&amp;query=37.93468157,-0.74940779")</f>
      </c>
      <c r="P1957" s="9" t="s">
        <v>3443</v>
      </c>
      <c r="Q1957" s="9" t="s">
        <v>14175</v>
      </c>
    </row>
    <row r="1958" spans="1:17" x14ac:dyDescent="0.25">
      <c r="A1958" s="8" t="s">
        <v>14176</v>
      </c>
      <c r="B1958" s="8" t="s">
        <v>14177</v>
      </c>
      <c r="C1958" s="9" t="s">
        <v>14178</v>
      </c>
      <c r="D1958" s="9" t="s">
        <v>1282</v>
      </c>
      <c r="E1958" s="9" t="s">
        <v>14179</v>
      </c>
      <c r="F1958" s="10">
        <v>1.514</v>
      </c>
      <c r="G1958" s="10">
        <v>1.665</v>
      </c>
      <c r="H1958" s="10"/>
      <c r="I1958" s="9" t="s">
        <v>45</v>
      </c>
      <c r="J1958" s="9" t="s">
        <v>14180</v>
      </c>
      <c r="K1958" s="9" t="s">
        <v>14181</v>
      </c>
      <c r="L1958" s="8" t="s">
        <v>14182</v>
      </c>
      <c r="M1958" s="9" t="s">
        <v>49</v>
      </c>
      <c r="N1958" s="9" t="s">
        <v>14183</v>
      </c>
      <c r="O1958" s="9">
        <f>HYPERLINK("https://www.google.com/maps/search/?api=1&amp;query=37.50863923,-2.76587489", "https://www.google.com/maps/search/?api=1&amp;query=37.50863923,-2.76587489")</f>
      </c>
      <c r="P1958" s="9" t="s">
        <v>1250</v>
      </c>
      <c r="Q1958" s="9" t="s">
        <v>1131</v>
      </c>
    </row>
    <row r="1959" spans="1:17" x14ac:dyDescent="0.25">
      <c r="A1959" s="8" t="s">
        <v>14184</v>
      </c>
      <c r="B1959" s="8" t="s">
        <v>14185</v>
      </c>
      <c r="C1959" s="9" t="s">
        <v>14186</v>
      </c>
      <c r="D1959" s="9" t="s">
        <v>226</v>
      </c>
      <c r="E1959" s="9" t="s">
        <v>14187</v>
      </c>
      <c r="F1959" s="10">
        <v>1.514</v>
      </c>
      <c r="G1959" s="10">
        <v>1.665</v>
      </c>
      <c r="H1959" s="10"/>
      <c r="I1959" s="9" t="s">
        <v>168</v>
      </c>
      <c r="J1959" s="9" t="s">
        <v>14188</v>
      </c>
      <c r="K1959" s="9" t="s">
        <v>14189</v>
      </c>
      <c r="L1959" s="8" t="s">
        <v>14190</v>
      </c>
      <c r="M1959" s="9" t="s">
        <v>49</v>
      </c>
      <c r="N1959" s="9" t="s">
        <v>7851</v>
      </c>
      <c r="O1959" s="9">
        <f>HYPERLINK("https://www.google.com/maps/search/?api=1&amp;query=40.57379268,-2.07846736", "https://www.google.com/maps/search/?api=1&amp;query=40.57379268,-2.07846736")</f>
      </c>
      <c r="P1959" s="9" t="s">
        <v>7403</v>
      </c>
      <c r="Q1959" s="9" t="s">
        <v>2998</v>
      </c>
    </row>
    <row r="1960" spans="1:17" x14ac:dyDescent="0.25">
      <c r="A1960" s="8" t="s">
        <v>14191</v>
      </c>
      <c r="B1960" s="8" t="s">
        <v>14192</v>
      </c>
      <c r="C1960" s="9" t="s">
        <v>14193</v>
      </c>
      <c r="D1960" s="9" t="s">
        <v>892</v>
      </c>
      <c r="E1960" s="9" t="s">
        <v>14194</v>
      </c>
      <c r="F1960" s="10">
        <v>1.514</v>
      </c>
      <c r="G1960" s="10">
        <v>1.665</v>
      </c>
      <c r="H1960" s="10"/>
      <c r="I1960" s="9" t="s">
        <v>32</v>
      </c>
      <c r="J1960" s="9" t="s">
        <v>14195</v>
      </c>
      <c r="K1960" s="9" t="s">
        <v>14196</v>
      </c>
      <c r="L1960" s="8" t="s">
        <v>14197</v>
      </c>
      <c r="M1960" s="9" t="s">
        <v>36</v>
      </c>
      <c r="N1960" s="9" t="s">
        <v>7899</v>
      </c>
      <c r="O1960" s="9">
        <f>HYPERLINK("https://www.google.com/maps/search/?api=1&amp;query=40.07469084,-6.66441577", "https://www.google.com/maps/search/?api=1&amp;query=40.07469084,-6.66441577")</f>
      </c>
      <c r="P1960" s="9" t="s">
        <v>13468</v>
      </c>
      <c r="Q1960" s="9" t="s">
        <v>14198</v>
      </c>
    </row>
    <row r="1961" spans="1:17" x14ac:dyDescent="0.25">
      <c r="A1961" s="8" t="s">
        <v>14199</v>
      </c>
      <c r="B1961" s="8" t="s">
        <v>14200</v>
      </c>
      <c r="C1961" s="9" t="s">
        <v>14201</v>
      </c>
      <c r="D1961" s="9" t="s">
        <v>1282</v>
      </c>
      <c r="E1961" s="9" t="s">
        <v>14202</v>
      </c>
      <c r="F1961" s="10">
        <v>1.514</v>
      </c>
      <c r="G1961" s="10">
        <v>1.665</v>
      </c>
      <c r="H1961" s="10"/>
      <c r="I1961" s="9" t="s">
        <v>45</v>
      </c>
      <c r="J1961" s="9" t="s">
        <v>14203</v>
      </c>
      <c r="K1961" s="9" t="s">
        <v>14204</v>
      </c>
      <c r="L1961" s="8" t="s">
        <v>14205</v>
      </c>
      <c r="M1961" s="9" t="s">
        <v>36</v>
      </c>
      <c r="N1961" s="9" t="s">
        <v>645</v>
      </c>
      <c r="O1961" s="9">
        <f>HYPERLINK("https://www.google.com/maps/search/?api=1&amp;query=37.23807261,-3.14367264", "https://www.google.com/maps/search/?api=1&amp;query=37.23807261,-3.14367264")</f>
      </c>
      <c r="P1961" s="9" t="s">
        <v>7311</v>
      </c>
      <c r="Q1961" s="9" t="s">
        <v>6642</v>
      </c>
    </row>
    <row r="1962" spans="1:17" x14ac:dyDescent="0.25">
      <c r="A1962" s="8" t="s">
        <v>2916</v>
      </c>
      <c r="B1962" s="8" t="s">
        <v>14206</v>
      </c>
      <c r="C1962" s="9" t="s">
        <v>14207</v>
      </c>
      <c r="D1962" s="9" t="s">
        <v>1560</v>
      </c>
      <c r="E1962" s="9" t="s">
        <v>14208</v>
      </c>
      <c r="F1962" s="10">
        <v>1.514</v>
      </c>
      <c r="G1962" s="10">
        <v>1.665</v>
      </c>
      <c r="H1962" s="10"/>
      <c r="I1962" s="9" t="s">
        <v>400</v>
      </c>
      <c r="J1962" s="9" t="s">
        <v>14209</v>
      </c>
      <c r="K1962" s="9" t="s">
        <v>14210</v>
      </c>
      <c r="L1962" s="8" t="s">
        <v>14211</v>
      </c>
      <c r="M1962" s="9" t="s">
        <v>36</v>
      </c>
      <c r="N1962" s="9" t="s">
        <v>88</v>
      </c>
      <c r="O1962" s="9">
        <f>HYPERLINK("https://www.google.com/maps/search/?api=1&amp;query=40.03974621,-0.07544471", "https://www.google.com/maps/search/?api=1&amp;query=40.03974621,-0.07544471")</f>
      </c>
      <c r="P1962" s="9" t="s">
        <v>8200</v>
      </c>
      <c r="Q1962" s="9" t="s">
        <v>112</v>
      </c>
    </row>
    <row r="1963" spans="1:17" x14ac:dyDescent="0.25">
      <c r="A1963" s="8" t="s">
        <v>14212</v>
      </c>
      <c r="B1963" s="8" t="s">
        <v>14213</v>
      </c>
      <c r="C1963" s="9" t="s">
        <v>14214</v>
      </c>
      <c r="D1963" s="9" t="s">
        <v>94</v>
      </c>
      <c r="E1963" s="9" t="s">
        <v>14215</v>
      </c>
      <c r="F1963" s="10">
        <v>1.514</v>
      </c>
      <c r="G1963" s="10">
        <v>1.665</v>
      </c>
      <c r="H1963" s="10"/>
      <c r="I1963" s="9" t="s">
        <v>96</v>
      </c>
      <c r="J1963" s="9" t="s">
        <v>14216</v>
      </c>
      <c r="K1963" s="9" t="s">
        <v>14217</v>
      </c>
      <c r="L1963" s="8" t="s">
        <v>14218</v>
      </c>
      <c r="M1963" s="9" t="s">
        <v>49</v>
      </c>
      <c r="N1963" s="9" t="s">
        <v>1695</v>
      </c>
      <c r="O1963" s="9">
        <f>HYPERLINK("https://www.google.com/maps/search/?api=1&amp;query=42.24500472,1.97854307", "https://www.google.com/maps/search/?api=1&amp;query=42.24500472,1.97854307")</f>
      </c>
      <c r="P1963" s="9" t="s">
        <v>2594</v>
      </c>
      <c r="Q1963" s="9" t="s">
        <v>1131</v>
      </c>
    </row>
    <row r="1964" spans="1:17" x14ac:dyDescent="0.25">
      <c r="A1964" s="8" t="s">
        <v>14219</v>
      </c>
      <c r="B1964" s="8" t="s">
        <v>14220</v>
      </c>
      <c r="C1964" s="9" t="s">
        <v>14221</v>
      </c>
      <c r="D1964" s="9" t="s">
        <v>83</v>
      </c>
      <c r="E1964" s="9" t="s">
        <v>362</v>
      </c>
      <c r="F1964" s="10">
        <v>1.514</v>
      </c>
      <c r="G1964" s="10">
        <v>1.665</v>
      </c>
      <c r="H1964" s="10"/>
      <c r="I1964" s="9" t="s">
        <v>83</v>
      </c>
      <c r="J1964" s="9" t="s">
        <v>14222</v>
      </c>
      <c r="K1964" s="9" t="s">
        <v>14223</v>
      </c>
      <c r="L1964" s="8" t="s">
        <v>365</v>
      </c>
      <c r="M1964" s="9" t="s">
        <v>49</v>
      </c>
      <c r="N1964" s="9" t="s">
        <v>122</v>
      </c>
      <c r="O1964" s="9">
        <f>HYPERLINK("https://www.google.com/maps/search/?api=1&amp;query=40.64625711,-4.00642095", "https://www.google.com/maps/search/?api=1&amp;query=40.64625711,-4.00642095")</f>
      </c>
      <c r="P1964" s="9" t="s">
        <v>2594</v>
      </c>
      <c r="Q1964" s="9" t="s">
        <v>1131</v>
      </c>
    </row>
    <row r="1965" spans="1:17" x14ac:dyDescent="0.25">
      <c r="A1965" s="8" t="s">
        <v>14224</v>
      </c>
      <c r="B1965" s="8" t="s">
        <v>14225</v>
      </c>
      <c r="C1965" s="9" t="s">
        <v>14226</v>
      </c>
      <c r="D1965" s="9" t="s">
        <v>400</v>
      </c>
      <c r="E1965" s="9" t="s">
        <v>14227</v>
      </c>
      <c r="F1965" s="10">
        <v>1.514</v>
      </c>
      <c r="G1965" s="10">
        <v>1.665</v>
      </c>
      <c r="H1965" s="10"/>
      <c r="I1965" s="9" t="s">
        <v>400</v>
      </c>
      <c r="J1965" s="9" t="s">
        <v>14228</v>
      </c>
      <c r="K1965" s="9" t="s">
        <v>14229</v>
      </c>
      <c r="L1965" s="8" t="s">
        <v>14230</v>
      </c>
      <c r="M1965" s="9" t="s">
        <v>49</v>
      </c>
      <c r="N1965" s="9" t="s">
        <v>9197</v>
      </c>
      <c r="O1965" s="9">
        <f>HYPERLINK("https://www.google.com/maps/search/?api=1&amp;query=39.50126072,-0.40568714", "https://www.google.com/maps/search/?api=1&amp;query=39.50126072,-0.40568714")</f>
      </c>
      <c r="P1965" s="9" t="s">
        <v>2135</v>
      </c>
      <c r="Q1965" s="9" t="s">
        <v>6696</v>
      </c>
    </row>
    <row r="1966" spans="1:17" x14ac:dyDescent="0.25">
      <c r="A1966" s="8" t="s">
        <v>14231</v>
      </c>
      <c r="B1966" s="8" t="s">
        <v>14232</v>
      </c>
      <c r="C1966" s="9" t="s">
        <v>14233</v>
      </c>
      <c r="D1966" s="9" t="s">
        <v>138</v>
      </c>
      <c r="E1966" s="9" t="s">
        <v>14234</v>
      </c>
      <c r="F1966" s="10">
        <v>1.514</v>
      </c>
      <c r="G1966" s="10">
        <v>1.665</v>
      </c>
      <c r="H1966" s="10"/>
      <c r="I1966" s="9" t="s">
        <v>140</v>
      </c>
      <c r="J1966" s="9" t="s">
        <v>14235</v>
      </c>
      <c r="K1966" s="9" t="s">
        <v>14236</v>
      </c>
      <c r="L1966" s="8" t="s">
        <v>14237</v>
      </c>
      <c r="M1966" s="9" t="s">
        <v>36</v>
      </c>
      <c r="N1966" s="9" t="s">
        <v>3164</v>
      </c>
      <c r="O1966" s="9">
        <f>HYPERLINK("https://www.google.com/maps/search/?api=1&amp;query=42.10681415,-8.32099357", "https://www.google.com/maps/search/?api=1&amp;query=42.10681415,-8.32099357")</f>
      </c>
      <c r="P1966" s="9" t="s">
        <v>880</v>
      </c>
      <c r="Q1966" s="9" t="s">
        <v>647</v>
      </c>
    </row>
    <row r="1967" spans="1:17" x14ac:dyDescent="0.25">
      <c r="A1967" s="8" t="s">
        <v>14238</v>
      </c>
      <c r="B1967" s="8" t="s">
        <v>14239</v>
      </c>
      <c r="C1967" s="9" t="s">
        <v>14240</v>
      </c>
      <c r="D1967" s="9" t="s">
        <v>106</v>
      </c>
      <c r="E1967" s="9" t="s">
        <v>8998</v>
      </c>
      <c r="F1967" s="10">
        <v>1.514</v>
      </c>
      <c r="G1967" s="10">
        <v>1.665</v>
      </c>
      <c r="H1967" s="10"/>
      <c r="I1967" s="9" t="s">
        <v>106</v>
      </c>
      <c r="J1967" s="9" t="s">
        <v>14241</v>
      </c>
      <c r="K1967" s="9" t="s">
        <v>14242</v>
      </c>
      <c r="L1967" s="8" t="s">
        <v>9001</v>
      </c>
      <c r="M1967" s="9" t="s">
        <v>36</v>
      </c>
      <c r="N1967" s="9" t="s">
        <v>9045</v>
      </c>
      <c r="O1967" s="9">
        <f>HYPERLINK("https://www.google.com/maps/search/?api=1&amp;query=37.56506272,-1.40934756", "https://www.google.com/maps/search/?api=1&amp;query=37.56506272,-1.40934756")</f>
      </c>
      <c r="P1967" s="9" t="s">
        <v>1203</v>
      </c>
      <c r="Q1967" s="9" t="s">
        <v>14243</v>
      </c>
    </row>
    <row r="1968" spans="1:17" x14ac:dyDescent="0.25">
      <c r="A1968" s="8" t="s">
        <v>14244</v>
      </c>
      <c r="B1968" s="8" t="s">
        <v>14245</v>
      </c>
      <c r="C1968" s="9" t="s">
        <v>14246</v>
      </c>
      <c r="D1968" s="9" t="s">
        <v>444</v>
      </c>
      <c r="E1968" s="9" t="s">
        <v>14247</v>
      </c>
      <c r="F1968" s="10">
        <v>1.514</v>
      </c>
      <c r="G1968" s="10">
        <v>1.665</v>
      </c>
      <c r="H1968" s="10"/>
      <c r="I1968" s="9" t="s">
        <v>444</v>
      </c>
      <c r="J1968" s="9" t="s">
        <v>14248</v>
      </c>
      <c r="K1968" s="9" t="s">
        <v>14249</v>
      </c>
      <c r="L1968" s="8" t="s">
        <v>8039</v>
      </c>
      <c r="M1968" s="9" t="s">
        <v>49</v>
      </c>
      <c r="N1968" s="9" t="s">
        <v>211</v>
      </c>
      <c r="O1968" s="9">
        <f>HYPERLINK("https://www.google.com/maps/search/?api=1&amp;query=43.56651064,-5.92675361", "https://www.google.com/maps/search/?api=1&amp;query=43.56651064,-5.92675361")</f>
      </c>
      <c r="P1968" s="9" t="s">
        <v>3400</v>
      </c>
      <c r="Q1968" s="9" t="s">
        <v>14250</v>
      </c>
    </row>
    <row r="1969" spans="1:17" x14ac:dyDescent="0.25">
      <c r="A1969" s="8" t="s">
        <v>14251</v>
      </c>
      <c r="B1969" s="8" t="s">
        <v>14252</v>
      </c>
      <c r="C1969" s="9" t="s">
        <v>8336</v>
      </c>
      <c r="D1969" s="9" t="s">
        <v>1847</v>
      </c>
      <c r="E1969" s="9" t="s">
        <v>1847</v>
      </c>
      <c r="F1969" s="10">
        <v>1.514</v>
      </c>
      <c r="G1969" s="10">
        <v>1.665</v>
      </c>
      <c r="H1969" s="10"/>
      <c r="I1969" s="9" t="s">
        <v>74</v>
      </c>
      <c r="J1969" s="9" t="s">
        <v>14253</v>
      </c>
      <c r="K1969" s="9" t="s">
        <v>14254</v>
      </c>
      <c r="L1969" s="8" t="s">
        <v>14255</v>
      </c>
      <c r="M1969" s="9" t="s">
        <v>49</v>
      </c>
      <c r="N1969" s="9" t="s">
        <v>14256</v>
      </c>
      <c r="O1969" s="9">
        <f>HYPERLINK("https://www.google.com/maps/search/?api=1&amp;query=40.9361913,-4.11259777", "https://www.google.com/maps/search/?api=1&amp;query=40.9361913,-4.11259777")</f>
      </c>
      <c r="P1969" s="9" t="s">
        <v>1439</v>
      </c>
      <c r="Q1969" s="9" t="s">
        <v>1131</v>
      </c>
    </row>
    <row r="1970" spans="1:17" x14ac:dyDescent="0.25">
      <c r="A1970" s="8" t="s">
        <v>14257</v>
      </c>
      <c r="B1970" s="8" t="s">
        <v>14258</v>
      </c>
      <c r="C1970" s="9" t="s">
        <v>14259</v>
      </c>
      <c r="D1970" s="9" t="s">
        <v>892</v>
      </c>
      <c r="E1970" s="9" t="s">
        <v>14260</v>
      </c>
      <c r="F1970" s="10">
        <v>1.514</v>
      </c>
      <c r="G1970" s="10">
        <v>1.665</v>
      </c>
      <c r="H1970" s="10"/>
      <c r="I1970" s="9" t="s">
        <v>32</v>
      </c>
      <c r="J1970" s="9" t="s">
        <v>14261</v>
      </c>
      <c r="K1970" s="9" t="s">
        <v>14262</v>
      </c>
      <c r="L1970" s="8" t="s">
        <v>4550</v>
      </c>
      <c r="M1970" s="9" t="s">
        <v>49</v>
      </c>
      <c r="N1970" s="9" t="s">
        <v>14263</v>
      </c>
      <c r="O1970" s="9">
        <f>HYPERLINK("https://www.google.com/maps/search/?api=1&amp;query=39.97794083,-6.04526468", "https://www.google.com/maps/search/?api=1&amp;query=39.97794083,-6.04526468")</f>
      </c>
      <c r="P1970" s="9" t="s">
        <v>1439</v>
      </c>
      <c r="Q1970" s="9" t="s">
        <v>1131</v>
      </c>
    </row>
    <row r="1971" spans="1:17" x14ac:dyDescent="0.25">
      <c r="A1971" s="8" t="s">
        <v>14264</v>
      </c>
      <c r="B1971" s="8" t="s">
        <v>14265</v>
      </c>
      <c r="C1971" s="9" t="s">
        <v>14266</v>
      </c>
      <c r="D1971" s="9" t="s">
        <v>197</v>
      </c>
      <c r="E1971" s="9" t="s">
        <v>197</v>
      </c>
      <c r="F1971" s="10">
        <v>1.514</v>
      </c>
      <c r="G1971" s="10">
        <v>1.665</v>
      </c>
      <c r="H1971" s="10"/>
      <c r="I1971" s="9" t="s">
        <v>168</v>
      </c>
      <c r="J1971" s="9" t="s">
        <v>14267</v>
      </c>
      <c r="K1971" s="9" t="s">
        <v>14268</v>
      </c>
      <c r="L1971" s="8" t="s">
        <v>9512</v>
      </c>
      <c r="M1971" s="9" t="s">
        <v>49</v>
      </c>
      <c r="N1971" s="9" t="s">
        <v>14269</v>
      </c>
      <c r="O1971" s="9">
        <f>HYPERLINK("https://www.google.com/maps/search/?api=1&amp;query=39.87177914,-3.94844105", "https://www.google.com/maps/search/?api=1&amp;query=39.87177914,-3.94844105")</f>
      </c>
      <c r="P1971" s="9" t="s">
        <v>1250</v>
      </c>
      <c r="Q1971" s="9" t="s">
        <v>14270</v>
      </c>
    </row>
    <row r="1972" spans="1:17" x14ac:dyDescent="0.25">
      <c r="A1972" s="8" t="s">
        <v>14271</v>
      </c>
      <c r="B1972" s="8" t="s">
        <v>14272</v>
      </c>
      <c r="C1972" s="9" t="s">
        <v>14273</v>
      </c>
      <c r="D1972" s="9" t="s">
        <v>1282</v>
      </c>
      <c r="E1972" s="9" t="s">
        <v>14274</v>
      </c>
      <c r="F1972" s="10">
        <v>1.514</v>
      </c>
      <c r="G1972" s="10">
        <v>1.665</v>
      </c>
      <c r="H1972" s="10"/>
      <c r="I1972" s="9" t="s">
        <v>45</v>
      </c>
      <c r="J1972" s="9" t="s">
        <v>14275</v>
      </c>
      <c r="K1972" s="9" t="s">
        <v>14276</v>
      </c>
      <c r="L1972" s="8" t="s">
        <v>14277</v>
      </c>
      <c r="M1972" s="9" t="s">
        <v>49</v>
      </c>
      <c r="N1972" s="9" t="s">
        <v>122</v>
      </c>
      <c r="O1972" s="9">
        <f>HYPERLINK("https://www.google.com/maps/search/?api=1&amp;query=37.60947871,-2.93668729", "https://www.google.com/maps/search/?api=1&amp;query=37.60947871,-2.93668729")</f>
      </c>
      <c r="P1972" s="9" t="s">
        <v>1423</v>
      </c>
      <c r="Q1972" s="9" t="s">
        <v>14278</v>
      </c>
    </row>
    <row r="1973" spans="1:17" x14ac:dyDescent="0.25">
      <c r="A1973" s="8" t="s">
        <v>14279</v>
      </c>
      <c r="B1973" s="8" t="s">
        <v>14280</v>
      </c>
      <c r="C1973" s="9" t="s">
        <v>11802</v>
      </c>
      <c r="D1973" s="9" t="s">
        <v>424</v>
      </c>
      <c r="E1973" s="9" t="s">
        <v>14281</v>
      </c>
      <c r="F1973" s="10">
        <v>1.514</v>
      </c>
      <c r="G1973" s="10">
        <v>1.665</v>
      </c>
      <c r="H1973" s="10"/>
      <c r="I1973" s="9" t="s">
        <v>96</v>
      </c>
      <c r="J1973" s="9" t="s">
        <v>14282</v>
      </c>
      <c r="K1973" s="9" t="s">
        <v>14283</v>
      </c>
      <c r="L1973" s="8" t="s">
        <v>14284</v>
      </c>
      <c r="M1973" s="9" t="s">
        <v>36</v>
      </c>
      <c r="N1973" s="9" t="s">
        <v>88</v>
      </c>
      <c r="O1973" s="9">
        <f>HYPERLINK("https://www.google.com/maps/search/?api=1&amp;query=41.60762938,0.61573705", "https://www.google.com/maps/search/?api=1&amp;query=41.60762938,0.61573705")</f>
      </c>
      <c r="P1973" s="9" t="s">
        <v>2488</v>
      </c>
      <c r="Q1973" s="9" t="s">
        <v>3559</v>
      </c>
    </row>
    <row r="1974" spans="1:17" x14ac:dyDescent="0.25">
      <c r="A1974" s="8" t="s">
        <v>14285</v>
      </c>
      <c r="B1974" s="8" t="s">
        <v>14286</v>
      </c>
      <c r="C1974" s="9" t="s">
        <v>14287</v>
      </c>
      <c r="D1974" s="9" t="s">
        <v>398</v>
      </c>
      <c r="E1974" s="9" t="s">
        <v>14288</v>
      </c>
      <c r="F1974" s="10">
        <v>1.514</v>
      </c>
      <c r="G1974" s="10">
        <v>1.665</v>
      </c>
      <c r="H1974" s="10"/>
      <c r="I1974" s="9" t="s">
        <v>400</v>
      </c>
      <c r="J1974" s="9" t="s">
        <v>14289</v>
      </c>
      <c r="K1974" s="9" t="s">
        <v>14290</v>
      </c>
      <c r="L1974" s="8" t="s">
        <v>14291</v>
      </c>
      <c r="M1974" s="9" t="s">
        <v>36</v>
      </c>
      <c r="N1974" s="9" t="s">
        <v>37</v>
      </c>
      <c r="O1974" s="9">
        <f>HYPERLINK("https://www.google.com/maps/search/?api=1&amp;query=38.27587757,-0.53882375", "https://www.google.com/maps/search/?api=1&amp;query=38.27587757,-0.53882375")</f>
      </c>
      <c r="P1974" s="9" t="s">
        <v>1637</v>
      </c>
      <c r="Q1974" s="9" t="s">
        <v>14292</v>
      </c>
    </row>
    <row r="1975" spans="1:17" x14ac:dyDescent="0.25">
      <c r="A1975" s="8" t="s">
        <v>14293</v>
      </c>
      <c r="B1975" s="8" t="s">
        <v>14294</v>
      </c>
      <c r="C1975" s="9" t="s">
        <v>14295</v>
      </c>
      <c r="D1975" s="9" t="s">
        <v>658</v>
      </c>
      <c r="E1975" s="9" t="s">
        <v>14296</v>
      </c>
      <c r="F1975" s="10">
        <v>1.514</v>
      </c>
      <c r="G1975" s="10">
        <v>1.665</v>
      </c>
      <c r="H1975" s="10"/>
      <c r="I1975" s="9" t="s">
        <v>45</v>
      </c>
      <c r="J1975" s="9" t="s">
        <v>14297</v>
      </c>
      <c r="K1975" s="9" t="s">
        <v>14298</v>
      </c>
      <c r="L1975" s="8" t="s">
        <v>14299</v>
      </c>
      <c r="M1975" s="9" t="s">
        <v>49</v>
      </c>
      <c r="N1975" s="9" t="s">
        <v>211</v>
      </c>
      <c r="O1975" s="9">
        <f>HYPERLINK("https://www.google.com/maps/search/?api=1&amp;query=36.82278978,-2.58255787", "https://www.google.com/maps/search/?api=1&amp;query=36.82278978,-2.58255787")</f>
      </c>
      <c r="P1975" s="9" t="s">
        <v>266</v>
      </c>
      <c r="Q1975" s="9" t="s">
        <v>1204</v>
      </c>
    </row>
    <row r="1976" spans="1:17" x14ac:dyDescent="0.25">
      <c r="A1976" s="8" t="s">
        <v>14300</v>
      </c>
      <c r="B1976" s="8" t="s">
        <v>14301</v>
      </c>
      <c r="C1976" s="9" t="s">
        <v>14302</v>
      </c>
      <c r="D1976" s="9" t="s">
        <v>217</v>
      </c>
      <c r="E1976" s="9" t="s">
        <v>14303</v>
      </c>
      <c r="F1976" s="10">
        <v>1.514</v>
      </c>
      <c r="G1976" s="10">
        <v>1.665</v>
      </c>
      <c r="H1976" s="10"/>
      <c r="I1976" s="9" t="s">
        <v>45</v>
      </c>
      <c r="J1976" s="9" t="s">
        <v>14304</v>
      </c>
      <c r="K1976" s="9" t="s">
        <v>14305</v>
      </c>
      <c r="L1976" s="8" t="s">
        <v>14306</v>
      </c>
      <c r="M1976" s="9" t="s">
        <v>100</v>
      </c>
      <c r="N1976" s="9" t="s">
        <v>211</v>
      </c>
      <c r="O1976" s="9">
        <f>HYPERLINK("https://www.google.com/maps/search/?api=1&amp;query=36.73728714,-4.10181856", "https://www.google.com/maps/search/?api=1&amp;query=36.73728714,-4.10181856")</f>
      </c>
      <c r="P1976" s="9" t="s">
        <v>5126</v>
      </c>
      <c r="Q1976" s="9" t="s">
        <v>14307</v>
      </c>
    </row>
    <row r="1977" spans="1:17" x14ac:dyDescent="0.25">
      <c r="A1977" s="8" t="s">
        <v>14308</v>
      </c>
      <c r="B1977" s="8" t="s">
        <v>14309</v>
      </c>
      <c r="C1977" s="9" t="s">
        <v>14310</v>
      </c>
      <c r="D1977" s="9" t="s">
        <v>94</v>
      </c>
      <c r="E1977" s="9" t="s">
        <v>8029</v>
      </c>
      <c r="F1977" s="10">
        <v>1.514</v>
      </c>
      <c r="G1977" s="10">
        <v>1.665</v>
      </c>
      <c r="H1977" s="10"/>
      <c r="I1977" s="9" t="s">
        <v>96</v>
      </c>
      <c r="J1977" s="9" t="s">
        <v>14311</v>
      </c>
      <c r="K1977" s="9" t="s">
        <v>14312</v>
      </c>
      <c r="L1977" s="8" t="s">
        <v>8032</v>
      </c>
      <c r="M1977" s="9" t="s">
        <v>49</v>
      </c>
      <c r="N1977" s="9" t="s">
        <v>37</v>
      </c>
      <c r="O1977" s="9">
        <f>HYPERLINK("https://www.google.com/maps/search/?api=1&amp;query=41.58743936,1.62023573", "https://www.google.com/maps/search/?api=1&amp;query=41.58743936,1.62023573")</f>
      </c>
      <c r="P1977" s="9" t="s">
        <v>5365</v>
      </c>
      <c r="Q1977" s="9" t="s">
        <v>14313</v>
      </c>
    </row>
    <row r="1978" spans="1:17" x14ac:dyDescent="0.25">
      <c r="A1978" s="8" t="s">
        <v>14314</v>
      </c>
      <c r="B1978" s="8" t="s">
        <v>14315</v>
      </c>
      <c r="C1978" s="9" t="s">
        <v>14316</v>
      </c>
      <c r="D1978" s="9" t="s">
        <v>409</v>
      </c>
      <c r="E1978" s="9" t="s">
        <v>409</v>
      </c>
      <c r="F1978" s="10">
        <v>1.514</v>
      </c>
      <c r="G1978" s="10">
        <v>1.665</v>
      </c>
      <c r="H1978" s="10"/>
      <c r="I1978" s="9" t="s">
        <v>292</v>
      </c>
      <c r="J1978" s="9" t="s">
        <v>14317</v>
      </c>
      <c r="K1978" s="9" t="s">
        <v>14318</v>
      </c>
      <c r="L1978" s="8" t="s">
        <v>8901</v>
      </c>
      <c r="M1978" s="9" t="s">
        <v>49</v>
      </c>
      <c r="N1978" s="9" t="s">
        <v>14319</v>
      </c>
      <c r="O1978" s="9">
        <f>HYPERLINK("https://www.google.com/maps/search/?api=1&amp;query=41.66079016,-0.92730646", "https://www.google.com/maps/search/?api=1&amp;query=41.66079016,-0.92730646")</f>
      </c>
      <c r="P1978" s="9" t="s">
        <v>38</v>
      </c>
      <c r="Q1978" s="9" t="s">
        <v>14320</v>
      </c>
    </row>
    <row r="1979" spans="1:17" x14ac:dyDescent="0.25">
      <c r="A1979" s="8" t="s">
        <v>14321</v>
      </c>
      <c r="B1979" s="8" t="s">
        <v>14322</v>
      </c>
      <c r="C1979" s="9" t="s">
        <v>14323</v>
      </c>
      <c r="D1979" s="9" t="s">
        <v>217</v>
      </c>
      <c r="E1979" s="9" t="s">
        <v>271</v>
      </c>
      <c r="F1979" s="10">
        <v>1.514</v>
      </c>
      <c r="G1979" s="10">
        <v>1.665</v>
      </c>
      <c r="H1979" s="10"/>
      <c r="I1979" s="9" t="s">
        <v>45</v>
      </c>
      <c r="J1979" s="9" t="s">
        <v>14324</v>
      </c>
      <c r="K1979" s="9" t="s">
        <v>14325</v>
      </c>
      <c r="L1979" s="8" t="s">
        <v>14326</v>
      </c>
      <c r="M1979" s="9" t="s">
        <v>49</v>
      </c>
      <c r="N1979" s="9" t="s">
        <v>37</v>
      </c>
      <c r="O1979" s="9">
        <f>HYPERLINK("https://www.google.com/maps/search/?api=1&amp;query=36.72167657,-4.38057451", "https://www.google.com/maps/search/?api=1&amp;query=36.72167657,-4.38057451")</f>
      </c>
      <c r="P1979" s="9" t="s">
        <v>14327</v>
      </c>
      <c r="Q1979" s="9" t="s">
        <v>14328</v>
      </c>
    </row>
    <row r="1980" spans="1:17" x14ac:dyDescent="0.25">
      <c r="A1980" s="8" t="s">
        <v>14329</v>
      </c>
      <c r="B1980" s="8" t="s">
        <v>14330</v>
      </c>
      <c r="C1980" s="9" t="s">
        <v>14331</v>
      </c>
      <c r="D1980" s="9" t="s">
        <v>83</v>
      </c>
      <c r="E1980" s="9" t="s">
        <v>14332</v>
      </c>
      <c r="F1980" s="10">
        <v>1.514</v>
      </c>
      <c r="G1980" s="10">
        <v>1.665</v>
      </c>
      <c r="H1980" s="10"/>
      <c r="I1980" s="9" t="s">
        <v>83</v>
      </c>
      <c r="J1980" s="9" t="s">
        <v>14333</v>
      </c>
      <c r="K1980" s="9" t="s">
        <v>14334</v>
      </c>
      <c r="L1980" s="8" t="s">
        <v>14335</v>
      </c>
      <c r="M1980" s="9" t="s">
        <v>49</v>
      </c>
      <c r="N1980" s="9" t="s">
        <v>88</v>
      </c>
      <c r="O1980" s="9">
        <f>HYPERLINK("https://www.google.com/maps/search/?api=1&amp;query=40.55435639,-3.29464201", "https://www.google.com/maps/search/?api=1&amp;query=40.55435639,-3.29464201")</f>
      </c>
      <c r="P1980" s="9" t="s">
        <v>1250</v>
      </c>
      <c r="Q1980" s="9" t="s">
        <v>3744</v>
      </c>
    </row>
    <row r="1981" spans="1:17" x14ac:dyDescent="0.25">
      <c r="A1981" s="8" t="s">
        <v>14336</v>
      </c>
      <c r="B1981" s="8" t="s">
        <v>14337</v>
      </c>
      <c r="C1981" s="9" t="s">
        <v>14338</v>
      </c>
      <c r="D1981" s="9" t="s">
        <v>400</v>
      </c>
      <c r="E1981" s="9" t="s">
        <v>14339</v>
      </c>
      <c r="F1981" s="10">
        <v>1.514</v>
      </c>
      <c r="G1981" s="10">
        <v>1.665</v>
      </c>
      <c r="H1981" s="10"/>
      <c r="I1981" s="9" t="s">
        <v>400</v>
      </c>
      <c r="J1981" s="9" t="s">
        <v>14340</v>
      </c>
      <c r="K1981" s="9" t="s">
        <v>14341</v>
      </c>
      <c r="L1981" s="8" t="s">
        <v>14342</v>
      </c>
      <c r="M1981" s="9" t="s">
        <v>36</v>
      </c>
      <c r="N1981" s="9" t="s">
        <v>14343</v>
      </c>
      <c r="O1981" s="9">
        <f>HYPERLINK("https://www.google.com/maps/search/?api=1&amp;query=39.60169737,-0.72527356", "https://www.google.com/maps/search/?api=1&amp;query=39.60169737,-0.72527356")</f>
      </c>
      <c r="P1981" s="9" t="s">
        <v>5546</v>
      </c>
      <c r="Q1981" s="9" t="s">
        <v>8878</v>
      </c>
    </row>
    <row r="1982" spans="1:17" x14ac:dyDescent="0.25">
      <c r="A1982" s="8" t="s">
        <v>14344</v>
      </c>
      <c r="B1982" s="8" t="s">
        <v>14345</v>
      </c>
      <c r="C1982" s="9" t="s">
        <v>8807</v>
      </c>
      <c r="D1982" s="9" t="s">
        <v>1192</v>
      </c>
      <c r="E1982" s="9" t="s">
        <v>14346</v>
      </c>
      <c r="F1982" s="10">
        <v>1.514</v>
      </c>
      <c r="G1982" s="10">
        <v>1.665</v>
      </c>
      <c r="H1982" s="10"/>
      <c r="I1982" s="9" t="s">
        <v>168</v>
      </c>
      <c r="J1982" s="9" t="s">
        <v>14347</v>
      </c>
      <c r="K1982" s="9" t="s">
        <v>14348</v>
      </c>
      <c r="L1982" s="8" t="s">
        <v>14349</v>
      </c>
      <c r="M1982" s="9" t="s">
        <v>36</v>
      </c>
      <c r="N1982" s="9" t="s">
        <v>873</v>
      </c>
      <c r="O1982" s="9">
        <f>HYPERLINK("https://www.google.com/maps/search/?api=1&amp;query=39.12733147,-3.10887461", "https://www.google.com/maps/search/?api=1&amp;query=39.12733147,-3.10887461")</f>
      </c>
      <c r="P1982" s="9" t="s">
        <v>780</v>
      </c>
      <c r="Q1982" s="9" t="s">
        <v>14350</v>
      </c>
    </row>
    <row r="1983" spans="1:17" x14ac:dyDescent="0.25">
      <c r="A1983" s="8" t="s">
        <v>14351</v>
      </c>
      <c r="B1983" s="8" t="s">
        <v>14352</v>
      </c>
      <c r="C1983" s="9" t="s">
        <v>13013</v>
      </c>
      <c r="D1983" s="9" t="s">
        <v>155</v>
      </c>
      <c r="E1983" s="9" t="s">
        <v>13014</v>
      </c>
      <c r="F1983" s="10">
        <v>1.514</v>
      </c>
      <c r="G1983" s="10">
        <v>1.665</v>
      </c>
      <c r="H1983" s="10"/>
      <c r="I1983" s="9" t="s">
        <v>157</v>
      </c>
      <c r="J1983" s="9" t="s">
        <v>13015</v>
      </c>
      <c r="K1983" s="9" t="s">
        <v>13016</v>
      </c>
      <c r="L1983" s="8" t="s">
        <v>11954</v>
      </c>
      <c r="M1983" s="9" t="s">
        <v>49</v>
      </c>
      <c r="N1983" s="9" t="s">
        <v>5450</v>
      </c>
      <c r="O1983" s="9">
        <f>HYPERLINK("https://www.google.com/maps/search/?api=1&amp;query=39.526869,2.4867945", "https://www.google.com/maps/search/?api=1&amp;query=39.526869,2.4867945")</f>
      </c>
      <c r="P1983" s="9" t="s">
        <v>13052</v>
      </c>
      <c r="Q1983" s="9" t="s">
        <v>1131</v>
      </c>
    </row>
    <row r="1984" spans="1:17" x14ac:dyDescent="0.25">
      <c r="A1984" s="8" t="s">
        <v>14353</v>
      </c>
      <c r="B1984" s="8" t="s">
        <v>14354</v>
      </c>
      <c r="C1984" s="9" t="s">
        <v>14355</v>
      </c>
      <c r="D1984" s="9" t="s">
        <v>30</v>
      </c>
      <c r="E1984" s="9" t="s">
        <v>14356</v>
      </c>
      <c r="F1984" s="10">
        <v>1.514</v>
      </c>
      <c r="G1984" s="10">
        <v>1.665</v>
      </c>
      <c r="H1984" s="10"/>
      <c r="I1984" s="9" t="s">
        <v>32</v>
      </c>
      <c r="J1984" s="9" t="s">
        <v>14357</v>
      </c>
      <c r="K1984" s="9" t="s">
        <v>14358</v>
      </c>
      <c r="L1984" s="8" t="s">
        <v>14359</v>
      </c>
      <c r="M1984" s="9" t="s">
        <v>49</v>
      </c>
      <c r="N1984" s="9" t="s">
        <v>122</v>
      </c>
      <c r="O1984" s="9">
        <f>HYPERLINK("https://www.google.com/maps/search/?api=1&amp;query=38.27489442,-5.83092592", "https://www.google.com/maps/search/?api=1&amp;query=38.27489442,-5.83092592")</f>
      </c>
      <c r="P1984" s="9" t="s">
        <v>11119</v>
      </c>
      <c r="Q1984" s="9" t="s">
        <v>1131</v>
      </c>
    </row>
    <row r="1985" spans="1:17" x14ac:dyDescent="0.25">
      <c r="A1985" s="8" t="s">
        <v>14360</v>
      </c>
      <c r="B1985" s="8" t="s">
        <v>14361</v>
      </c>
      <c r="C1985" s="9" t="s">
        <v>14362</v>
      </c>
      <c r="D1985" s="9" t="s">
        <v>488</v>
      </c>
      <c r="E1985" s="9" t="s">
        <v>14363</v>
      </c>
      <c r="F1985" s="10">
        <v>1.514</v>
      </c>
      <c r="G1985" s="10">
        <v>1.665</v>
      </c>
      <c r="H1985" s="10"/>
      <c r="I1985" s="9" t="s">
        <v>45</v>
      </c>
      <c r="J1985" s="9" t="s">
        <v>14364</v>
      </c>
      <c r="K1985" s="9" t="s">
        <v>14365</v>
      </c>
      <c r="L1985" s="8" t="s">
        <v>14366</v>
      </c>
      <c r="M1985" s="9" t="s">
        <v>36</v>
      </c>
      <c r="N1985" s="9" t="s">
        <v>8757</v>
      </c>
      <c r="O1985" s="9">
        <f>HYPERLINK("https://www.google.com/maps/search/?api=1&amp;query=38.06027163,-3.32016732", "https://www.google.com/maps/search/?api=1&amp;query=38.06027163,-3.32016732")</f>
      </c>
      <c r="P1985" s="9" t="s">
        <v>8236</v>
      </c>
      <c r="Q1985" s="9" t="s">
        <v>8298</v>
      </c>
    </row>
    <row r="1986" spans="1:17" x14ac:dyDescent="0.25">
      <c r="A1986" s="8" t="s">
        <v>14367</v>
      </c>
      <c r="B1986" s="8" t="s">
        <v>14368</v>
      </c>
      <c r="C1986" s="9" t="s">
        <v>14369</v>
      </c>
      <c r="D1986" s="9" t="s">
        <v>400</v>
      </c>
      <c r="E1986" s="9" t="s">
        <v>11907</v>
      </c>
      <c r="F1986" s="10">
        <v>1.514</v>
      </c>
      <c r="G1986" s="10">
        <v>1.665</v>
      </c>
      <c r="H1986" s="10"/>
      <c r="I1986" s="9" t="s">
        <v>400</v>
      </c>
      <c r="J1986" s="9" t="s">
        <v>14370</v>
      </c>
      <c r="K1986" s="9" t="s">
        <v>14371</v>
      </c>
      <c r="L1986" s="8" t="s">
        <v>11910</v>
      </c>
      <c r="M1986" s="9" t="s">
        <v>36</v>
      </c>
      <c r="N1986" s="9" t="s">
        <v>3234</v>
      </c>
      <c r="O1986" s="9">
        <f>HYPERLINK("https://www.google.com/maps/search/?api=1&amp;query=39.56300441,-0.33543218", "https://www.google.com/maps/search/?api=1&amp;query=39.56300441,-0.33543218")</f>
      </c>
      <c r="P1986" s="9" t="s">
        <v>780</v>
      </c>
      <c r="Q1986" s="9" t="s">
        <v>14372</v>
      </c>
    </row>
    <row r="1987" spans="1:17" x14ac:dyDescent="0.25">
      <c r="A1987" s="8" t="s">
        <v>14373</v>
      </c>
      <c r="B1987" s="8" t="s">
        <v>14374</v>
      </c>
      <c r="C1987" s="9" t="s">
        <v>14375</v>
      </c>
      <c r="D1987" s="9" t="s">
        <v>892</v>
      </c>
      <c r="E1987" s="9" t="s">
        <v>14376</v>
      </c>
      <c r="F1987" s="10">
        <v>1.514</v>
      </c>
      <c r="G1987" s="10">
        <v>1.665</v>
      </c>
      <c r="H1987" s="10"/>
      <c r="I1987" s="9" t="s">
        <v>32</v>
      </c>
      <c r="J1987" s="9" t="s">
        <v>14377</v>
      </c>
      <c r="K1987" s="9" t="s">
        <v>14378</v>
      </c>
      <c r="L1987" s="8" t="s">
        <v>14379</v>
      </c>
      <c r="M1987" s="9" t="s">
        <v>36</v>
      </c>
      <c r="N1987" s="9" t="s">
        <v>7163</v>
      </c>
      <c r="O1987" s="9">
        <f>HYPERLINK("https://www.google.com/maps/search/?api=1&amp;query=40.19269703,-6.17725121", "https://www.google.com/maps/search/?api=1&amp;query=40.19269703,-6.17725121")</f>
      </c>
      <c r="P1987" s="9" t="s">
        <v>1373</v>
      </c>
      <c r="Q1987" s="9" t="s">
        <v>4729</v>
      </c>
    </row>
    <row r="1988" spans="1:17" x14ac:dyDescent="0.25">
      <c r="A1988" s="8" t="s">
        <v>14380</v>
      </c>
      <c r="B1988" s="8" t="s">
        <v>14381</v>
      </c>
      <c r="C1988" s="9" t="s">
        <v>14382</v>
      </c>
      <c r="D1988" s="9" t="s">
        <v>409</v>
      </c>
      <c r="E1988" s="9" t="s">
        <v>14383</v>
      </c>
      <c r="F1988" s="10">
        <v>1.514</v>
      </c>
      <c r="G1988" s="10">
        <v>1.665</v>
      </c>
      <c r="H1988" s="10"/>
      <c r="I1988" s="9" t="s">
        <v>292</v>
      </c>
      <c r="J1988" s="9" t="s">
        <v>14384</v>
      </c>
      <c r="K1988" s="9" t="s">
        <v>14385</v>
      </c>
      <c r="L1988" s="8" t="s">
        <v>14386</v>
      </c>
      <c r="M1988" s="9" t="s">
        <v>36</v>
      </c>
      <c r="N1988" s="9" t="s">
        <v>14387</v>
      </c>
      <c r="O1988" s="9">
        <f>HYPERLINK("https://www.google.com/maps/search/?api=1&amp;query=41.83620863,-1.17716596", "https://www.google.com/maps/search/?api=1&amp;query=41.83620863,-1.17716596")</f>
      </c>
      <c r="P1988" s="9" t="s">
        <v>1203</v>
      </c>
      <c r="Q1988" s="9" t="s">
        <v>14388</v>
      </c>
    </row>
    <row r="1989" spans="1:17" x14ac:dyDescent="0.25">
      <c r="A1989" s="8" t="s">
        <v>14389</v>
      </c>
      <c r="B1989" s="8" t="s">
        <v>14390</v>
      </c>
      <c r="C1989" s="9" t="s">
        <v>14391</v>
      </c>
      <c r="D1989" s="9" t="s">
        <v>400</v>
      </c>
      <c r="E1989" s="9" t="s">
        <v>400</v>
      </c>
      <c r="F1989" s="10">
        <v>1.514</v>
      </c>
      <c r="G1989" s="10">
        <v>1.665</v>
      </c>
      <c r="H1989" s="10"/>
      <c r="I1989" s="9" t="s">
        <v>400</v>
      </c>
      <c r="J1989" s="9" t="s">
        <v>14392</v>
      </c>
      <c r="K1989" s="9" t="s">
        <v>14393</v>
      </c>
      <c r="L1989" s="8" t="s">
        <v>14394</v>
      </c>
      <c r="M1989" s="9" t="s">
        <v>49</v>
      </c>
      <c r="N1989" s="9" t="s">
        <v>37</v>
      </c>
      <c r="O1989" s="9">
        <f>HYPERLINK("https://www.google.com/maps/search/?api=1&amp;query=39.48330754,-0.36252364", "https://www.google.com/maps/search/?api=1&amp;query=39.48330754,-0.36252364")</f>
      </c>
      <c r="P1989" s="9" t="s">
        <v>1471</v>
      </c>
      <c r="Q1989" s="9" t="s">
        <v>14395</v>
      </c>
    </row>
    <row r="1990" spans="1:17" x14ac:dyDescent="0.25">
      <c r="A1990" s="8" t="s">
        <v>14396</v>
      </c>
      <c r="B1990" s="8" t="s">
        <v>14397</v>
      </c>
      <c r="C1990" s="9" t="s">
        <v>14398</v>
      </c>
      <c r="D1990" s="9" t="s">
        <v>400</v>
      </c>
      <c r="E1990" s="9" t="s">
        <v>14399</v>
      </c>
      <c r="F1990" s="10">
        <v>1.514</v>
      </c>
      <c r="G1990" s="10">
        <v>1.665</v>
      </c>
      <c r="H1990" s="10"/>
      <c r="I1990" s="9" t="s">
        <v>400</v>
      </c>
      <c r="J1990" s="9" t="s">
        <v>14400</v>
      </c>
      <c r="K1990" s="9" t="s">
        <v>14401</v>
      </c>
      <c r="L1990" s="8" t="s">
        <v>14402</v>
      </c>
      <c r="M1990" s="9" t="s">
        <v>36</v>
      </c>
      <c r="N1990" s="9" t="s">
        <v>592</v>
      </c>
      <c r="O1990" s="9">
        <f>HYPERLINK("https://www.google.com/maps/search/?api=1&amp;query=39.37862286,-0.41404283", "https://www.google.com/maps/search/?api=1&amp;query=39.37862286,-0.41404283")</f>
      </c>
      <c r="P1990" s="9" t="s">
        <v>349</v>
      </c>
      <c r="Q1990" s="9" t="s">
        <v>1534</v>
      </c>
    </row>
    <row r="1991" spans="1:17" x14ac:dyDescent="0.25">
      <c r="A1991" s="8" t="s">
        <v>14403</v>
      </c>
      <c r="B1991" s="8" t="s">
        <v>14404</v>
      </c>
      <c r="C1991" s="9" t="s">
        <v>14405</v>
      </c>
      <c r="D1991" s="9" t="s">
        <v>94</v>
      </c>
      <c r="E1991" s="9" t="s">
        <v>5122</v>
      </c>
      <c r="F1991" s="10">
        <v>1.514</v>
      </c>
      <c r="G1991" s="10">
        <v>1.665</v>
      </c>
      <c r="H1991" s="10"/>
      <c r="I1991" s="9" t="s">
        <v>96</v>
      </c>
      <c r="J1991" s="9" t="s">
        <v>14406</v>
      </c>
      <c r="K1991" s="9" t="s">
        <v>14407</v>
      </c>
      <c r="L1991" s="8" t="s">
        <v>12961</v>
      </c>
      <c r="M1991" s="9" t="s">
        <v>36</v>
      </c>
      <c r="N1991" s="9" t="s">
        <v>10480</v>
      </c>
      <c r="O1991" s="9">
        <f>HYPERLINK("https://www.google.com/maps/search/?api=1&amp;query=41.5584722,2.0242223", "https://www.google.com/maps/search/?api=1&amp;query=41.5584722,2.0242223")</f>
      </c>
      <c r="P1991" s="9" t="s">
        <v>1364</v>
      </c>
      <c r="Q1991" s="9" t="s">
        <v>14408</v>
      </c>
    </row>
    <row r="1992" spans="1:17" x14ac:dyDescent="0.25">
      <c r="A1992" s="8" t="s">
        <v>14409</v>
      </c>
      <c r="B1992" s="8" t="s">
        <v>14410</v>
      </c>
      <c r="C1992" s="9" t="s">
        <v>14411</v>
      </c>
      <c r="D1992" s="9" t="s">
        <v>83</v>
      </c>
      <c r="E1992" s="9" t="s">
        <v>14412</v>
      </c>
      <c r="F1992" s="10">
        <v>1.514</v>
      </c>
      <c r="G1992" s="10">
        <v>1.665</v>
      </c>
      <c r="H1992" s="10"/>
      <c r="I1992" s="9" t="s">
        <v>83</v>
      </c>
      <c r="J1992" s="9" t="s">
        <v>14413</v>
      </c>
      <c r="K1992" s="9" t="s">
        <v>14414</v>
      </c>
      <c r="L1992" s="8" t="s">
        <v>14415</v>
      </c>
      <c r="M1992" s="9" t="s">
        <v>49</v>
      </c>
      <c r="N1992" s="9" t="s">
        <v>37</v>
      </c>
      <c r="O1992" s="9">
        <f>HYPERLINK("https://www.google.com/maps/search/?api=1&amp;query=40.16601521,-3.66954251", "https://www.google.com/maps/search/?api=1&amp;query=40.16601521,-3.66954251")</f>
      </c>
      <c r="P1992" s="9" t="s">
        <v>321</v>
      </c>
      <c r="Q1992" s="9" t="s">
        <v>7816</v>
      </c>
    </row>
    <row r="1993" spans="1:17" x14ac:dyDescent="0.25">
      <c r="A1993" s="8" t="s">
        <v>14416</v>
      </c>
      <c r="B1993" s="8" t="s">
        <v>14417</v>
      </c>
      <c r="C1993" s="9" t="s">
        <v>14418</v>
      </c>
      <c r="D1993" s="9" t="s">
        <v>658</v>
      </c>
      <c r="E1993" s="9" t="s">
        <v>14419</v>
      </c>
      <c r="F1993" s="10">
        <v>1.514</v>
      </c>
      <c r="G1993" s="10">
        <v>1.665</v>
      </c>
      <c r="H1993" s="10"/>
      <c r="I1993" s="9" t="s">
        <v>45</v>
      </c>
      <c r="J1993" s="9" t="s">
        <v>14420</v>
      </c>
      <c r="K1993" s="9" t="s">
        <v>14421</v>
      </c>
      <c r="L1993" s="8" t="s">
        <v>14422</v>
      </c>
      <c r="M1993" s="9" t="s">
        <v>36</v>
      </c>
      <c r="N1993" s="9" t="s">
        <v>645</v>
      </c>
      <c r="O1993" s="9">
        <f>HYPERLINK("https://www.google.com/maps/search/?api=1&amp;query=37.59596154,-2.28109799", "https://www.google.com/maps/search/?api=1&amp;query=37.59596154,-2.28109799")</f>
      </c>
      <c r="P1993" s="9" t="s">
        <v>14423</v>
      </c>
      <c r="Q1993" s="9" t="s">
        <v>14424</v>
      </c>
    </row>
    <row r="1994" spans="1:17" x14ac:dyDescent="0.25">
      <c r="A1994" s="8" t="s">
        <v>14425</v>
      </c>
      <c r="B1994" s="8" t="s">
        <v>14426</v>
      </c>
      <c r="C1994" s="9" t="s">
        <v>14427</v>
      </c>
      <c r="D1994" s="9" t="s">
        <v>138</v>
      </c>
      <c r="E1994" s="9" t="s">
        <v>14428</v>
      </c>
      <c r="F1994" s="10">
        <v>1.514</v>
      </c>
      <c r="G1994" s="10">
        <v>1.665</v>
      </c>
      <c r="H1994" s="10"/>
      <c r="I1994" s="9" t="s">
        <v>140</v>
      </c>
      <c r="J1994" s="9" t="s">
        <v>14429</v>
      </c>
      <c r="K1994" s="9" t="s">
        <v>14430</v>
      </c>
      <c r="L1994" s="8" t="s">
        <v>14431</v>
      </c>
      <c r="M1994" s="9" t="s">
        <v>36</v>
      </c>
      <c r="N1994" s="9" t="s">
        <v>8843</v>
      </c>
      <c r="O1994" s="9">
        <f>HYPERLINK("https://www.google.com/maps/search/?api=1&amp;query=42.72574908,-8.65288361", "https://www.google.com/maps/search/?api=1&amp;query=42.72574908,-8.65288361")</f>
      </c>
      <c r="P1994" s="9" t="s">
        <v>2442</v>
      </c>
      <c r="Q1994" s="9" t="s">
        <v>6936</v>
      </c>
    </row>
    <row r="1995" spans="1:17" x14ac:dyDescent="0.25">
      <c r="A1995" s="8" t="s">
        <v>14432</v>
      </c>
      <c r="B1995" s="8" t="s">
        <v>14433</v>
      </c>
      <c r="C1995" s="9" t="s">
        <v>14434</v>
      </c>
      <c r="D1995" s="9" t="s">
        <v>61</v>
      </c>
      <c r="E1995" s="9" t="s">
        <v>14435</v>
      </c>
      <c r="F1995" s="10">
        <v>1.514</v>
      </c>
      <c r="G1995" s="10">
        <v>1.665</v>
      </c>
      <c r="H1995" s="10"/>
      <c r="I1995" s="9" t="s">
        <v>45</v>
      </c>
      <c r="J1995" s="9" t="s">
        <v>14436</v>
      </c>
      <c r="K1995" s="9" t="s">
        <v>14437</v>
      </c>
      <c r="L1995" s="8" t="s">
        <v>14438</v>
      </c>
      <c r="M1995" s="9" t="s">
        <v>49</v>
      </c>
      <c r="N1995" s="9" t="s">
        <v>14439</v>
      </c>
      <c r="O1995" s="9">
        <f>HYPERLINK("https://www.google.com/maps/search/?api=1&amp;query=37.10754358,-5.94646229", "https://www.google.com/maps/search/?api=1&amp;query=37.10754358,-5.94646229")</f>
      </c>
      <c r="P1995" s="9" t="s">
        <v>4191</v>
      </c>
      <c r="Q1995" s="9" t="s">
        <v>112</v>
      </c>
    </row>
    <row r="1996" spans="1:17" x14ac:dyDescent="0.25">
      <c r="A1996" s="8" t="s">
        <v>14440</v>
      </c>
      <c r="B1996" s="8" t="s">
        <v>14441</v>
      </c>
      <c r="C1996" s="9" t="s">
        <v>14442</v>
      </c>
      <c r="D1996" s="9" t="s">
        <v>631</v>
      </c>
      <c r="E1996" s="9" t="s">
        <v>14443</v>
      </c>
      <c r="F1996" s="10">
        <v>1.514</v>
      </c>
      <c r="G1996" s="10">
        <v>1.665</v>
      </c>
      <c r="H1996" s="10"/>
      <c r="I1996" s="9" t="s">
        <v>45</v>
      </c>
      <c r="J1996" s="9" t="s">
        <v>14444</v>
      </c>
      <c r="K1996" s="9" t="s">
        <v>14445</v>
      </c>
      <c r="L1996" s="8" t="s">
        <v>14446</v>
      </c>
      <c r="M1996" s="9" t="s">
        <v>36</v>
      </c>
      <c r="N1996" s="9" t="s">
        <v>88</v>
      </c>
      <c r="O1996" s="9">
        <f>HYPERLINK("https://www.google.com/maps/search/?api=1&amp;query=37.73753187,-4.64651064", "https://www.google.com/maps/search/?api=1&amp;query=37.73753187,-4.64651064")</f>
      </c>
      <c r="P1996" s="9" t="s">
        <v>1741</v>
      </c>
      <c r="Q1996" s="9" t="s">
        <v>1131</v>
      </c>
    </row>
    <row r="1997" spans="1:17" x14ac:dyDescent="0.25">
      <c r="A1997" s="8" t="s">
        <v>14447</v>
      </c>
      <c r="B1997" s="8" t="s">
        <v>14448</v>
      </c>
      <c r="C1997" s="9" t="s">
        <v>14449</v>
      </c>
      <c r="D1997" s="9" t="s">
        <v>1847</v>
      </c>
      <c r="E1997" s="9" t="s">
        <v>14450</v>
      </c>
      <c r="F1997" s="10">
        <v>1.514</v>
      </c>
      <c r="G1997" s="10">
        <v>1.665</v>
      </c>
      <c r="H1997" s="10"/>
      <c r="I1997" s="9" t="s">
        <v>74</v>
      </c>
      <c r="J1997" s="9" t="s">
        <v>14451</v>
      </c>
      <c r="K1997" s="9" t="s">
        <v>14452</v>
      </c>
      <c r="L1997" s="8" t="s">
        <v>14453</v>
      </c>
      <c r="M1997" s="9" t="s">
        <v>36</v>
      </c>
      <c r="N1997" s="9" t="s">
        <v>3164</v>
      </c>
      <c r="O1997" s="9">
        <f>HYPERLINK("https://www.google.com/maps/search/?api=1&amp;query=40.9030517,-4.01531806", "https://www.google.com/maps/search/?api=1&amp;query=40.9030517,-4.01531806")</f>
      </c>
      <c r="P1997" s="9" t="s">
        <v>1203</v>
      </c>
      <c r="Q1997" s="9" t="s">
        <v>1131</v>
      </c>
    </row>
    <row r="1998" spans="1:17" x14ac:dyDescent="0.25">
      <c r="A1998" s="8" t="s">
        <v>14454</v>
      </c>
      <c r="B1998" s="8" t="s">
        <v>14455</v>
      </c>
      <c r="C1998" s="9" t="s">
        <v>14456</v>
      </c>
      <c r="D1998" s="9" t="s">
        <v>424</v>
      </c>
      <c r="E1998" s="9" t="s">
        <v>14457</v>
      </c>
      <c r="F1998" s="10">
        <v>1.514</v>
      </c>
      <c r="G1998" s="10">
        <v>1.665</v>
      </c>
      <c r="H1998" s="10"/>
      <c r="I1998" s="9" t="s">
        <v>96</v>
      </c>
      <c r="J1998" s="9" t="s">
        <v>14458</v>
      </c>
      <c r="K1998" s="9" t="s">
        <v>14459</v>
      </c>
      <c r="L1998" s="8" t="s">
        <v>14460</v>
      </c>
      <c r="M1998" s="9" t="s">
        <v>49</v>
      </c>
      <c r="N1998" s="9" t="s">
        <v>5186</v>
      </c>
      <c r="O1998" s="9">
        <f>HYPERLINK("https://www.google.com/maps/search/?api=1&amp;query=42.21205079,1.33030937", "https://www.google.com/maps/search/?api=1&amp;query=42.21205079,1.33030937")</f>
      </c>
      <c r="P1998" s="9" t="s">
        <v>880</v>
      </c>
      <c r="Q1998" s="9" t="s">
        <v>8878</v>
      </c>
    </row>
    <row r="1999" spans="1:17" x14ac:dyDescent="0.25">
      <c r="A1999" s="8" t="s">
        <v>14461</v>
      </c>
      <c r="B1999" s="8" t="s">
        <v>14462</v>
      </c>
      <c r="C1999" s="9" t="s">
        <v>14463</v>
      </c>
      <c r="D1999" s="9" t="s">
        <v>197</v>
      </c>
      <c r="E1999" s="9" t="s">
        <v>14464</v>
      </c>
      <c r="F1999" s="10">
        <v>1.514</v>
      </c>
      <c r="G1999" s="10">
        <v>1.665</v>
      </c>
      <c r="H1999" s="10"/>
      <c r="I1999" s="9" t="s">
        <v>168</v>
      </c>
      <c r="J1999" s="9" t="s">
        <v>14465</v>
      </c>
      <c r="K1999" s="9" t="s">
        <v>14466</v>
      </c>
      <c r="L1999" s="8" t="s">
        <v>14467</v>
      </c>
      <c r="M1999" s="9" t="s">
        <v>36</v>
      </c>
      <c r="N1999" s="9" t="s">
        <v>14468</v>
      </c>
      <c r="O1999" s="9">
        <f>HYPERLINK("https://www.google.com/maps/search/?api=1&amp;query=39.58031978,-3.867164", "https://www.google.com/maps/search/?api=1&amp;query=39.58031978,-3.867164")</f>
      </c>
      <c r="P1999" s="9" t="s">
        <v>1439</v>
      </c>
      <c r="Q1999" s="9" t="s">
        <v>1131</v>
      </c>
    </row>
    <row r="2000" spans="1:17" x14ac:dyDescent="0.25">
      <c r="A2000" s="8" t="s">
        <v>14469</v>
      </c>
      <c r="B2000" s="8" t="s">
        <v>14470</v>
      </c>
      <c r="C2000" s="9" t="s">
        <v>14471</v>
      </c>
      <c r="D2000" s="9" t="s">
        <v>226</v>
      </c>
      <c r="E2000" s="9" t="s">
        <v>14472</v>
      </c>
      <c r="F2000" s="10">
        <v>1.514</v>
      </c>
      <c r="G2000" s="10">
        <v>1.665</v>
      </c>
      <c r="H2000" s="10"/>
      <c r="I2000" s="9" t="s">
        <v>168</v>
      </c>
      <c r="J2000" s="9" t="s">
        <v>14473</v>
      </c>
      <c r="K2000" s="9" t="s">
        <v>14474</v>
      </c>
      <c r="L2000" s="8" t="s">
        <v>14475</v>
      </c>
      <c r="M2000" s="9" t="s">
        <v>36</v>
      </c>
      <c r="N2000" s="9" t="s">
        <v>7288</v>
      </c>
      <c r="O2000" s="9">
        <f>HYPERLINK("https://www.google.com/maps/search/?api=1&amp;query=39.53354038,-1.60013094", "https://www.google.com/maps/search/?api=1&amp;query=39.53354038,-1.60013094")</f>
      </c>
      <c r="P2000" s="9" t="s">
        <v>8200</v>
      </c>
      <c r="Q2000" s="9" t="s">
        <v>14476</v>
      </c>
    </row>
    <row r="2001" spans="1:17" x14ac:dyDescent="0.25">
      <c r="A2001" s="8" t="s">
        <v>14477</v>
      </c>
      <c r="B2001" s="8" t="s">
        <v>14478</v>
      </c>
      <c r="C2001" s="9" t="s">
        <v>14479</v>
      </c>
      <c r="D2001" s="9" t="s">
        <v>94</v>
      </c>
      <c r="E2001" s="9" t="s">
        <v>8724</v>
      </c>
      <c r="F2001" s="10">
        <v>1.514</v>
      </c>
      <c r="G2001" s="10">
        <v>1.665</v>
      </c>
      <c r="H2001" s="10"/>
      <c r="I2001" s="9" t="s">
        <v>96</v>
      </c>
      <c r="J2001" s="9" t="s">
        <v>14480</v>
      </c>
      <c r="K2001" s="9" t="s">
        <v>14481</v>
      </c>
      <c r="L2001" s="8" t="s">
        <v>8727</v>
      </c>
      <c r="M2001" s="9" t="s">
        <v>49</v>
      </c>
      <c r="N2001" s="9" t="s">
        <v>37</v>
      </c>
      <c r="O2001" s="9">
        <f>HYPERLINK("https://www.google.com/maps/search/?api=1&amp;query=41.58920869,2.24793854", "https://www.google.com/maps/search/?api=1&amp;query=41.58920869,2.24793854")</f>
      </c>
      <c r="P2001" s="9" t="s">
        <v>1645</v>
      </c>
      <c r="Q2001" s="9" t="s">
        <v>14482</v>
      </c>
    </row>
    <row r="2002" spans="1:17" x14ac:dyDescent="0.25">
      <c r="A2002" s="8" t="s">
        <v>14483</v>
      </c>
      <c r="B2002" s="8" t="s">
        <v>14484</v>
      </c>
      <c r="C2002" s="9" t="s">
        <v>14485</v>
      </c>
      <c r="D2002" s="9" t="s">
        <v>155</v>
      </c>
      <c r="E2002" s="9" t="s">
        <v>14486</v>
      </c>
      <c r="F2002" s="10">
        <v>1.514</v>
      </c>
      <c r="G2002" s="10">
        <v>1.665</v>
      </c>
      <c r="H2002" s="10"/>
      <c r="I2002" s="9" t="s">
        <v>157</v>
      </c>
      <c r="J2002" s="9" t="s">
        <v>14487</v>
      </c>
      <c r="K2002" s="9" t="s">
        <v>14488</v>
      </c>
      <c r="L2002" s="8" t="s">
        <v>14489</v>
      </c>
      <c r="M2002" s="9" t="s">
        <v>36</v>
      </c>
      <c r="N2002" s="9" t="s">
        <v>7745</v>
      </c>
      <c r="O2002" s="9">
        <f>HYPERLINK("https://www.google.com/maps/search/?api=1&amp;query=39.60078258,3.27071481", "https://www.google.com/maps/search/?api=1&amp;query=39.60078258,3.27071481")</f>
      </c>
      <c r="P2002" s="9" t="s">
        <v>1250</v>
      </c>
      <c r="Q2002" s="9" t="s">
        <v>3771</v>
      </c>
    </row>
    <row r="2003" spans="1:17" x14ac:dyDescent="0.25">
      <c r="A2003" s="8" t="s">
        <v>14490</v>
      </c>
      <c r="B2003" s="8" t="s">
        <v>14491</v>
      </c>
      <c r="C2003" s="9" t="s">
        <v>14492</v>
      </c>
      <c r="D2003" s="9" t="s">
        <v>83</v>
      </c>
      <c r="E2003" s="9" t="s">
        <v>83</v>
      </c>
      <c r="F2003" s="10">
        <v>1.514</v>
      </c>
      <c r="G2003" s="10">
        <v>1.665</v>
      </c>
      <c r="H2003" s="10"/>
      <c r="I2003" s="9" t="s">
        <v>83</v>
      </c>
      <c r="J2003" s="9" t="s">
        <v>14493</v>
      </c>
      <c r="K2003" s="9" t="s">
        <v>14494</v>
      </c>
      <c r="L2003" s="8" t="s">
        <v>4960</v>
      </c>
      <c r="M2003" s="9" t="s">
        <v>49</v>
      </c>
      <c r="N2003" s="9" t="s">
        <v>37</v>
      </c>
      <c r="O2003" s="9">
        <f>HYPERLINK("https://www.google.com/maps/search/?api=1&amp;query=40.35830522,-3.75464629", "https://www.google.com/maps/search/?api=1&amp;query=40.35830522,-3.75464629")</f>
      </c>
      <c r="P2003" s="9" t="s">
        <v>144</v>
      </c>
      <c r="Q2003" s="9" t="s">
        <v>14495</v>
      </c>
    </row>
    <row r="2004" spans="1:17" x14ac:dyDescent="0.25">
      <c r="A2004" s="8" t="s">
        <v>14496</v>
      </c>
      <c r="B2004" s="8" t="s">
        <v>14497</v>
      </c>
      <c r="C2004" s="9" t="s">
        <v>14498</v>
      </c>
      <c r="D2004" s="9" t="s">
        <v>400</v>
      </c>
      <c r="E2004" s="9" t="s">
        <v>14499</v>
      </c>
      <c r="F2004" s="10">
        <v>1.514</v>
      </c>
      <c r="G2004" s="10">
        <v>1.665</v>
      </c>
      <c r="H2004" s="10"/>
      <c r="I2004" s="9" t="s">
        <v>400</v>
      </c>
      <c r="J2004" s="9" t="s">
        <v>14500</v>
      </c>
      <c r="K2004" s="9" t="s">
        <v>14501</v>
      </c>
      <c r="L2004" s="8" t="s">
        <v>14502</v>
      </c>
      <c r="M2004" s="9" t="s">
        <v>49</v>
      </c>
      <c r="N2004" s="9" t="s">
        <v>2856</v>
      </c>
      <c r="O2004" s="9">
        <f>HYPERLINK("https://www.google.com/maps/search/?api=1&amp;query=39.22050608,-0.42184621", "https://www.google.com/maps/search/?api=1&amp;query=39.22050608,-0.42184621")</f>
      </c>
      <c r="P2004" s="9" t="s">
        <v>1250</v>
      </c>
      <c r="Q2004" s="9" t="s">
        <v>2818</v>
      </c>
    </row>
    <row r="2005" spans="1:17" x14ac:dyDescent="0.25">
      <c r="A2005" s="8" t="s">
        <v>14503</v>
      </c>
      <c r="B2005" s="8" t="s">
        <v>14504</v>
      </c>
      <c r="C2005" s="9" t="s">
        <v>14505</v>
      </c>
      <c r="D2005" s="9" t="s">
        <v>400</v>
      </c>
      <c r="E2005" s="9" t="s">
        <v>14506</v>
      </c>
      <c r="F2005" s="10">
        <v>1.514</v>
      </c>
      <c r="G2005" s="10">
        <v>1.665</v>
      </c>
      <c r="H2005" s="10"/>
      <c r="I2005" s="9" t="s">
        <v>400</v>
      </c>
      <c r="J2005" s="9" t="s">
        <v>14507</v>
      </c>
      <c r="K2005" s="9" t="s">
        <v>14508</v>
      </c>
      <c r="L2005" s="8" t="s">
        <v>14509</v>
      </c>
      <c r="M2005" s="9" t="s">
        <v>36</v>
      </c>
      <c r="N2005" s="9" t="s">
        <v>14510</v>
      </c>
      <c r="O2005" s="9">
        <f>HYPERLINK("https://www.google.com/maps/search/?api=1&amp;query=38.99431177,-0.52433416", "https://www.google.com/maps/search/?api=1&amp;query=38.99431177,-0.52433416")</f>
      </c>
      <c r="P2005" s="9" t="s">
        <v>14511</v>
      </c>
      <c r="Q2005" s="9" t="s">
        <v>8215</v>
      </c>
    </row>
    <row r="2006" spans="1:17" x14ac:dyDescent="0.25">
      <c r="A2006" s="8" t="s">
        <v>14512</v>
      </c>
      <c r="B2006" s="8" t="s">
        <v>14513</v>
      </c>
      <c r="C2006" s="9" t="s">
        <v>14514</v>
      </c>
      <c r="D2006" s="9" t="s">
        <v>892</v>
      </c>
      <c r="E2006" s="9" t="s">
        <v>14515</v>
      </c>
      <c r="F2006" s="10">
        <v>1.514</v>
      </c>
      <c r="G2006" s="10">
        <v>1.665</v>
      </c>
      <c r="H2006" s="10"/>
      <c r="I2006" s="9" t="s">
        <v>32</v>
      </c>
      <c r="J2006" s="9" t="s">
        <v>14516</v>
      </c>
      <c r="K2006" s="9" t="s">
        <v>14517</v>
      </c>
      <c r="L2006" s="8" t="s">
        <v>14518</v>
      </c>
      <c r="M2006" s="9" t="s">
        <v>36</v>
      </c>
      <c r="N2006" s="9" t="s">
        <v>88</v>
      </c>
      <c r="O2006" s="9">
        <f>HYPERLINK("https://www.google.com/maps/search/?api=1&amp;query=40.13647831,-5.89087554", "https://www.google.com/maps/search/?api=1&amp;query=40.13647831,-5.89087554")</f>
      </c>
      <c r="P2006" s="9" t="s">
        <v>7403</v>
      </c>
      <c r="Q2006" s="9" t="s">
        <v>647</v>
      </c>
    </row>
    <row r="2007" spans="1:17" x14ac:dyDescent="0.25">
      <c r="A2007" s="8" t="s">
        <v>14519</v>
      </c>
      <c r="B2007" s="8" t="s">
        <v>14520</v>
      </c>
      <c r="C2007" s="9" t="s">
        <v>14521</v>
      </c>
      <c r="D2007" s="9" t="s">
        <v>2050</v>
      </c>
      <c r="E2007" s="9" t="s">
        <v>14522</v>
      </c>
      <c r="F2007" s="10">
        <v>1.514</v>
      </c>
      <c r="G2007" s="10">
        <v>1.665</v>
      </c>
      <c r="H2007" s="10"/>
      <c r="I2007" s="9" t="s">
        <v>140</v>
      </c>
      <c r="J2007" s="9" t="s">
        <v>14523</v>
      </c>
      <c r="K2007" s="9" t="s">
        <v>14524</v>
      </c>
      <c r="L2007" s="8" t="s">
        <v>14525</v>
      </c>
      <c r="M2007" s="9" t="s">
        <v>36</v>
      </c>
      <c r="N2007" s="9" t="s">
        <v>14526</v>
      </c>
      <c r="O2007" s="9">
        <f>HYPERLINK("https://www.google.com/maps/search/?api=1&amp;query=42.18889669,-7.10108477", "https://www.google.com/maps/search/?api=1&amp;query=42.18889669,-7.10108477")</f>
      </c>
      <c r="P2007" s="9" t="s">
        <v>5394</v>
      </c>
      <c r="Q2007" s="9" t="s">
        <v>14527</v>
      </c>
    </row>
    <row r="2008" spans="1:17" x14ac:dyDescent="0.25">
      <c r="A2008" s="8" t="s">
        <v>14528</v>
      </c>
      <c r="B2008" s="8" t="s">
        <v>14529</v>
      </c>
      <c r="C2008" s="9" t="s">
        <v>14530</v>
      </c>
      <c r="D2008" s="9" t="s">
        <v>444</v>
      </c>
      <c r="E2008" s="9" t="s">
        <v>14531</v>
      </c>
      <c r="F2008" s="10">
        <v>1.514</v>
      </c>
      <c r="G2008" s="10">
        <v>1.665</v>
      </c>
      <c r="H2008" s="10"/>
      <c r="I2008" s="9" t="s">
        <v>444</v>
      </c>
      <c r="J2008" s="9" t="s">
        <v>14532</v>
      </c>
      <c r="K2008" s="9" t="s">
        <v>14533</v>
      </c>
      <c r="L2008" s="8" t="s">
        <v>11285</v>
      </c>
      <c r="M2008" s="9" t="s">
        <v>49</v>
      </c>
      <c r="N2008" s="9" t="s">
        <v>211</v>
      </c>
      <c r="O2008" s="9">
        <f>HYPERLINK("https://www.google.com/maps/search/?api=1&amp;query=43.3966177,-5.81408044", "https://www.google.com/maps/search/?api=1&amp;query=43.3966177,-5.81408044")</f>
      </c>
      <c r="P2008" s="9" t="s">
        <v>965</v>
      </c>
      <c r="Q2008" s="9" t="s">
        <v>8228</v>
      </c>
    </row>
    <row r="2009" spans="1:17" x14ac:dyDescent="0.25">
      <c r="A2009" s="8" t="s">
        <v>14534</v>
      </c>
      <c r="B2009" s="8" t="s">
        <v>14535</v>
      </c>
      <c r="C2009" s="9" t="s">
        <v>14536</v>
      </c>
      <c r="D2009" s="9" t="s">
        <v>379</v>
      </c>
      <c r="E2009" s="9" t="s">
        <v>7340</v>
      </c>
      <c r="F2009" s="10">
        <v>1.514</v>
      </c>
      <c r="G2009" s="10">
        <v>1.665</v>
      </c>
      <c r="H2009" s="10"/>
      <c r="I2009" s="9" t="s">
        <v>379</v>
      </c>
      <c r="J2009" s="9" t="s">
        <v>14537</v>
      </c>
      <c r="K2009" s="9" t="s">
        <v>14538</v>
      </c>
      <c r="L2009" s="8" t="s">
        <v>7343</v>
      </c>
      <c r="M2009" s="9" t="s">
        <v>49</v>
      </c>
      <c r="N2009" s="9" t="s">
        <v>14539</v>
      </c>
      <c r="O2009" s="9">
        <f>HYPERLINK("https://www.google.com/maps/search/?api=1&amp;query=42.75660095,-1.62403855", "https://www.google.com/maps/search/?api=1&amp;query=42.75660095,-1.62403855")</f>
      </c>
      <c r="P2009" s="9" t="s">
        <v>2213</v>
      </c>
      <c r="Q2009" s="9" t="s">
        <v>12885</v>
      </c>
    </row>
    <row r="2010" spans="1:17" x14ac:dyDescent="0.25">
      <c r="A2010" s="8" t="s">
        <v>14540</v>
      </c>
      <c r="B2010" s="8" t="s">
        <v>14541</v>
      </c>
      <c r="C2010" s="9" t="s">
        <v>14542</v>
      </c>
      <c r="D2010" s="9" t="s">
        <v>187</v>
      </c>
      <c r="E2010" s="9" t="s">
        <v>11128</v>
      </c>
      <c r="F2010" s="10">
        <v>1.514</v>
      </c>
      <c r="G2010" s="10">
        <v>1.665</v>
      </c>
      <c r="H2010" s="10"/>
      <c r="I2010" s="9" t="s">
        <v>74</v>
      </c>
      <c r="J2010" s="9" t="s">
        <v>14543</v>
      </c>
      <c r="K2010" s="9" t="s">
        <v>14544</v>
      </c>
      <c r="L2010" s="8" t="s">
        <v>11131</v>
      </c>
      <c r="M2010" s="9" t="s">
        <v>49</v>
      </c>
      <c r="N2010" s="9" t="s">
        <v>14545</v>
      </c>
      <c r="O2010" s="9">
        <f>HYPERLINK("https://www.google.com/maps/search/?api=1&amp;query=42.56669507,-6.65794299", "https://www.google.com/maps/search/?api=1&amp;query=42.56669507,-6.65794299")</f>
      </c>
      <c r="P2010" s="9" t="s">
        <v>6227</v>
      </c>
      <c r="Q2010" s="9" t="s">
        <v>7794</v>
      </c>
    </row>
    <row r="2011" spans="1:17" x14ac:dyDescent="0.25">
      <c r="A2011" s="8" t="s">
        <v>14546</v>
      </c>
      <c r="B2011" s="8" t="s">
        <v>14547</v>
      </c>
      <c r="C2011" s="9" t="s">
        <v>14548</v>
      </c>
      <c r="D2011" s="9" t="s">
        <v>217</v>
      </c>
      <c r="E2011" s="9" t="s">
        <v>14549</v>
      </c>
      <c r="F2011" s="10">
        <v>1.514</v>
      </c>
      <c r="G2011" s="10">
        <v>1.665</v>
      </c>
      <c r="H2011" s="10"/>
      <c r="I2011" s="9" t="s">
        <v>45</v>
      </c>
      <c r="J2011" s="9" t="s">
        <v>14550</v>
      </c>
      <c r="K2011" s="9" t="s">
        <v>14551</v>
      </c>
      <c r="L2011" s="8" t="s">
        <v>14552</v>
      </c>
      <c r="M2011" s="9" t="s">
        <v>49</v>
      </c>
      <c r="N2011" s="9" t="s">
        <v>88</v>
      </c>
      <c r="O2011" s="9">
        <f>HYPERLINK("https://www.google.com/maps/search/?api=1&amp;query=36.78681191,-5.1426766", "https://www.google.com/maps/search/?api=1&amp;query=36.78681191,-5.1426766")</f>
      </c>
      <c r="P2011" s="9" t="s">
        <v>4045</v>
      </c>
      <c r="Q2011" s="9" t="s">
        <v>7480</v>
      </c>
    </row>
    <row r="2012" spans="1:17" x14ac:dyDescent="0.25">
      <c r="A2012" s="8" t="s">
        <v>14553</v>
      </c>
      <c r="B2012" s="8" t="s">
        <v>14554</v>
      </c>
      <c r="C2012" s="9" t="s">
        <v>14555</v>
      </c>
      <c r="D2012" s="9" t="s">
        <v>138</v>
      </c>
      <c r="E2012" s="9" t="s">
        <v>10689</v>
      </c>
      <c r="F2012" s="10">
        <v>1.514</v>
      </c>
      <c r="G2012" s="10">
        <v>1.665</v>
      </c>
      <c r="H2012" s="10"/>
      <c r="I2012" s="9" t="s">
        <v>140</v>
      </c>
      <c r="J2012" s="9" t="s">
        <v>14556</v>
      </c>
      <c r="K2012" s="9" t="s">
        <v>14557</v>
      </c>
      <c r="L2012" s="8" t="s">
        <v>10692</v>
      </c>
      <c r="M2012" s="9" t="s">
        <v>49</v>
      </c>
      <c r="N2012" s="9" t="s">
        <v>14558</v>
      </c>
      <c r="O2012" s="9">
        <f>HYPERLINK("https://www.google.com/maps/search/?api=1&amp;query=42.59252333,-8.77349272", "https://www.google.com/maps/search/?api=1&amp;query=42.59252333,-8.77349272")</f>
      </c>
      <c r="P2012" s="9" t="s">
        <v>3685</v>
      </c>
      <c r="Q2012" s="9" t="s">
        <v>1742</v>
      </c>
    </row>
    <row r="2013" spans="1:17" x14ac:dyDescent="0.25">
      <c r="A2013" s="8" t="s">
        <v>14559</v>
      </c>
      <c r="B2013" s="8" t="s">
        <v>14560</v>
      </c>
      <c r="C2013" s="9" t="s">
        <v>14561</v>
      </c>
      <c r="D2013" s="9" t="s">
        <v>177</v>
      </c>
      <c r="E2013" s="9" t="s">
        <v>14562</v>
      </c>
      <c r="F2013" s="10">
        <v>1.514</v>
      </c>
      <c r="G2013" s="10">
        <v>1.665</v>
      </c>
      <c r="H2013" s="10"/>
      <c r="I2013" s="9" t="s">
        <v>74</v>
      </c>
      <c r="J2013" s="9" t="s">
        <v>14563</v>
      </c>
      <c r="K2013" s="9" t="s">
        <v>14564</v>
      </c>
      <c r="L2013" s="8" t="s">
        <v>14565</v>
      </c>
      <c r="M2013" s="9" t="s">
        <v>49</v>
      </c>
      <c r="N2013" s="9" t="s">
        <v>14566</v>
      </c>
      <c r="O2013" s="9">
        <f>HYPERLINK("https://www.google.com/maps/search/?api=1&amp;query=41.61301086,-4.17532449", "https://www.google.com/maps/search/?api=1&amp;query=41.61301086,-4.17532449")</f>
      </c>
      <c r="P2013" s="9" t="s">
        <v>10950</v>
      </c>
      <c r="Q2013" s="9" t="s">
        <v>14567</v>
      </c>
    </row>
    <row r="2014" spans="1:17" x14ac:dyDescent="0.25">
      <c r="A2014" s="8" t="s">
        <v>14568</v>
      </c>
      <c r="B2014" s="8" t="s">
        <v>14569</v>
      </c>
      <c r="C2014" s="9" t="s">
        <v>14570</v>
      </c>
      <c r="D2014" s="9" t="s">
        <v>398</v>
      </c>
      <c r="E2014" s="9" t="s">
        <v>5236</v>
      </c>
      <c r="F2014" s="10">
        <v>1.514</v>
      </c>
      <c r="G2014" s="10">
        <v>1.665</v>
      </c>
      <c r="H2014" s="10"/>
      <c r="I2014" s="9" t="s">
        <v>400</v>
      </c>
      <c r="J2014" s="9" t="s">
        <v>14571</v>
      </c>
      <c r="K2014" s="9" t="s">
        <v>14572</v>
      </c>
      <c r="L2014" s="8" t="s">
        <v>5239</v>
      </c>
      <c r="M2014" s="9" t="s">
        <v>49</v>
      </c>
      <c r="N2014" s="9" t="s">
        <v>37</v>
      </c>
      <c r="O2014" s="9">
        <f>HYPERLINK("https://www.google.com/maps/search/?api=1&amp;query=38.8349372,0.08960732", "https://www.google.com/maps/search/?api=1&amp;query=38.8349372,0.08960732")</f>
      </c>
      <c r="P2014" s="9" t="s">
        <v>9907</v>
      </c>
      <c r="Q2014" s="9" t="s">
        <v>14573</v>
      </c>
    </row>
    <row r="2015" spans="1:17" x14ac:dyDescent="0.25">
      <c r="A2015" s="8" t="s">
        <v>14574</v>
      </c>
      <c r="B2015" s="8" t="s">
        <v>14575</v>
      </c>
      <c r="C2015" s="9" t="s">
        <v>14576</v>
      </c>
      <c r="D2015" s="9" t="s">
        <v>398</v>
      </c>
      <c r="E2015" s="9" t="s">
        <v>14577</v>
      </c>
      <c r="F2015" s="10">
        <v>1.514</v>
      </c>
      <c r="G2015" s="10">
        <v>1.665</v>
      </c>
      <c r="H2015" s="10"/>
      <c r="I2015" s="9" t="s">
        <v>400</v>
      </c>
      <c r="J2015" s="9" t="s">
        <v>14578</v>
      </c>
      <c r="K2015" s="9" t="s">
        <v>14579</v>
      </c>
      <c r="L2015" s="8" t="s">
        <v>14580</v>
      </c>
      <c r="M2015" s="9" t="s">
        <v>49</v>
      </c>
      <c r="N2015" s="9" t="s">
        <v>88</v>
      </c>
      <c r="O2015" s="9">
        <f>HYPERLINK("https://www.google.com/maps/search/?api=1&amp;query=38.34056246,-0.77464577", "https://www.google.com/maps/search/?api=1&amp;query=38.34056246,-0.77464577")</f>
      </c>
      <c r="P2015" s="9" t="s">
        <v>493</v>
      </c>
      <c r="Q2015" s="9" t="s">
        <v>1204</v>
      </c>
    </row>
    <row r="2016" spans="1:17" x14ac:dyDescent="0.25">
      <c r="A2016" s="8" t="s">
        <v>14581</v>
      </c>
      <c r="B2016" s="8" t="s">
        <v>14582</v>
      </c>
      <c r="C2016" s="9" t="s">
        <v>14583</v>
      </c>
      <c r="D2016" s="9" t="s">
        <v>1282</v>
      </c>
      <c r="E2016" s="9" t="s">
        <v>14584</v>
      </c>
      <c r="F2016" s="10">
        <v>1.514</v>
      </c>
      <c r="G2016" s="10">
        <v>1.665</v>
      </c>
      <c r="H2016" s="10"/>
      <c r="I2016" s="9" t="s">
        <v>45</v>
      </c>
      <c r="J2016" s="9" t="s">
        <v>14585</v>
      </c>
      <c r="K2016" s="9" t="s">
        <v>14586</v>
      </c>
      <c r="L2016" s="8" t="s">
        <v>14587</v>
      </c>
      <c r="M2016" s="9" t="s">
        <v>49</v>
      </c>
      <c r="N2016" s="9" t="s">
        <v>7863</v>
      </c>
      <c r="O2016" s="9">
        <f>HYPERLINK("https://www.google.com/maps/search/?api=1&amp;query=37.21315532,-3.63679639", "https://www.google.com/maps/search/?api=1&amp;query=37.21315532,-3.63679639")</f>
      </c>
      <c r="P2016" s="9" t="s">
        <v>557</v>
      </c>
      <c r="Q2016" s="9" t="s">
        <v>3885</v>
      </c>
    </row>
    <row r="2017" spans="1:17" x14ac:dyDescent="0.25">
      <c r="A2017" s="8" t="s">
        <v>14588</v>
      </c>
      <c r="B2017" s="8" t="s">
        <v>14589</v>
      </c>
      <c r="C2017" s="9" t="s">
        <v>14590</v>
      </c>
      <c r="D2017" s="9" t="s">
        <v>631</v>
      </c>
      <c r="E2017" s="9" t="s">
        <v>14591</v>
      </c>
      <c r="F2017" s="10">
        <v>1.514</v>
      </c>
      <c r="G2017" s="10">
        <v>1.665</v>
      </c>
      <c r="H2017" s="10"/>
      <c r="I2017" s="9" t="s">
        <v>45</v>
      </c>
      <c r="J2017" s="9" t="s">
        <v>14592</v>
      </c>
      <c r="K2017" s="9" t="s">
        <v>14593</v>
      </c>
      <c r="L2017" s="8" t="s">
        <v>14594</v>
      </c>
      <c r="M2017" s="9" t="s">
        <v>49</v>
      </c>
      <c r="N2017" s="9" t="s">
        <v>483</v>
      </c>
      <c r="O2017" s="9">
        <f>HYPERLINK("https://www.google.com/maps/search/?api=1&amp;query=38.39213867,-4.9796842", "https://www.google.com/maps/search/?api=1&amp;query=38.39213867,-4.9796842")</f>
      </c>
      <c r="P2017" s="9" t="s">
        <v>9840</v>
      </c>
      <c r="Q2017" s="9" t="s">
        <v>8422</v>
      </c>
    </row>
    <row r="2018" spans="1:17" x14ac:dyDescent="0.25">
      <c r="A2018" s="8" t="s">
        <v>14595</v>
      </c>
      <c r="B2018" s="8" t="s">
        <v>14596</v>
      </c>
      <c r="C2018" s="9" t="s">
        <v>14597</v>
      </c>
      <c r="D2018" s="9" t="s">
        <v>128</v>
      </c>
      <c r="E2018" s="9" t="s">
        <v>4422</v>
      </c>
      <c r="F2018" s="10">
        <v>1.514</v>
      </c>
      <c r="G2018" s="10">
        <v>1.665</v>
      </c>
      <c r="H2018" s="10"/>
      <c r="I2018" s="9" t="s">
        <v>45</v>
      </c>
      <c r="J2018" s="9" t="s">
        <v>14598</v>
      </c>
      <c r="K2018" s="9" t="s">
        <v>14599</v>
      </c>
      <c r="L2018" s="8" t="s">
        <v>14600</v>
      </c>
      <c r="M2018" s="9" t="s">
        <v>36</v>
      </c>
      <c r="N2018" s="9" t="s">
        <v>37</v>
      </c>
      <c r="O2018" s="9">
        <f>HYPERLINK("https://www.google.com/maps/search/?api=1&amp;query=36.20739403,-5.40978593", "https://www.google.com/maps/search/?api=1&amp;query=36.20739403,-5.40978593")</f>
      </c>
      <c r="P2018" s="9" t="s">
        <v>6271</v>
      </c>
      <c r="Q2018" s="9" t="s">
        <v>14601</v>
      </c>
    </row>
    <row r="2019" spans="1:17" x14ac:dyDescent="0.25">
      <c r="A2019" s="8" t="s">
        <v>14602</v>
      </c>
      <c r="B2019" s="8" t="s">
        <v>14603</v>
      </c>
      <c r="C2019" s="9" t="s">
        <v>14604</v>
      </c>
      <c r="D2019" s="9" t="s">
        <v>3841</v>
      </c>
      <c r="E2019" s="9" t="s">
        <v>14605</v>
      </c>
      <c r="F2019" s="10">
        <v>1.514</v>
      </c>
      <c r="G2019" s="10">
        <v>1.665</v>
      </c>
      <c r="H2019" s="10"/>
      <c r="I2019" s="9" t="s">
        <v>74</v>
      </c>
      <c r="J2019" s="9" t="s">
        <v>14606</v>
      </c>
      <c r="K2019" s="9" t="s">
        <v>14607</v>
      </c>
      <c r="L2019" s="8" t="s">
        <v>14608</v>
      </c>
      <c r="M2019" s="9" t="s">
        <v>49</v>
      </c>
      <c r="N2019" s="9" t="s">
        <v>211</v>
      </c>
      <c r="O2019" s="9">
        <f>HYPERLINK("https://www.google.com/maps/search/?api=1&amp;query=41.58703491,-3.05829196", "https://www.google.com/maps/search/?api=1&amp;query=41.58703491,-3.05829196")</f>
      </c>
      <c r="P2019" s="9" t="s">
        <v>646</v>
      </c>
      <c r="Q2019" s="9" t="s">
        <v>8549</v>
      </c>
    </row>
    <row r="2020" spans="1:17" x14ac:dyDescent="0.25">
      <c r="A2020" s="8" t="s">
        <v>14609</v>
      </c>
      <c r="B2020" s="8" t="s">
        <v>14610</v>
      </c>
      <c r="C2020" s="9" t="s">
        <v>14611</v>
      </c>
      <c r="D2020" s="9" t="s">
        <v>400</v>
      </c>
      <c r="E2020" s="9" t="s">
        <v>14612</v>
      </c>
      <c r="F2020" s="10">
        <v>1.514</v>
      </c>
      <c r="G2020" s="10">
        <v>1.665</v>
      </c>
      <c r="H2020" s="10"/>
      <c r="I2020" s="9" t="s">
        <v>400</v>
      </c>
      <c r="J2020" s="9" t="s">
        <v>14613</v>
      </c>
      <c r="K2020" s="9" t="s">
        <v>14614</v>
      </c>
      <c r="L2020" s="8" t="s">
        <v>14615</v>
      </c>
      <c r="M2020" s="9" t="s">
        <v>49</v>
      </c>
      <c r="N2020" s="9" t="s">
        <v>7479</v>
      </c>
      <c r="O2020" s="9">
        <f>HYPERLINK("https://www.google.com/maps/search/?api=1&amp;query=38.87862205,-0.75398238", "https://www.google.com/maps/search/?api=1&amp;query=38.87862205,-0.75398238")</f>
      </c>
      <c r="P2020" s="9" t="s">
        <v>7834</v>
      </c>
      <c r="Q2020" s="9" t="s">
        <v>14616</v>
      </c>
    </row>
    <row r="2021" spans="1:17" x14ac:dyDescent="0.25">
      <c r="A2021" s="8" t="s">
        <v>14617</v>
      </c>
      <c r="B2021" s="8" t="s">
        <v>14618</v>
      </c>
      <c r="C2021" s="9" t="s">
        <v>14619</v>
      </c>
      <c r="D2021" s="9" t="s">
        <v>488</v>
      </c>
      <c r="E2021" s="9" t="s">
        <v>4251</v>
      </c>
      <c r="F2021" s="10">
        <v>1.514</v>
      </c>
      <c r="G2021" s="10">
        <v>1.665</v>
      </c>
      <c r="H2021" s="10"/>
      <c r="I2021" s="9" t="s">
        <v>45</v>
      </c>
      <c r="J2021" s="9" t="s">
        <v>14620</v>
      </c>
      <c r="K2021" s="9" t="s">
        <v>14621</v>
      </c>
      <c r="L2021" s="8" t="s">
        <v>4254</v>
      </c>
      <c r="M2021" s="9" t="s">
        <v>49</v>
      </c>
      <c r="N2021" s="9" t="s">
        <v>88</v>
      </c>
      <c r="O2021" s="9">
        <f>HYPERLINK("https://www.google.com/maps/search/?api=1&amp;query=37.71433757,-3.97677908", "https://www.google.com/maps/search/?api=1&amp;query=37.71433757,-3.97677908")</f>
      </c>
      <c r="P2021" s="9" t="s">
        <v>771</v>
      </c>
      <c r="Q2021" s="9" t="s">
        <v>10119</v>
      </c>
    </row>
    <row r="2022" spans="1:17" x14ac:dyDescent="0.25">
      <c r="A2022" s="8" t="s">
        <v>14622</v>
      </c>
      <c r="B2022" s="8" t="s">
        <v>14623</v>
      </c>
      <c r="C2022" s="9" t="s">
        <v>14624</v>
      </c>
      <c r="D2022" s="9" t="s">
        <v>409</v>
      </c>
      <c r="E2022" s="9" t="s">
        <v>409</v>
      </c>
      <c r="F2022" s="10">
        <v>1.514</v>
      </c>
      <c r="G2022" s="10">
        <v>1.665</v>
      </c>
      <c r="H2022" s="10"/>
      <c r="I2022" s="9" t="s">
        <v>292</v>
      </c>
      <c r="J2022" s="9" t="s">
        <v>14625</v>
      </c>
      <c r="K2022" s="9" t="s">
        <v>14626</v>
      </c>
      <c r="L2022" s="8" t="s">
        <v>14627</v>
      </c>
      <c r="M2022" s="9" t="s">
        <v>49</v>
      </c>
      <c r="N2022" s="9" t="s">
        <v>88</v>
      </c>
      <c r="O2022" s="9">
        <f>HYPERLINK("https://www.google.com/maps/search/?api=1&amp;query=41.66219002,-0.88751944", "https://www.google.com/maps/search/?api=1&amp;query=41.66219002,-0.88751944")</f>
      </c>
      <c r="P2022" s="9" t="s">
        <v>2594</v>
      </c>
      <c r="Q2022" s="9" t="s">
        <v>7794</v>
      </c>
    </row>
    <row r="2023" spans="1:17" x14ac:dyDescent="0.25">
      <c r="A2023" s="8" t="s">
        <v>14628</v>
      </c>
      <c r="B2023" s="8" t="s">
        <v>14629</v>
      </c>
      <c r="C2023" s="9" t="s">
        <v>14630</v>
      </c>
      <c r="D2023" s="9" t="s">
        <v>344</v>
      </c>
      <c r="E2023" s="9" t="s">
        <v>14631</v>
      </c>
      <c r="F2023" s="10">
        <v>1.514</v>
      </c>
      <c r="G2023" s="10">
        <v>1.665</v>
      </c>
      <c r="H2023" s="10"/>
      <c r="I2023" s="9" t="s">
        <v>140</v>
      </c>
      <c r="J2023" s="9" t="s">
        <v>14632</v>
      </c>
      <c r="K2023" s="9" t="s">
        <v>14633</v>
      </c>
      <c r="L2023" s="8" t="s">
        <v>14634</v>
      </c>
      <c r="M2023" s="9" t="s">
        <v>49</v>
      </c>
      <c r="N2023" s="9" t="s">
        <v>3164</v>
      </c>
      <c r="O2023" s="9">
        <f>HYPERLINK("https://www.google.com/maps/search/?api=1&amp;query=42.79806307,-8.54797858", "https://www.google.com/maps/search/?api=1&amp;query=42.79806307,-8.54797858")</f>
      </c>
      <c r="P2023" s="9" t="s">
        <v>7403</v>
      </c>
      <c r="Q2023" s="9" t="s">
        <v>14635</v>
      </c>
    </row>
    <row r="2024" spans="1:17" x14ac:dyDescent="0.25">
      <c r="A2024" s="8" t="s">
        <v>14636</v>
      </c>
      <c r="B2024" s="8" t="s">
        <v>14637</v>
      </c>
      <c r="C2024" s="9" t="s">
        <v>14638</v>
      </c>
      <c r="D2024" s="9" t="s">
        <v>307</v>
      </c>
      <c r="E2024" s="9" t="s">
        <v>14639</v>
      </c>
      <c r="F2024" s="10">
        <v>1.514</v>
      </c>
      <c r="G2024" s="10">
        <v>1.665</v>
      </c>
      <c r="H2024" s="10"/>
      <c r="I2024" s="9" t="s">
        <v>74</v>
      </c>
      <c r="J2024" s="9" t="s">
        <v>14640</v>
      </c>
      <c r="K2024" s="9" t="s">
        <v>14641</v>
      </c>
      <c r="L2024" s="8" t="s">
        <v>14642</v>
      </c>
      <c r="M2024" s="9" t="s">
        <v>49</v>
      </c>
      <c r="N2024" s="9" t="s">
        <v>211</v>
      </c>
      <c r="O2024" s="9">
        <f>HYPERLINK("https://www.google.com/maps/search/?api=1&amp;query=41.86046305,-5.4177017", "https://www.google.com/maps/search/?api=1&amp;query=41.86046305,-5.4177017")</f>
      </c>
      <c r="P2024" s="9" t="s">
        <v>1250</v>
      </c>
      <c r="Q2024" s="9" t="s">
        <v>3226</v>
      </c>
    </row>
    <row r="2025" spans="1:17" x14ac:dyDescent="0.25">
      <c r="A2025" s="8" t="s">
        <v>14643</v>
      </c>
      <c r="B2025" s="8" t="s">
        <v>14644</v>
      </c>
      <c r="C2025" s="9" t="s">
        <v>14645</v>
      </c>
      <c r="D2025" s="9" t="s">
        <v>217</v>
      </c>
      <c r="E2025" s="9" t="s">
        <v>14646</v>
      </c>
      <c r="F2025" s="10">
        <v>1.514</v>
      </c>
      <c r="G2025" s="10">
        <v>1.665</v>
      </c>
      <c r="H2025" s="10"/>
      <c r="I2025" s="9" t="s">
        <v>45</v>
      </c>
      <c r="J2025" s="9" t="s">
        <v>14647</v>
      </c>
      <c r="K2025" s="9" t="s">
        <v>14648</v>
      </c>
      <c r="L2025" s="8" t="s">
        <v>14649</v>
      </c>
      <c r="M2025" s="9" t="s">
        <v>49</v>
      </c>
      <c r="N2025" s="9" t="s">
        <v>14650</v>
      </c>
      <c r="O2025" s="9">
        <f>HYPERLINK("https://www.google.com/maps/search/?api=1&amp;query=36.56470226,-4.85867114", "https://www.google.com/maps/search/?api=1&amp;query=36.56470226,-4.85867114")</f>
      </c>
      <c r="P2025" s="9" t="s">
        <v>8200</v>
      </c>
      <c r="Q2025" s="9" t="s">
        <v>1131</v>
      </c>
    </row>
    <row r="2026" spans="1:17" x14ac:dyDescent="0.25">
      <c r="A2026" s="8" t="s">
        <v>14651</v>
      </c>
      <c r="B2026" s="8" t="s">
        <v>14652</v>
      </c>
      <c r="C2026" s="9" t="s">
        <v>14653</v>
      </c>
      <c r="D2026" s="9" t="s">
        <v>2050</v>
      </c>
      <c r="E2026" s="9" t="s">
        <v>10781</v>
      </c>
      <c r="F2026" s="10">
        <v>1.514</v>
      </c>
      <c r="G2026" s="10">
        <v>1.665</v>
      </c>
      <c r="H2026" s="10"/>
      <c r="I2026" s="9" t="s">
        <v>140</v>
      </c>
      <c r="J2026" s="9" t="s">
        <v>14654</v>
      </c>
      <c r="K2026" s="9" t="s">
        <v>14655</v>
      </c>
      <c r="L2026" s="8" t="s">
        <v>10784</v>
      </c>
      <c r="M2026" s="9" t="s">
        <v>49</v>
      </c>
      <c r="N2026" s="9" t="s">
        <v>14656</v>
      </c>
      <c r="O2026" s="9">
        <f>HYPERLINK("https://www.google.com/maps/search/?api=1&amp;query=41.945469,-7.415855", "https://www.google.com/maps/search/?api=1&amp;query=41.945469,-7.415855")</f>
      </c>
      <c r="P2026" s="9" t="s">
        <v>7815</v>
      </c>
      <c r="Q2026" s="9" t="s">
        <v>14657</v>
      </c>
    </row>
    <row r="2027" spans="1:17" x14ac:dyDescent="0.25">
      <c r="A2027" s="8" t="s">
        <v>14658</v>
      </c>
      <c r="B2027" s="8" t="s">
        <v>14659</v>
      </c>
      <c r="C2027" s="9" t="s">
        <v>14660</v>
      </c>
      <c r="D2027" s="9" t="s">
        <v>116</v>
      </c>
      <c r="E2027" s="9" t="s">
        <v>6417</v>
      </c>
      <c r="F2027" s="10">
        <v>1.514</v>
      </c>
      <c r="G2027" s="10">
        <v>1.665</v>
      </c>
      <c r="H2027" s="10"/>
      <c r="I2027" s="9" t="s">
        <v>118</v>
      </c>
      <c r="J2027" s="9" t="s">
        <v>14661</v>
      </c>
      <c r="K2027" s="9" t="s">
        <v>14662</v>
      </c>
      <c r="L2027" s="8" t="s">
        <v>6420</v>
      </c>
      <c r="M2027" s="9" t="s">
        <v>36</v>
      </c>
      <c r="N2027" s="9" t="s">
        <v>88</v>
      </c>
      <c r="O2027" s="9">
        <f>HYPERLINK("https://www.google.com/maps/search/?api=1&amp;query=43.28017182,-2.49577199", "https://www.google.com/maps/search/?api=1&amp;query=43.28017182,-2.49577199")</f>
      </c>
      <c r="P2027" s="9" t="s">
        <v>906</v>
      </c>
      <c r="Q2027" s="9" t="s">
        <v>3559</v>
      </c>
    </row>
    <row r="2028" spans="1:17" x14ac:dyDescent="0.25">
      <c r="A2028" s="8" t="s">
        <v>14663</v>
      </c>
      <c r="B2028" s="8" t="s">
        <v>14664</v>
      </c>
      <c r="C2028" s="9" t="s">
        <v>14665</v>
      </c>
      <c r="D2028" s="9" t="s">
        <v>1282</v>
      </c>
      <c r="E2028" s="9" t="s">
        <v>14666</v>
      </c>
      <c r="F2028" s="10">
        <v>1.514</v>
      </c>
      <c r="G2028" s="10">
        <v>1.665</v>
      </c>
      <c r="H2028" s="10"/>
      <c r="I2028" s="9" t="s">
        <v>45</v>
      </c>
      <c r="J2028" s="9" t="s">
        <v>14667</v>
      </c>
      <c r="K2028" s="9" t="s">
        <v>14668</v>
      </c>
      <c r="L2028" s="8" t="s">
        <v>14669</v>
      </c>
      <c r="M2028" s="9" t="s">
        <v>49</v>
      </c>
      <c r="N2028" s="9" t="s">
        <v>7163</v>
      </c>
      <c r="O2028" s="9">
        <f>HYPERLINK("https://www.google.com/maps/search/?api=1&amp;query=37.07044284,-3.8133351", "https://www.google.com/maps/search/?api=1&amp;query=37.07044284,-3.8133351")</f>
      </c>
      <c r="P2028" s="9" t="s">
        <v>5187</v>
      </c>
      <c r="Q2028" s="9" t="s">
        <v>618</v>
      </c>
    </row>
    <row r="2029" spans="1:17" x14ac:dyDescent="0.25">
      <c r="A2029" s="8" t="s">
        <v>14670</v>
      </c>
      <c r="B2029" s="8" t="s">
        <v>14671</v>
      </c>
      <c r="C2029" s="9" t="s">
        <v>14672</v>
      </c>
      <c r="D2029" s="9" t="s">
        <v>197</v>
      </c>
      <c r="E2029" s="9" t="s">
        <v>14673</v>
      </c>
      <c r="F2029" s="10">
        <v>1.514</v>
      </c>
      <c r="G2029" s="10">
        <v>1.665</v>
      </c>
      <c r="H2029" s="10"/>
      <c r="I2029" s="9" t="s">
        <v>168</v>
      </c>
      <c r="J2029" s="9" t="s">
        <v>14674</v>
      </c>
      <c r="K2029" s="9" t="s">
        <v>14675</v>
      </c>
      <c r="L2029" s="8" t="s">
        <v>14676</v>
      </c>
      <c r="M2029" s="9" t="s">
        <v>36</v>
      </c>
      <c r="N2029" s="9" t="s">
        <v>14677</v>
      </c>
      <c r="O2029" s="9">
        <f>HYPERLINK("https://www.google.com/maps/search/?api=1&amp;query=39.69043715,-4.15610048", "https://www.google.com/maps/search/?api=1&amp;query=39.69043715,-4.15610048")</f>
      </c>
      <c r="P2029" s="9" t="s">
        <v>1250</v>
      </c>
      <c r="Q2029" s="9" t="s">
        <v>14678</v>
      </c>
    </row>
    <row r="2030" spans="1:17" x14ac:dyDescent="0.25">
      <c r="A2030" s="8" t="s">
        <v>14679</v>
      </c>
      <c r="B2030" s="8" t="s">
        <v>14680</v>
      </c>
      <c r="C2030" s="9" t="s">
        <v>14681</v>
      </c>
      <c r="D2030" s="9" t="s">
        <v>444</v>
      </c>
      <c r="E2030" s="9" t="s">
        <v>2955</v>
      </c>
      <c r="F2030" s="10">
        <v>1.514</v>
      </c>
      <c r="G2030" s="10">
        <v>1.665</v>
      </c>
      <c r="H2030" s="10"/>
      <c r="I2030" s="9" t="s">
        <v>444</v>
      </c>
      <c r="J2030" s="9" t="s">
        <v>14682</v>
      </c>
      <c r="K2030" s="9" t="s">
        <v>14683</v>
      </c>
      <c r="L2030" s="8" t="s">
        <v>2958</v>
      </c>
      <c r="M2030" s="9" t="s">
        <v>100</v>
      </c>
      <c r="N2030" s="9" t="s">
        <v>88</v>
      </c>
      <c r="O2030" s="9">
        <f>HYPERLINK("https://www.google.com/maps/search/?api=1&amp;query=43.40262643,-5.7849437", "https://www.google.com/maps/search/?api=1&amp;query=43.40262643,-5.7849437")</f>
      </c>
      <c r="P2030" s="9" t="s">
        <v>880</v>
      </c>
      <c r="Q2030" s="9" t="s">
        <v>12736</v>
      </c>
    </row>
    <row r="2031" spans="1:17" x14ac:dyDescent="0.25">
      <c r="A2031" s="8" t="s">
        <v>14684</v>
      </c>
      <c r="B2031" s="8" t="s">
        <v>14685</v>
      </c>
      <c r="C2031" s="9" t="s">
        <v>14686</v>
      </c>
      <c r="D2031" s="9" t="s">
        <v>892</v>
      </c>
      <c r="E2031" s="9" t="s">
        <v>14687</v>
      </c>
      <c r="F2031" s="10">
        <v>1.514</v>
      </c>
      <c r="G2031" s="10">
        <v>1.665</v>
      </c>
      <c r="H2031" s="10"/>
      <c r="I2031" s="9" t="s">
        <v>32</v>
      </c>
      <c r="J2031" s="9" t="s">
        <v>14688</v>
      </c>
      <c r="K2031" s="9" t="s">
        <v>14689</v>
      </c>
      <c r="L2031" s="8" t="s">
        <v>14690</v>
      </c>
      <c r="M2031" s="9" t="s">
        <v>49</v>
      </c>
      <c r="N2031" s="9" t="s">
        <v>9227</v>
      </c>
      <c r="O2031" s="9">
        <f>HYPERLINK("https://www.google.com/maps/search/?api=1&amp;query=39.79458645,-6.3854627", "https://www.google.com/maps/search/?api=1&amp;query=39.79458645,-6.3854627")</f>
      </c>
      <c r="P2031" s="9" t="s">
        <v>14691</v>
      </c>
      <c r="Q2031" s="9" t="s">
        <v>1742</v>
      </c>
    </row>
    <row r="2032" spans="1:17" x14ac:dyDescent="0.25">
      <c r="A2032" s="8" t="s">
        <v>14692</v>
      </c>
      <c r="B2032" s="8" t="s">
        <v>14693</v>
      </c>
      <c r="C2032" s="9" t="s">
        <v>14694</v>
      </c>
      <c r="D2032" s="9" t="s">
        <v>94</v>
      </c>
      <c r="E2032" s="9" t="s">
        <v>14695</v>
      </c>
      <c r="F2032" s="10">
        <v>1.514</v>
      </c>
      <c r="G2032" s="10">
        <v>1.665</v>
      </c>
      <c r="H2032" s="10"/>
      <c r="I2032" s="9" t="s">
        <v>96</v>
      </c>
      <c r="J2032" s="9" t="s">
        <v>14696</v>
      </c>
      <c r="K2032" s="9" t="s">
        <v>14697</v>
      </c>
      <c r="L2032" s="8" t="s">
        <v>14698</v>
      </c>
      <c r="M2032" s="9" t="s">
        <v>49</v>
      </c>
      <c r="N2032" s="9" t="s">
        <v>770</v>
      </c>
      <c r="O2032" s="9">
        <f>HYPERLINK("https://www.google.com/maps/search/?api=1&amp;query=41.59772633,2.54266797", "https://www.google.com/maps/search/?api=1&amp;query=41.59772633,2.54266797")</f>
      </c>
      <c r="P2032" s="9" t="s">
        <v>1287</v>
      </c>
      <c r="Q2032" s="9" t="s">
        <v>13917</v>
      </c>
    </row>
    <row r="2033" spans="1:17" x14ac:dyDescent="0.25">
      <c r="A2033" s="8" t="s">
        <v>14699</v>
      </c>
      <c r="B2033" s="8" t="s">
        <v>14700</v>
      </c>
      <c r="C2033" s="9" t="s">
        <v>14701</v>
      </c>
      <c r="D2033" s="9" t="s">
        <v>488</v>
      </c>
      <c r="E2033" s="9" t="s">
        <v>14702</v>
      </c>
      <c r="F2033" s="10">
        <v>1.514</v>
      </c>
      <c r="G2033" s="10">
        <v>1.665</v>
      </c>
      <c r="H2033" s="10"/>
      <c r="I2033" s="9" t="s">
        <v>45</v>
      </c>
      <c r="J2033" s="9" t="s">
        <v>14703</v>
      </c>
      <c r="K2033" s="9" t="s">
        <v>14704</v>
      </c>
      <c r="L2033" s="8" t="s">
        <v>14705</v>
      </c>
      <c r="M2033" s="9" t="s">
        <v>49</v>
      </c>
      <c r="N2033" s="9" t="s">
        <v>211</v>
      </c>
      <c r="O2033" s="9">
        <f>HYPERLINK("https://www.google.com/maps/search/?api=1&amp;query=37.64778219,-3.45280506", "https://www.google.com/maps/search/?api=1&amp;query=37.64778219,-3.45280506")</f>
      </c>
      <c r="P2033" s="9" t="s">
        <v>56</v>
      </c>
      <c r="Q2033" s="9" t="s">
        <v>1131</v>
      </c>
    </row>
    <row r="2034" spans="1:17" x14ac:dyDescent="0.25">
      <c r="A2034" s="8" t="s">
        <v>14706</v>
      </c>
      <c r="B2034" s="8" t="s">
        <v>14707</v>
      </c>
      <c r="C2034" s="9" t="s">
        <v>14708</v>
      </c>
      <c r="D2034" s="9" t="s">
        <v>138</v>
      </c>
      <c r="E2034" s="9" t="s">
        <v>7686</v>
      </c>
      <c r="F2034" s="10">
        <v>1.514</v>
      </c>
      <c r="G2034" s="10">
        <v>1.665</v>
      </c>
      <c r="H2034" s="10"/>
      <c r="I2034" s="9" t="s">
        <v>140</v>
      </c>
      <c r="J2034" s="9" t="s">
        <v>14709</v>
      </c>
      <c r="K2034" s="9" t="s">
        <v>14710</v>
      </c>
      <c r="L2034" s="8" t="s">
        <v>7689</v>
      </c>
      <c r="M2034" s="9" t="s">
        <v>36</v>
      </c>
      <c r="N2034" s="9" t="s">
        <v>14711</v>
      </c>
      <c r="O2034" s="9">
        <f>HYPERLINK("https://www.google.com/maps/search/?api=1&amp;query=42.126889,-8.615", "https://www.google.com/maps/search/?api=1&amp;query=42.126889,-8.615")</f>
      </c>
      <c r="P2034" s="9" t="s">
        <v>965</v>
      </c>
      <c r="Q2034" s="9" t="s">
        <v>11895</v>
      </c>
    </row>
    <row r="2035" spans="1:17" x14ac:dyDescent="0.25">
      <c r="A2035" s="8" t="s">
        <v>14712</v>
      </c>
      <c r="B2035" s="8" t="s">
        <v>14713</v>
      </c>
      <c r="C2035" s="9" t="s">
        <v>14714</v>
      </c>
      <c r="D2035" s="9" t="s">
        <v>424</v>
      </c>
      <c r="E2035" s="9" t="s">
        <v>14715</v>
      </c>
      <c r="F2035" s="10">
        <v>1.514</v>
      </c>
      <c r="G2035" s="10">
        <v>1.665</v>
      </c>
      <c r="H2035" s="10"/>
      <c r="I2035" s="9" t="s">
        <v>96</v>
      </c>
      <c r="J2035" s="9" t="s">
        <v>14716</v>
      </c>
      <c r="K2035" s="9" t="s">
        <v>14717</v>
      </c>
      <c r="L2035" s="8" t="s">
        <v>14718</v>
      </c>
      <c r="M2035" s="9" t="s">
        <v>49</v>
      </c>
      <c r="N2035" s="9" t="s">
        <v>7851</v>
      </c>
      <c r="O2035" s="9">
        <f>HYPERLINK("https://www.google.com/maps/search/?api=1&amp;query=42.50444947,0.80275177", "https://www.google.com/maps/search/?api=1&amp;query=42.50444947,0.80275177")</f>
      </c>
      <c r="P2035" s="9" t="s">
        <v>1803</v>
      </c>
      <c r="Q2035" s="9" t="s">
        <v>1131</v>
      </c>
    </row>
    <row r="2036" spans="1:17" x14ac:dyDescent="0.25">
      <c r="A2036" s="8" t="s">
        <v>14719</v>
      </c>
      <c r="B2036" s="8" t="s">
        <v>14720</v>
      </c>
      <c r="C2036" s="9" t="s">
        <v>14721</v>
      </c>
      <c r="D2036" s="9" t="s">
        <v>892</v>
      </c>
      <c r="E2036" s="9" t="s">
        <v>14722</v>
      </c>
      <c r="F2036" s="10">
        <v>1.514</v>
      </c>
      <c r="G2036" s="10">
        <v>1.665</v>
      </c>
      <c r="H2036" s="10"/>
      <c r="I2036" s="9" t="s">
        <v>32</v>
      </c>
      <c r="J2036" s="9" t="s">
        <v>14723</v>
      </c>
      <c r="K2036" s="9" t="s">
        <v>14724</v>
      </c>
      <c r="L2036" s="8" t="s">
        <v>14725</v>
      </c>
      <c r="M2036" s="9" t="s">
        <v>49</v>
      </c>
      <c r="N2036" s="9" t="s">
        <v>1695</v>
      </c>
      <c r="O2036" s="9">
        <f>HYPERLINK("https://www.google.com/maps/search/?api=1&amp;query=40.32575164,-6.29241932", "https://www.google.com/maps/search/?api=1&amp;query=40.32575164,-6.29241932")</f>
      </c>
      <c r="P2036" s="9" t="s">
        <v>4045</v>
      </c>
      <c r="Q2036" s="9" t="s">
        <v>2998</v>
      </c>
    </row>
    <row r="2037" spans="1:17" x14ac:dyDescent="0.25">
      <c r="A2037" s="8" t="s">
        <v>14726</v>
      </c>
      <c r="B2037" s="8" t="s">
        <v>14727</v>
      </c>
      <c r="C2037" s="9" t="s">
        <v>14728</v>
      </c>
      <c r="D2037" s="9" t="s">
        <v>72</v>
      </c>
      <c r="E2037" s="9" t="s">
        <v>72</v>
      </c>
      <c r="F2037" s="10">
        <v>1.514</v>
      </c>
      <c r="G2037" s="10">
        <v>1.665</v>
      </c>
      <c r="H2037" s="10"/>
      <c r="I2037" s="9" t="s">
        <v>74</v>
      </c>
      <c r="J2037" s="9" t="s">
        <v>14729</v>
      </c>
      <c r="K2037" s="9" t="s">
        <v>14730</v>
      </c>
      <c r="L2037" s="8" t="s">
        <v>9172</v>
      </c>
      <c r="M2037" s="9" t="s">
        <v>49</v>
      </c>
      <c r="N2037" s="9" t="s">
        <v>14731</v>
      </c>
      <c r="O2037" s="9">
        <f>HYPERLINK("https://www.google.com/maps/search/?api=1&amp;query=42.00353824,-4.51565217", "https://www.google.com/maps/search/?api=1&amp;query=42.00353824,-4.51565217")</f>
      </c>
      <c r="P2037" s="9" t="s">
        <v>1803</v>
      </c>
      <c r="Q2037" s="9" t="s">
        <v>1204</v>
      </c>
    </row>
    <row r="2038" spans="1:17" x14ac:dyDescent="0.25">
      <c r="A2038" s="8" t="s">
        <v>14732</v>
      </c>
      <c r="B2038" s="8" t="s">
        <v>14733</v>
      </c>
      <c r="C2038" s="9" t="s">
        <v>14734</v>
      </c>
      <c r="D2038" s="9" t="s">
        <v>1617</v>
      </c>
      <c r="E2038" s="9" t="s">
        <v>1617</v>
      </c>
      <c r="F2038" s="10">
        <v>1.514</v>
      </c>
      <c r="G2038" s="10">
        <v>1.665</v>
      </c>
      <c r="H2038" s="10"/>
      <c r="I2038" s="9" t="s">
        <v>292</v>
      </c>
      <c r="J2038" s="9" t="s">
        <v>14735</v>
      </c>
      <c r="K2038" s="9" t="s">
        <v>14736</v>
      </c>
      <c r="L2038" s="8" t="s">
        <v>14737</v>
      </c>
      <c r="M2038" s="9" t="s">
        <v>49</v>
      </c>
      <c r="N2038" s="9" t="s">
        <v>3428</v>
      </c>
      <c r="O2038" s="9">
        <f>HYPERLINK("https://www.google.com/maps/search/?api=1&amp;query=42.14081221,-0.41137416", "https://www.google.com/maps/search/?api=1&amp;query=42.14081221,-0.41137416")</f>
      </c>
      <c r="P2038" s="9" t="s">
        <v>1439</v>
      </c>
      <c r="Q2038" s="9" t="s">
        <v>1131</v>
      </c>
    </row>
    <row r="2039" spans="1:17" x14ac:dyDescent="0.25">
      <c r="A2039" s="8" t="s">
        <v>14738</v>
      </c>
      <c r="B2039" s="8" t="s">
        <v>14739</v>
      </c>
      <c r="C2039" s="9" t="s">
        <v>14740</v>
      </c>
      <c r="D2039" s="9" t="s">
        <v>217</v>
      </c>
      <c r="E2039" s="9" t="s">
        <v>218</v>
      </c>
      <c r="F2039" s="10">
        <v>1.514</v>
      </c>
      <c r="G2039" s="10">
        <v>1.665</v>
      </c>
      <c r="H2039" s="10"/>
      <c r="I2039" s="9" t="s">
        <v>45</v>
      </c>
      <c r="J2039" s="9" t="s">
        <v>14741</v>
      </c>
      <c r="K2039" s="9" t="s">
        <v>14742</v>
      </c>
      <c r="L2039" s="8" t="s">
        <v>221</v>
      </c>
      <c r="M2039" s="9" t="s">
        <v>49</v>
      </c>
      <c r="N2039" s="9" t="s">
        <v>37</v>
      </c>
      <c r="O2039" s="9">
        <f>HYPERLINK("https://www.google.com/maps/search/?api=1&amp;query=36.38865954,-5.20590709", "https://www.google.com/maps/search/?api=1&amp;query=36.38865954,-5.20590709")</f>
      </c>
      <c r="P2039" s="9" t="s">
        <v>1010</v>
      </c>
      <c r="Q2039" s="9" t="s">
        <v>14743</v>
      </c>
    </row>
    <row r="2040" spans="1:17" x14ac:dyDescent="0.25">
      <c r="A2040" s="8" t="s">
        <v>14744</v>
      </c>
      <c r="B2040" s="8" t="s">
        <v>14745</v>
      </c>
      <c r="C2040" s="9" t="s">
        <v>14746</v>
      </c>
      <c r="D2040" s="9" t="s">
        <v>1617</v>
      </c>
      <c r="E2040" s="9" t="s">
        <v>1617</v>
      </c>
      <c r="F2040" s="10">
        <v>1.514</v>
      </c>
      <c r="G2040" s="10">
        <v>1.665</v>
      </c>
      <c r="H2040" s="10"/>
      <c r="I2040" s="9" t="s">
        <v>292</v>
      </c>
      <c r="J2040" s="9" t="s">
        <v>14747</v>
      </c>
      <c r="K2040" s="9" t="s">
        <v>14748</v>
      </c>
      <c r="L2040" s="8" t="s">
        <v>14749</v>
      </c>
      <c r="M2040" s="9" t="s">
        <v>36</v>
      </c>
      <c r="N2040" s="9" t="s">
        <v>88</v>
      </c>
      <c r="O2040" s="9">
        <f>HYPERLINK("https://www.google.com/maps/search/?api=1&amp;query=42.16275394,-0.42512224", "https://www.google.com/maps/search/?api=1&amp;query=42.16275394,-0.42512224")</f>
      </c>
      <c r="P2040" s="9" t="s">
        <v>1250</v>
      </c>
      <c r="Q2040" s="9" t="s">
        <v>1131</v>
      </c>
    </row>
    <row r="2041" spans="1:17" x14ac:dyDescent="0.25">
      <c r="A2041" s="8" t="s">
        <v>14750</v>
      </c>
      <c r="B2041" s="8" t="s">
        <v>14751</v>
      </c>
      <c r="C2041" s="9" t="s">
        <v>14752</v>
      </c>
      <c r="D2041" s="9" t="s">
        <v>400</v>
      </c>
      <c r="E2041" s="9" t="s">
        <v>7560</v>
      </c>
      <c r="F2041" s="10">
        <v>1.514</v>
      </c>
      <c r="G2041" s="10">
        <v>1.665</v>
      </c>
      <c r="H2041" s="10"/>
      <c r="I2041" s="9" t="s">
        <v>400</v>
      </c>
      <c r="J2041" s="9" t="s">
        <v>14753</v>
      </c>
      <c r="K2041" s="9" t="s">
        <v>14754</v>
      </c>
      <c r="L2041" s="8" t="s">
        <v>10930</v>
      </c>
      <c r="M2041" s="9" t="s">
        <v>36</v>
      </c>
      <c r="N2041" s="9" t="s">
        <v>88</v>
      </c>
      <c r="O2041" s="9">
        <f>HYPERLINK("https://www.google.com/maps/search/?api=1&amp;query=38.96839268,-0.20295172", "https://www.google.com/maps/search/?api=1&amp;query=38.96839268,-0.20295172")</f>
      </c>
      <c r="P2041" s="9" t="s">
        <v>349</v>
      </c>
      <c r="Q2041" s="9" t="s">
        <v>14755</v>
      </c>
    </row>
    <row r="2042" spans="1:17" x14ac:dyDescent="0.25">
      <c r="A2042" s="8" t="s">
        <v>14756</v>
      </c>
      <c r="B2042" s="8" t="s">
        <v>14757</v>
      </c>
      <c r="C2042" s="9" t="s">
        <v>14758</v>
      </c>
      <c r="D2042" s="9" t="s">
        <v>1847</v>
      </c>
      <c r="E2042" s="9" t="s">
        <v>1847</v>
      </c>
      <c r="F2042" s="10">
        <v>1.514</v>
      </c>
      <c r="G2042" s="10">
        <v>1.665</v>
      </c>
      <c r="H2042" s="10"/>
      <c r="I2042" s="9" t="s">
        <v>74</v>
      </c>
      <c r="J2042" s="9" t="s">
        <v>14759</v>
      </c>
      <c r="K2042" s="9" t="s">
        <v>14760</v>
      </c>
      <c r="L2042" s="8" t="s">
        <v>14761</v>
      </c>
      <c r="M2042" s="9" t="s">
        <v>49</v>
      </c>
      <c r="N2042" s="9" t="s">
        <v>10497</v>
      </c>
      <c r="O2042" s="9">
        <f>HYPERLINK("https://www.google.com/maps/search/?api=1&amp;query=40.94811072,-4.11579953", "https://www.google.com/maps/search/?api=1&amp;query=40.94811072,-4.11579953")</f>
      </c>
      <c r="P2042" s="9" t="s">
        <v>2213</v>
      </c>
      <c r="Q2042" s="9" t="s">
        <v>2159</v>
      </c>
    </row>
    <row r="2043" spans="1:17" x14ac:dyDescent="0.25">
      <c r="A2043" s="8" t="s">
        <v>14762</v>
      </c>
      <c r="B2043" s="8" t="s">
        <v>14763</v>
      </c>
      <c r="C2043" s="9" t="s">
        <v>14764</v>
      </c>
      <c r="D2043" s="9" t="s">
        <v>424</v>
      </c>
      <c r="E2043" s="9" t="s">
        <v>14765</v>
      </c>
      <c r="F2043" s="10">
        <v>1.514</v>
      </c>
      <c r="G2043" s="10">
        <v>1.665</v>
      </c>
      <c r="H2043" s="10"/>
      <c r="I2043" s="9" t="s">
        <v>96</v>
      </c>
      <c r="J2043" s="9" t="s">
        <v>14766</v>
      </c>
      <c r="K2043" s="9" t="s">
        <v>14767</v>
      </c>
      <c r="L2043" s="8" t="s">
        <v>14768</v>
      </c>
      <c r="M2043" s="9" t="s">
        <v>49</v>
      </c>
      <c r="N2043" s="9" t="s">
        <v>37</v>
      </c>
      <c r="O2043" s="9">
        <f>HYPERLINK("https://www.google.com/maps/search/?api=1&amp;query=41.66238539,1.13628806", "https://www.google.com/maps/search/?api=1&amp;query=41.66238539,1.13628806")</f>
      </c>
      <c r="P2043" s="9" t="s">
        <v>4117</v>
      </c>
      <c r="Q2043" s="9" t="s">
        <v>14769</v>
      </c>
    </row>
    <row r="2044" spans="1:17" x14ac:dyDescent="0.25">
      <c r="A2044" s="8" t="s">
        <v>14770</v>
      </c>
      <c r="B2044" s="8" t="s">
        <v>14771</v>
      </c>
      <c r="C2044" s="9" t="s">
        <v>14772</v>
      </c>
      <c r="D2044" s="9" t="s">
        <v>61</v>
      </c>
      <c r="E2044" s="9" t="s">
        <v>14773</v>
      </c>
      <c r="F2044" s="10">
        <v>1.514</v>
      </c>
      <c r="G2044" s="10">
        <v>1.665</v>
      </c>
      <c r="H2044" s="10"/>
      <c r="I2044" s="9" t="s">
        <v>45</v>
      </c>
      <c r="J2044" s="9" t="s">
        <v>14774</v>
      </c>
      <c r="K2044" s="9" t="s">
        <v>14775</v>
      </c>
      <c r="L2044" s="8" t="s">
        <v>14776</v>
      </c>
      <c r="M2044" s="9" t="s">
        <v>49</v>
      </c>
      <c r="N2044" s="9" t="s">
        <v>37</v>
      </c>
      <c r="O2044" s="9">
        <f>HYPERLINK("https://www.google.com/maps/search/?api=1&amp;query=37.34757736,-5.93822435", "https://www.google.com/maps/search/?api=1&amp;query=37.34757736,-5.93822435")</f>
      </c>
      <c r="P2044" s="9" t="s">
        <v>172</v>
      </c>
      <c r="Q2044" s="9" t="s">
        <v>5091</v>
      </c>
    </row>
    <row r="2045" spans="1:17" x14ac:dyDescent="0.25">
      <c r="A2045" s="8" t="s">
        <v>14777</v>
      </c>
      <c r="B2045" s="8" t="s">
        <v>14778</v>
      </c>
      <c r="C2045" s="9" t="s">
        <v>14779</v>
      </c>
      <c r="D2045" s="9" t="s">
        <v>83</v>
      </c>
      <c r="E2045" s="9" t="s">
        <v>83</v>
      </c>
      <c r="F2045" s="10">
        <v>1.514</v>
      </c>
      <c r="G2045" s="10">
        <v>1.665</v>
      </c>
      <c r="H2045" s="10"/>
      <c r="I2045" s="9" t="s">
        <v>83</v>
      </c>
      <c r="J2045" s="9" t="s">
        <v>14780</v>
      </c>
      <c r="K2045" s="9" t="s">
        <v>14781</v>
      </c>
      <c r="L2045" s="8" t="s">
        <v>3707</v>
      </c>
      <c r="M2045" s="9" t="s">
        <v>36</v>
      </c>
      <c r="N2045" s="9" t="s">
        <v>37</v>
      </c>
      <c r="O2045" s="9">
        <f>HYPERLINK("https://www.google.com/maps/search/?api=1&amp;query=40.36770273,-3.58799736", "https://www.google.com/maps/search/?api=1&amp;query=40.36770273,-3.58799736")</f>
      </c>
      <c r="P2045" s="9" t="s">
        <v>144</v>
      </c>
      <c r="Q2045" s="9" t="s">
        <v>14782</v>
      </c>
    </row>
    <row r="2046" spans="1:17" x14ac:dyDescent="0.25">
      <c r="A2046" s="8" t="s">
        <v>14783</v>
      </c>
      <c r="B2046" s="8" t="s">
        <v>14784</v>
      </c>
      <c r="C2046" s="9" t="s">
        <v>14785</v>
      </c>
      <c r="D2046" s="9" t="s">
        <v>155</v>
      </c>
      <c r="E2046" s="9" t="s">
        <v>14786</v>
      </c>
      <c r="F2046" s="10">
        <v>1.514</v>
      </c>
      <c r="G2046" s="10">
        <v>1.665</v>
      </c>
      <c r="H2046" s="10"/>
      <c r="I2046" s="9" t="s">
        <v>157</v>
      </c>
      <c r="J2046" s="9" t="s">
        <v>14787</v>
      </c>
      <c r="K2046" s="9" t="s">
        <v>14788</v>
      </c>
      <c r="L2046" s="8" t="s">
        <v>14789</v>
      </c>
      <c r="M2046" s="9" t="s">
        <v>36</v>
      </c>
      <c r="N2046" s="9" t="s">
        <v>88</v>
      </c>
      <c r="O2046" s="9">
        <f>HYPERLINK("https://www.google.com/maps/search/?api=1&amp;query=39.54767697,3.33940825", "https://www.google.com/maps/search/?api=1&amp;query=39.54767697,3.33940825")</f>
      </c>
      <c r="P2046" s="9" t="s">
        <v>14790</v>
      </c>
      <c r="Q2046" s="9" t="s">
        <v>1131</v>
      </c>
    </row>
    <row r="2047" spans="1:17" x14ac:dyDescent="0.25">
      <c r="A2047" s="8" t="s">
        <v>14791</v>
      </c>
      <c r="B2047" s="8" t="s">
        <v>14792</v>
      </c>
      <c r="C2047" s="9" t="s">
        <v>14793</v>
      </c>
      <c r="D2047" s="9" t="s">
        <v>444</v>
      </c>
      <c r="E2047" s="9" t="s">
        <v>14794</v>
      </c>
      <c r="F2047" s="10">
        <v>1.514</v>
      </c>
      <c r="G2047" s="10">
        <v>1.665</v>
      </c>
      <c r="H2047" s="10"/>
      <c r="I2047" s="9" t="s">
        <v>444</v>
      </c>
      <c r="J2047" s="9" t="s">
        <v>14795</v>
      </c>
      <c r="K2047" s="9" t="s">
        <v>14796</v>
      </c>
      <c r="L2047" s="8" t="s">
        <v>14797</v>
      </c>
      <c r="M2047" s="9" t="s">
        <v>49</v>
      </c>
      <c r="N2047" s="9" t="s">
        <v>88</v>
      </c>
      <c r="O2047" s="9">
        <f>HYPERLINK("https://www.google.com/maps/search/?api=1&amp;query=43.18094892,-6.54647898", "https://www.google.com/maps/search/?api=1&amp;query=43.18094892,-6.54647898")</f>
      </c>
      <c r="P2047" s="9" t="s">
        <v>493</v>
      </c>
      <c r="Q2047" s="9" t="s">
        <v>2554</v>
      </c>
    </row>
    <row r="2048" spans="1:17" x14ac:dyDescent="0.25">
      <c r="A2048" s="8" t="s">
        <v>14798</v>
      </c>
      <c r="B2048" s="8" t="s">
        <v>14799</v>
      </c>
      <c r="C2048" s="9" t="s">
        <v>14800</v>
      </c>
      <c r="D2048" s="9" t="s">
        <v>166</v>
      </c>
      <c r="E2048" s="9" t="s">
        <v>14801</v>
      </c>
      <c r="F2048" s="10">
        <v>1.514</v>
      </c>
      <c r="G2048" s="10">
        <v>1.665</v>
      </c>
      <c r="H2048" s="10"/>
      <c r="I2048" s="9" t="s">
        <v>168</v>
      </c>
      <c r="J2048" s="9" t="s">
        <v>14802</v>
      </c>
      <c r="K2048" s="9" t="s">
        <v>14803</v>
      </c>
      <c r="L2048" s="8" t="s">
        <v>14804</v>
      </c>
      <c r="M2048" s="9" t="s">
        <v>49</v>
      </c>
      <c r="N2048" s="9" t="s">
        <v>37</v>
      </c>
      <c r="O2048" s="9">
        <f>HYPERLINK("https://www.google.com/maps/search/?api=1&amp;query=40.49396387,-3.1830442", "https://www.google.com/maps/search/?api=1&amp;query=40.49396387,-3.1830442")</f>
      </c>
      <c r="P2048" s="9" t="s">
        <v>5469</v>
      </c>
      <c r="Q2048" s="9" t="s">
        <v>1374</v>
      </c>
    </row>
    <row r="2049" spans="1:17" x14ac:dyDescent="0.25">
      <c r="A2049" s="8" t="s">
        <v>14805</v>
      </c>
      <c r="B2049" s="8" t="s">
        <v>14806</v>
      </c>
      <c r="C2049" s="9" t="s">
        <v>14807</v>
      </c>
      <c r="D2049" s="9" t="s">
        <v>217</v>
      </c>
      <c r="E2049" s="9" t="s">
        <v>271</v>
      </c>
      <c r="F2049" s="10">
        <v>1.514</v>
      </c>
      <c r="G2049" s="10">
        <v>1.665</v>
      </c>
      <c r="H2049" s="10"/>
      <c r="I2049" s="9" t="s">
        <v>45</v>
      </c>
      <c r="J2049" s="9" t="s">
        <v>14808</v>
      </c>
      <c r="K2049" s="9" t="s">
        <v>14809</v>
      </c>
      <c r="L2049" s="8" t="s">
        <v>1017</v>
      </c>
      <c r="M2049" s="9" t="s">
        <v>36</v>
      </c>
      <c r="N2049" s="9" t="s">
        <v>37</v>
      </c>
      <c r="O2049" s="9">
        <f>HYPERLINK("https://www.google.com/maps/search/?api=1&amp;query=36.76865894,-4.4243495", "https://www.google.com/maps/search/?api=1&amp;query=36.76865894,-4.4243495")</f>
      </c>
      <c r="P2049" s="9" t="s">
        <v>14810</v>
      </c>
      <c r="Q2049" s="9" t="s">
        <v>2554</v>
      </c>
    </row>
    <row r="2050" spans="1:17" x14ac:dyDescent="0.25">
      <c r="A2050" s="8" t="s">
        <v>14811</v>
      </c>
      <c r="B2050" s="8" t="s">
        <v>14812</v>
      </c>
      <c r="C2050" s="9" t="s">
        <v>14813</v>
      </c>
      <c r="D2050" s="9" t="s">
        <v>1847</v>
      </c>
      <c r="E2050" s="9" t="s">
        <v>14814</v>
      </c>
      <c r="F2050" s="10">
        <v>1.514</v>
      </c>
      <c r="G2050" s="10">
        <v>1.665</v>
      </c>
      <c r="H2050" s="10"/>
      <c r="I2050" s="9" t="s">
        <v>74</v>
      </c>
      <c r="J2050" s="9" t="s">
        <v>14815</v>
      </c>
      <c r="K2050" s="9" t="s">
        <v>14816</v>
      </c>
      <c r="L2050" s="8" t="s">
        <v>14817</v>
      </c>
      <c r="M2050" s="9" t="s">
        <v>36</v>
      </c>
      <c r="N2050" s="9" t="s">
        <v>3164</v>
      </c>
      <c r="O2050" s="9">
        <f>HYPERLINK("https://www.google.com/maps/search/?api=1&amp;query=40.98628671,-4.2638738", "https://www.google.com/maps/search/?api=1&amp;query=40.98628671,-4.2638738")</f>
      </c>
      <c r="P2050" s="9" t="s">
        <v>493</v>
      </c>
      <c r="Q2050" s="9" t="s">
        <v>1131</v>
      </c>
    </row>
    <row r="2051" spans="1:17" x14ac:dyDescent="0.25">
      <c r="A2051" s="8" t="s">
        <v>14818</v>
      </c>
      <c r="B2051" s="8" t="s">
        <v>14819</v>
      </c>
      <c r="C2051" s="9" t="s">
        <v>14820</v>
      </c>
      <c r="D2051" s="9" t="s">
        <v>280</v>
      </c>
      <c r="E2051" s="9" t="s">
        <v>14821</v>
      </c>
      <c r="F2051" s="10">
        <v>1.514</v>
      </c>
      <c r="G2051" s="10">
        <v>1.665</v>
      </c>
      <c r="H2051" s="10"/>
      <c r="I2051" s="9" t="s">
        <v>118</v>
      </c>
      <c r="J2051" s="9" t="s">
        <v>14822</v>
      </c>
      <c r="K2051" s="9" t="s">
        <v>14823</v>
      </c>
      <c r="L2051" s="8" t="s">
        <v>14824</v>
      </c>
      <c r="M2051" s="9" t="s">
        <v>49</v>
      </c>
      <c r="N2051" s="9" t="s">
        <v>88</v>
      </c>
      <c r="O2051" s="9">
        <f>HYPERLINK("https://www.google.com/maps/search/?api=1&amp;query=43.27145452,-2.07051067", "https://www.google.com/maps/search/?api=1&amp;query=43.27145452,-2.07051067")</f>
      </c>
      <c r="P2051" s="9" t="s">
        <v>1439</v>
      </c>
      <c r="Q2051" s="9" t="s">
        <v>1131</v>
      </c>
    </row>
    <row r="2052" spans="1:17" x14ac:dyDescent="0.25">
      <c r="A2052" s="8" t="s">
        <v>14825</v>
      </c>
      <c r="B2052" s="8" t="s">
        <v>14826</v>
      </c>
      <c r="C2052" s="9" t="s">
        <v>14827</v>
      </c>
      <c r="D2052" s="9" t="s">
        <v>1847</v>
      </c>
      <c r="E2052" s="9" t="s">
        <v>14828</v>
      </c>
      <c r="F2052" s="10">
        <v>1.514</v>
      </c>
      <c r="G2052" s="10">
        <v>1.665</v>
      </c>
      <c r="H2052" s="10"/>
      <c r="I2052" s="9" t="s">
        <v>74</v>
      </c>
      <c r="J2052" s="9" t="s">
        <v>14829</v>
      </c>
      <c r="K2052" s="9" t="s">
        <v>14830</v>
      </c>
      <c r="L2052" s="8" t="s">
        <v>14831</v>
      </c>
      <c r="M2052" s="9" t="s">
        <v>49</v>
      </c>
      <c r="N2052" s="9" t="s">
        <v>483</v>
      </c>
      <c r="O2052" s="9">
        <f>HYPERLINK("https://www.google.com/maps/search/?api=1&amp;query=40.71744113,-4.23463929", "https://www.google.com/maps/search/?api=1&amp;query=40.71744113,-4.23463929")</f>
      </c>
      <c r="P2052" s="9" t="s">
        <v>2594</v>
      </c>
      <c r="Q2052" s="9" t="s">
        <v>8215</v>
      </c>
    </row>
    <row r="2053" spans="1:17" x14ac:dyDescent="0.25">
      <c r="A2053" s="8" t="s">
        <v>14832</v>
      </c>
      <c r="B2053" s="8" t="s">
        <v>14833</v>
      </c>
      <c r="C2053" s="9" t="s">
        <v>14834</v>
      </c>
      <c r="D2053" s="9" t="s">
        <v>106</v>
      </c>
      <c r="E2053" s="9" t="s">
        <v>2424</v>
      </c>
      <c r="F2053" s="10">
        <v>1.514</v>
      </c>
      <c r="G2053" s="10">
        <v>1.665</v>
      </c>
      <c r="H2053" s="10"/>
      <c r="I2053" s="9" t="s">
        <v>106</v>
      </c>
      <c r="J2053" s="9" t="s">
        <v>14835</v>
      </c>
      <c r="K2053" s="9" t="s">
        <v>14836</v>
      </c>
      <c r="L2053" s="8" t="s">
        <v>2427</v>
      </c>
      <c r="M2053" s="9" t="s">
        <v>49</v>
      </c>
      <c r="N2053" s="9" t="s">
        <v>37</v>
      </c>
      <c r="O2053" s="9">
        <f>HYPERLINK("https://www.google.com/maps/search/?api=1&amp;query=37.60590608,-0.99235156", "https://www.google.com/maps/search/?api=1&amp;query=37.60590608,-0.99235156")</f>
      </c>
      <c r="P2053" s="9" t="s">
        <v>3791</v>
      </c>
      <c r="Q2053" s="9" t="s">
        <v>1131</v>
      </c>
    </row>
    <row r="2054" spans="1:17" x14ac:dyDescent="0.25">
      <c r="A2054" s="8" t="s">
        <v>14837</v>
      </c>
      <c r="B2054" s="8" t="s">
        <v>14838</v>
      </c>
      <c r="C2054" s="9" t="s">
        <v>14839</v>
      </c>
      <c r="D2054" s="9" t="s">
        <v>155</v>
      </c>
      <c r="E2054" s="9" t="s">
        <v>2394</v>
      </c>
      <c r="F2054" s="10">
        <v>1.514</v>
      </c>
      <c r="G2054" s="10">
        <v>1.665</v>
      </c>
      <c r="H2054" s="10"/>
      <c r="I2054" s="9" t="s">
        <v>157</v>
      </c>
      <c r="J2054" s="9" t="s">
        <v>14840</v>
      </c>
      <c r="K2054" s="9" t="s">
        <v>14841</v>
      </c>
      <c r="L2054" s="8" t="s">
        <v>13628</v>
      </c>
      <c r="M2054" s="9" t="s">
        <v>49</v>
      </c>
      <c r="N2054" s="9" t="s">
        <v>12329</v>
      </c>
      <c r="O2054" s="9">
        <f>HYPERLINK("https://www.google.com/maps/search/?api=1&amp;query=39.57418074,2.67608784", "https://www.google.com/maps/search/?api=1&amp;query=39.57418074,2.67608784")</f>
      </c>
      <c r="P2054" s="9" t="s">
        <v>1287</v>
      </c>
      <c r="Q2054" s="9" t="s">
        <v>1131</v>
      </c>
    </row>
    <row r="2055" spans="1:17" x14ac:dyDescent="0.25">
      <c r="A2055" s="8" t="s">
        <v>14842</v>
      </c>
      <c r="B2055" s="8" t="s">
        <v>14843</v>
      </c>
      <c r="C2055" s="9" t="s">
        <v>14844</v>
      </c>
      <c r="D2055" s="9" t="s">
        <v>516</v>
      </c>
      <c r="E2055" s="9" t="s">
        <v>516</v>
      </c>
      <c r="F2055" s="10">
        <v>1.514</v>
      </c>
      <c r="G2055" s="10">
        <v>1.665</v>
      </c>
      <c r="H2055" s="10"/>
      <c r="I2055" s="9" t="s">
        <v>140</v>
      </c>
      <c r="J2055" s="9" t="s">
        <v>14845</v>
      </c>
      <c r="K2055" s="9" t="s">
        <v>14846</v>
      </c>
      <c r="L2055" s="8" t="s">
        <v>3884</v>
      </c>
      <c r="M2055" s="9" t="s">
        <v>49</v>
      </c>
      <c r="N2055" s="9" t="s">
        <v>211</v>
      </c>
      <c r="O2055" s="9">
        <f>HYPERLINK("https://www.google.com/maps/search/?api=1&amp;query=43.04465402,-7.56991175", "https://www.google.com/maps/search/?api=1&amp;query=43.04465402,-7.56991175")</f>
      </c>
      <c r="P2055" s="9" t="s">
        <v>646</v>
      </c>
      <c r="Q2055" s="9" t="s">
        <v>6009</v>
      </c>
    </row>
    <row r="2056" spans="1:17" x14ac:dyDescent="0.25">
      <c r="A2056" s="8" t="s">
        <v>14847</v>
      </c>
      <c r="B2056" s="8" t="s">
        <v>14848</v>
      </c>
      <c r="C2056" s="9" t="s">
        <v>14849</v>
      </c>
      <c r="D2056" s="9" t="s">
        <v>166</v>
      </c>
      <c r="E2056" s="9" t="s">
        <v>13940</v>
      </c>
      <c r="F2056" s="10">
        <v>1.514</v>
      </c>
      <c r="G2056" s="10">
        <v>1.665</v>
      </c>
      <c r="H2056" s="10"/>
      <c r="I2056" s="9" t="s">
        <v>168</v>
      </c>
      <c r="J2056" s="9" t="s">
        <v>14850</v>
      </c>
      <c r="K2056" s="9" t="s">
        <v>14851</v>
      </c>
      <c r="L2056" s="8" t="s">
        <v>13943</v>
      </c>
      <c r="M2056" s="9" t="s">
        <v>36</v>
      </c>
      <c r="N2056" s="9" t="s">
        <v>556</v>
      </c>
      <c r="O2056" s="9">
        <f>HYPERLINK("https://www.google.com/maps/search/?api=1&amp;query=40.61033352,-3.21068852", "https://www.google.com/maps/search/?api=1&amp;query=40.61033352,-3.21068852")</f>
      </c>
      <c r="P2056" s="9" t="s">
        <v>38</v>
      </c>
      <c r="Q2056" s="9" t="s">
        <v>3771</v>
      </c>
    </row>
    <row r="2057" spans="1:17" x14ac:dyDescent="0.25">
      <c r="A2057" s="8" t="s">
        <v>14852</v>
      </c>
      <c r="B2057" s="8" t="s">
        <v>14853</v>
      </c>
      <c r="C2057" s="9" t="s">
        <v>14854</v>
      </c>
      <c r="D2057" s="9" t="s">
        <v>892</v>
      </c>
      <c r="E2057" s="9" t="s">
        <v>14855</v>
      </c>
      <c r="F2057" s="10">
        <v>1.514</v>
      </c>
      <c r="G2057" s="10">
        <v>1.665</v>
      </c>
      <c r="H2057" s="10"/>
      <c r="I2057" s="9" t="s">
        <v>32</v>
      </c>
      <c r="J2057" s="9" t="s">
        <v>14856</v>
      </c>
      <c r="K2057" s="9" t="s">
        <v>14857</v>
      </c>
      <c r="L2057" s="8" t="s">
        <v>14858</v>
      </c>
      <c r="M2057" s="9" t="s">
        <v>49</v>
      </c>
      <c r="N2057" s="9" t="s">
        <v>14859</v>
      </c>
      <c r="O2057" s="9">
        <f>HYPERLINK("https://www.google.com/maps/search/?api=1&amp;query=39.82607659,-6.7751245", "https://www.google.com/maps/search/?api=1&amp;query=39.82607659,-6.7751245")</f>
      </c>
      <c r="P2057" s="9" t="s">
        <v>1598</v>
      </c>
      <c r="Q2057" s="9" t="s">
        <v>14860</v>
      </c>
    </row>
    <row r="2058" spans="1:17" x14ac:dyDescent="0.25">
      <c r="A2058" s="8" t="s">
        <v>14861</v>
      </c>
      <c r="B2058" s="8" t="s">
        <v>14862</v>
      </c>
      <c r="C2058" s="9" t="s">
        <v>8873</v>
      </c>
      <c r="D2058" s="9" t="s">
        <v>400</v>
      </c>
      <c r="E2058" s="9" t="s">
        <v>8874</v>
      </c>
      <c r="F2058" s="10">
        <v>1.514</v>
      </c>
      <c r="G2058" s="10">
        <v>1.665</v>
      </c>
      <c r="H2058" s="10"/>
      <c r="I2058" s="9" t="s">
        <v>400</v>
      </c>
      <c r="J2058" s="9" t="s">
        <v>14863</v>
      </c>
      <c r="K2058" s="9" t="s">
        <v>8876</v>
      </c>
      <c r="L2058" s="8" t="s">
        <v>8877</v>
      </c>
      <c r="M2058" s="9" t="s">
        <v>36</v>
      </c>
      <c r="N2058" s="9" t="s">
        <v>12344</v>
      </c>
      <c r="O2058" s="9">
        <f>HYPERLINK("https://www.google.com/maps/search/?api=1&amp;query=39.27598357,-0.27816869", "https://www.google.com/maps/search/?api=1&amp;query=39.27598357,-0.27816869")</f>
      </c>
      <c r="P2058" s="9" t="s">
        <v>14864</v>
      </c>
      <c r="Q2058" s="9" t="s">
        <v>4729</v>
      </c>
    </row>
    <row r="2059" spans="1:17" x14ac:dyDescent="0.25">
      <c r="A2059" s="8" t="s">
        <v>14865</v>
      </c>
      <c r="B2059" s="8" t="s">
        <v>14866</v>
      </c>
      <c r="C2059" s="9" t="s">
        <v>14867</v>
      </c>
      <c r="D2059" s="9" t="s">
        <v>280</v>
      </c>
      <c r="E2059" s="9" t="s">
        <v>685</v>
      </c>
      <c r="F2059" s="10">
        <v>1.514</v>
      </c>
      <c r="G2059" s="10">
        <v>1.665</v>
      </c>
      <c r="H2059" s="10"/>
      <c r="I2059" s="9" t="s">
        <v>118</v>
      </c>
      <c r="J2059" s="9" t="s">
        <v>14868</v>
      </c>
      <c r="K2059" s="9" t="s">
        <v>14869</v>
      </c>
      <c r="L2059" s="8" t="s">
        <v>1597</v>
      </c>
      <c r="M2059" s="9" t="s">
        <v>100</v>
      </c>
      <c r="N2059" s="9" t="s">
        <v>37</v>
      </c>
      <c r="O2059" s="9">
        <f>HYPERLINK("https://www.google.com/maps/search/?api=1&amp;query=43.34271605,-1.76263239", "https://www.google.com/maps/search/?api=1&amp;query=43.34271605,-1.76263239")</f>
      </c>
      <c r="P2059" s="9" t="s">
        <v>8265</v>
      </c>
      <c r="Q2059" s="9" t="s">
        <v>11235</v>
      </c>
    </row>
    <row r="2060" spans="1:17" x14ac:dyDescent="0.25">
      <c r="A2060" s="8" t="s">
        <v>14870</v>
      </c>
      <c r="B2060" s="8" t="s">
        <v>14871</v>
      </c>
      <c r="C2060" s="9" t="s">
        <v>14872</v>
      </c>
      <c r="D2060" s="9" t="s">
        <v>43</v>
      </c>
      <c r="E2060" s="9" t="s">
        <v>1292</v>
      </c>
      <c r="F2060" s="10">
        <v>1.514</v>
      </c>
      <c r="G2060" s="10">
        <v>1.665</v>
      </c>
      <c r="H2060" s="10"/>
      <c r="I2060" s="9" t="s">
        <v>45</v>
      </c>
      <c r="J2060" s="9" t="s">
        <v>14873</v>
      </c>
      <c r="K2060" s="9" t="s">
        <v>14874</v>
      </c>
      <c r="L2060" s="8" t="s">
        <v>1295</v>
      </c>
      <c r="M2060" s="9" t="s">
        <v>36</v>
      </c>
      <c r="N2060" s="9" t="s">
        <v>3399</v>
      </c>
      <c r="O2060" s="9">
        <f>HYPERLINK("https://www.google.com/maps/search/?api=1&amp;query=37.28827921,-7.14667278", "https://www.google.com/maps/search/?api=1&amp;query=37.28827921,-7.14667278")</f>
      </c>
      <c r="P2060" s="9" t="s">
        <v>493</v>
      </c>
      <c r="Q2060" s="9" t="s">
        <v>7794</v>
      </c>
    </row>
    <row r="2061" spans="1:17" x14ac:dyDescent="0.25">
      <c r="A2061" s="8" t="s">
        <v>14875</v>
      </c>
      <c r="B2061" s="8" t="s">
        <v>14876</v>
      </c>
      <c r="C2061" s="9" t="s">
        <v>7591</v>
      </c>
      <c r="D2061" s="9" t="s">
        <v>2288</v>
      </c>
      <c r="E2061" s="9" t="s">
        <v>2288</v>
      </c>
      <c r="F2061" s="10">
        <v>1.514</v>
      </c>
      <c r="G2061" s="10">
        <v>1.665</v>
      </c>
      <c r="H2061" s="10"/>
      <c r="I2061" s="9" t="s">
        <v>168</v>
      </c>
      <c r="J2061" s="9" t="s">
        <v>14877</v>
      </c>
      <c r="K2061" s="9" t="s">
        <v>14878</v>
      </c>
      <c r="L2061" s="8" t="s">
        <v>4931</v>
      </c>
      <c r="M2061" s="9" t="s">
        <v>49</v>
      </c>
      <c r="N2061" s="9" t="s">
        <v>13613</v>
      </c>
      <c r="O2061" s="9">
        <f>HYPERLINK("https://www.google.com/maps/search/?api=1&amp;query=39.03318002,-1.84504358", "https://www.google.com/maps/search/?api=1&amp;query=39.03318002,-1.84504358")</f>
      </c>
      <c r="P2061" s="9" t="s">
        <v>780</v>
      </c>
      <c r="Q2061" s="9" t="s">
        <v>14879</v>
      </c>
    </row>
    <row r="2062" spans="1:17" x14ac:dyDescent="0.25">
      <c r="A2062" s="8" t="s">
        <v>14880</v>
      </c>
      <c r="B2062" s="8" t="s">
        <v>14881</v>
      </c>
      <c r="C2062" s="9" t="s">
        <v>14882</v>
      </c>
      <c r="D2062" s="9" t="s">
        <v>400</v>
      </c>
      <c r="E2062" s="9" t="s">
        <v>13851</v>
      </c>
      <c r="F2062" s="10">
        <v>1.514</v>
      </c>
      <c r="G2062" s="10">
        <v>1.665</v>
      </c>
      <c r="H2062" s="10"/>
      <c r="I2062" s="9" t="s">
        <v>400</v>
      </c>
      <c r="J2062" s="9" t="s">
        <v>14883</v>
      </c>
      <c r="K2062" s="9" t="s">
        <v>14884</v>
      </c>
      <c r="L2062" s="8" t="s">
        <v>13854</v>
      </c>
      <c r="M2062" s="9" t="s">
        <v>49</v>
      </c>
      <c r="N2062" s="9" t="s">
        <v>88</v>
      </c>
      <c r="O2062" s="9">
        <f>HYPERLINK("https://www.google.com/maps/search/?api=1&amp;query=38.81821976,-0.60470108", "https://www.google.com/maps/search/?api=1&amp;query=38.81821976,-0.60470108")</f>
      </c>
      <c r="P2062" s="9" t="s">
        <v>3165</v>
      </c>
      <c r="Q2062" s="9" t="s">
        <v>697</v>
      </c>
    </row>
    <row r="2063" spans="1:17" x14ac:dyDescent="0.25">
      <c r="A2063" s="8" t="s">
        <v>14885</v>
      </c>
      <c r="B2063" s="8" t="s">
        <v>14886</v>
      </c>
      <c r="C2063" s="9" t="s">
        <v>14887</v>
      </c>
      <c r="D2063" s="9" t="s">
        <v>94</v>
      </c>
      <c r="E2063" s="9" t="s">
        <v>14888</v>
      </c>
      <c r="F2063" s="10">
        <v>1.514</v>
      </c>
      <c r="G2063" s="10">
        <v>1.665</v>
      </c>
      <c r="H2063" s="10"/>
      <c r="I2063" s="9" t="s">
        <v>96</v>
      </c>
      <c r="J2063" s="9" t="s">
        <v>14889</v>
      </c>
      <c r="K2063" s="9" t="s">
        <v>14890</v>
      </c>
      <c r="L2063" s="8" t="s">
        <v>14891</v>
      </c>
      <c r="M2063" s="9" t="s">
        <v>100</v>
      </c>
      <c r="N2063" s="9" t="s">
        <v>37</v>
      </c>
      <c r="O2063" s="9">
        <f>HYPERLINK("https://www.google.com/maps/search/?api=1&amp;query=41.59378962,1.7507325", "https://www.google.com/maps/search/?api=1&amp;query=41.59378962,1.7507325")</f>
      </c>
      <c r="P2063" s="9" t="s">
        <v>4844</v>
      </c>
      <c r="Q2063" s="9" t="s">
        <v>7038</v>
      </c>
    </row>
    <row r="2064" spans="1:17" x14ac:dyDescent="0.25">
      <c r="A2064" s="8" t="s">
        <v>14892</v>
      </c>
      <c r="B2064" s="8" t="s">
        <v>14893</v>
      </c>
      <c r="C2064" s="9" t="s">
        <v>14894</v>
      </c>
      <c r="D2064" s="9" t="s">
        <v>83</v>
      </c>
      <c r="E2064" s="9" t="s">
        <v>604</v>
      </c>
      <c r="F2064" s="10">
        <v>1.514</v>
      </c>
      <c r="G2064" s="10">
        <v>1.665</v>
      </c>
      <c r="H2064" s="10"/>
      <c r="I2064" s="9" t="s">
        <v>83</v>
      </c>
      <c r="J2064" s="9" t="s">
        <v>14895</v>
      </c>
      <c r="K2064" s="9" t="s">
        <v>14896</v>
      </c>
      <c r="L2064" s="8" t="s">
        <v>607</v>
      </c>
      <c r="M2064" s="9" t="s">
        <v>36</v>
      </c>
      <c r="N2064" s="9" t="s">
        <v>88</v>
      </c>
      <c r="O2064" s="9">
        <f>HYPERLINK("https://www.google.com/maps/search/?api=1&amp;query=40.33564394,-3.80436973", "https://www.google.com/maps/search/?api=1&amp;query=40.33564394,-3.80436973")</f>
      </c>
      <c r="P2064" s="9" t="s">
        <v>1250</v>
      </c>
      <c r="Q2064" s="9" t="s">
        <v>3744</v>
      </c>
    </row>
    <row r="2065" spans="1:17" x14ac:dyDescent="0.25">
      <c r="A2065" s="8" t="s">
        <v>14897</v>
      </c>
      <c r="B2065" s="8" t="s">
        <v>14898</v>
      </c>
      <c r="C2065" s="9" t="s">
        <v>14899</v>
      </c>
      <c r="D2065" s="9" t="s">
        <v>434</v>
      </c>
      <c r="E2065" s="9" t="s">
        <v>14900</v>
      </c>
      <c r="F2065" s="10">
        <v>1.514</v>
      </c>
      <c r="G2065" s="10">
        <v>1.665</v>
      </c>
      <c r="H2065" s="10"/>
      <c r="I2065" s="9" t="s">
        <v>96</v>
      </c>
      <c r="J2065" s="9" t="s">
        <v>14901</v>
      </c>
      <c r="K2065" s="9" t="s">
        <v>14902</v>
      </c>
      <c r="L2065" s="8" t="s">
        <v>14903</v>
      </c>
      <c r="M2065" s="9" t="s">
        <v>36</v>
      </c>
      <c r="N2065" s="9" t="s">
        <v>1695</v>
      </c>
      <c r="O2065" s="9">
        <f>HYPERLINK("https://www.google.com/maps/search/?api=1&amp;query=42.00453576,3.1459758", "https://www.google.com/maps/search/?api=1&amp;query=42.00453576,3.1459758")</f>
      </c>
      <c r="P2065" s="9" t="s">
        <v>7785</v>
      </c>
      <c r="Q2065" s="9" t="s">
        <v>3861</v>
      </c>
    </row>
    <row r="2066" spans="1:17" x14ac:dyDescent="0.25">
      <c r="A2066" s="8" t="s">
        <v>14904</v>
      </c>
      <c r="B2066" s="8" t="s">
        <v>14905</v>
      </c>
      <c r="C2066" s="9" t="s">
        <v>14906</v>
      </c>
      <c r="D2066" s="9" t="s">
        <v>83</v>
      </c>
      <c r="E2066" s="9" t="s">
        <v>4153</v>
      </c>
      <c r="F2066" s="10">
        <v>1.514</v>
      </c>
      <c r="G2066" s="10">
        <v>1.665</v>
      </c>
      <c r="H2066" s="10"/>
      <c r="I2066" s="9" t="s">
        <v>83</v>
      </c>
      <c r="J2066" s="9" t="s">
        <v>14907</v>
      </c>
      <c r="K2066" s="9" t="s">
        <v>14908</v>
      </c>
      <c r="L2066" s="8" t="s">
        <v>4156</v>
      </c>
      <c r="M2066" s="9" t="s">
        <v>49</v>
      </c>
      <c r="N2066" s="9" t="s">
        <v>37</v>
      </c>
      <c r="O2066" s="9">
        <f>HYPERLINK("https://www.google.com/maps/search/?api=1&amp;query=40.30203978,-3.90654931", "https://www.google.com/maps/search/?api=1&amp;query=40.30203978,-3.90654931")</f>
      </c>
      <c r="P2066" s="9" t="s">
        <v>789</v>
      </c>
      <c r="Q2066" s="9" t="s">
        <v>14909</v>
      </c>
    </row>
    <row r="2067" spans="1:17" x14ac:dyDescent="0.25">
      <c r="A2067" s="8" t="s">
        <v>14910</v>
      </c>
      <c r="B2067" s="8" t="s">
        <v>14911</v>
      </c>
      <c r="C2067" s="9" t="s">
        <v>14912</v>
      </c>
      <c r="D2067" s="9" t="s">
        <v>106</v>
      </c>
      <c r="E2067" s="9" t="s">
        <v>1993</v>
      </c>
      <c r="F2067" s="10">
        <v>1.514</v>
      </c>
      <c r="G2067" s="10">
        <v>1.665</v>
      </c>
      <c r="H2067" s="10"/>
      <c r="I2067" s="9" t="s">
        <v>106</v>
      </c>
      <c r="J2067" s="9" t="s">
        <v>14913</v>
      </c>
      <c r="K2067" s="9" t="s">
        <v>14914</v>
      </c>
      <c r="L2067" s="8" t="s">
        <v>1996</v>
      </c>
      <c r="M2067" s="9" t="s">
        <v>49</v>
      </c>
      <c r="N2067" s="9" t="s">
        <v>37</v>
      </c>
      <c r="O2067" s="9">
        <f>HYPERLINK("https://www.google.com/maps/search/?api=1&amp;query=37.80887816,-1.38789909", "https://www.google.com/maps/search/?api=1&amp;query=37.80887816,-1.38789909")</f>
      </c>
      <c r="P2067" s="9" t="s">
        <v>1439</v>
      </c>
      <c r="Q2067" s="9" t="s">
        <v>14915</v>
      </c>
    </row>
    <row r="2068" spans="1:17" x14ac:dyDescent="0.25">
      <c r="A2068" s="8" t="s">
        <v>14916</v>
      </c>
      <c r="B2068" s="8" t="s">
        <v>14917</v>
      </c>
      <c r="C2068" s="9" t="s">
        <v>14918</v>
      </c>
      <c r="D2068" s="9" t="s">
        <v>187</v>
      </c>
      <c r="E2068" s="9" t="s">
        <v>14919</v>
      </c>
      <c r="F2068" s="10">
        <v>1.514</v>
      </c>
      <c r="G2068" s="10">
        <v>1.665</v>
      </c>
      <c r="H2068" s="10"/>
      <c r="I2068" s="9" t="s">
        <v>74</v>
      </c>
      <c r="J2068" s="9" t="s">
        <v>14920</v>
      </c>
      <c r="K2068" s="9" t="s">
        <v>14921</v>
      </c>
      <c r="L2068" s="8" t="s">
        <v>14922</v>
      </c>
      <c r="M2068" s="9" t="s">
        <v>49</v>
      </c>
      <c r="N2068" s="9" t="s">
        <v>211</v>
      </c>
      <c r="O2068" s="9">
        <f>HYPERLINK("https://www.google.com/maps/search/?api=1&amp;query=42.62215809,-5.54931727", "https://www.google.com/maps/search/?api=1&amp;query=42.62215809,-5.54931727")</f>
      </c>
      <c r="P2068" s="9" t="s">
        <v>626</v>
      </c>
      <c r="Q2068" s="9" t="s">
        <v>2719</v>
      </c>
    </row>
    <row r="2069" spans="1:17" x14ac:dyDescent="0.25">
      <c r="A2069" s="8" t="s">
        <v>14923</v>
      </c>
      <c r="B2069" s="8" t="s">
        <v>14924</v>
      </c>
      <c r="C2069" s="9" t="s">
        <v>14925</v>
      </c>
      <c r="D2069" s="9" t="s">
        <v>155</v>
      </c>
      <c r="E2069" s="9" t="s">
        <v>14926</v>
      </c>
      <c r="F2069" s="10">
        <v>1.514</v>
      </c>
      <c r="G2069" s="10">
        <v>1.665</v>
      </c>
      <c r="H2069" s="10"/>
      <c r="I2069" s="9" t="s">
        <v>157</v>
      </c>
      <c r="J2069" s="9" t="s">
        <v>14927</v>
      </c>
      <c r="K2069" s="9" t="s">
        <v>14928</v>
      </c>
      <c r="L2069" s="8" t="s">
        <v>14929</v>
      </c>
      <c r="M2069" s="9" t="s">
        <v>36</v>
      </c>
      <c r="N2069" s="9" t="s">
        <v>14930</v>
      </c>
      <c r="O2069" s="9">
        <f>HYPERLINK("https://www.google.com/maps/search/?api=1&amp;query=39.74161639,3.0525029", "https://www.google.com/maps/search/?api=1&amp;query=39.74161639,3.0525029")</f>
      </c>
      <c r="P2069" s="9" t="s">
        <v>1139</v>
      </c>
      <c r="Q2069" s="9" t="s">
        <v>14408</v>
      </c>
    </row>
    <row r="2070" spans="1:17" x14ac:dyDescent="0.25">
      <c r="A2070" s="8" t="s">
        <v>14931</v>
      </c>
      <c r="B2070" s="8" t="s">
        <v>14932</v>
      </c>
      <c r="C2070" s="9" t="s">
        <v>14933</v>
      </c>
      <c r="D2070" s="9" t="s">
        <v>892</v>
      </c>
      <c r="E2070" s="9" t="s">
        <v>14934</v>
      </c>
      <c r="F2070" s="10">
        <v>1.514</v>
      </c>
      <c r="G2070" s="10">
        <v>1.665</v>
      </c>
      <c r="H2070" s="10"/>
      <c r="I2070" s="9" t="s">
        <v>32</v>
      </c>
      <c r="J2070" s="9" t="s">
        <v>14935</v>
      </c>
      <c r="K2070" s="9" t="s">
        <v>14936</v>
      </c>
      <c r="L2070" s="8" t="s">
        <v>14937</v>
      </c>
      <c r="M2070" s="9" t="s">
        <v>36</v>
      </c>
      <c r="N2070" s="9" t="s">
        <v>122</v>
      </c>
      <c r="O2070" s="9">
        <f>HYPERLINK("https://www.google.com/maps/search/?api=1&amp;query=40.13269159,-5.43336808", "https://www.google.com/maps/search/?api=1&amp;query=40.13269159,-5.43336808")</f>
      </c>
      <c r="P2070" s="9" t="s">
        <v>1100</v>
      </c>
      <c r="Q2070" s="9" t="s">
        <v>14938</v>
      </c>
    </row>
    <row r="2071" spans="1:17" x14ac:dyDescent="0.25">
      <c r="A2071" s="8" t="s">
        <v>14939</v>
      </c>
      <c r="B2071" s="8" t="s">
        <v>14940</v>
      </c>
      <c r="C2071" s="9" t="s">
        <v>14941</v>
      </c>
      <c r="D2071" s="9" t="s">
        <v>83</v>
      </c>
      <c r="E2071" s="9" t="s">
        <v>14942</v>
      </c>
      <c r="F2071" s="10">
        <v>1.514</v>
      </c>
      <c r="G2071" s="10">
        <v>1.665</v>
      </c>
      <c r="H2071" s="10"/>
      <c r="I2071" s="9" t="s">
        <v>83</v>
      </c>
      <c r="J2071" s="9" t="s">
        <v>14943</v>
      </c>
      <c r="K2071" s="9" t="s">
        <v>14944</v>
      </c>
      <c r="L2071" s="8" t="s">
        <v>1541</v>
      </c>
      <c r="M2071" s="9" t="s">
        <v>100</v>
      </c>
      <c r="N2071" s="9" t="s">
        <v>211</v>
      </c>
      <c r="O2071" s="9">
        <f>HYPERLINK("https://www.google.com/maps/search/?api=1&amp;query=40.47426882,-3.8485616", "https://www.google.com/maps/search/?api=1&amp;query=40.47426882,-3.8485616")</f>
      </c>
      <c r="P2071" s="9" t="s">
        <v>172</v>
      </c>
      <c r="Q2071" s="9" t="s">
        <v>12757</v>
      </c>
    </row>
    <row r="2072" spans="1:17" x14ac:dyDescent="0.25">
      <c r="A2072" s="8" t="s">
        <v>14945</v>
      </c>
      <c r="B2072" s="8" t="s">
        <v>14946</v>
      </c>
      <c r="C2072" s="9" t="s">
        <v>14947</v>
      </c>
      <c r="D2072" s="9" t="s">
        <v>398</v>
      </c>
      <c r="E2072" s="9" t="s">
        <v>12767</v>
      </c>
      <c r="F2072" s="10">
        <v>1.514</v>
      </c>
      <c r="G2072" s="10">
        <v>1.665</v>
      </c>
      <c r="H2072" s="10"/>
      <c r="I2072" s="9" t="s">
        <v>400</v>
      </c>
      <c r="J2072" s="9" t="s">
        <v>14948</v>
      </c>
      <c r="K2072" s="9" t="s">
        <v>14949</v>
      </c>
      <c r="L2072" s="8" t="s">
        <v>12770</v>
      </c>
      <c r="M2072" s="9" t="s">
        <v>49</v>
      </c>
      <c r="N2072" s="9" t="s">
        <v>88</v>
      </c>
      <c r="O2072" s="9">
        <f>HYPERLINK("https://www.google.com/maps/search/?api=1&amp;query=38.57812965,-0.6551979", "https://www.google.com/maps/search/?api=1&amp;query=38.57812965,-0.6551979")</f>
      </c>
      <c r="P2072" s="9" t="s">
        <v>14950</v>
      </c>
      <c r="Q2072" s="9" t="s">
        <v>14951</v>
      </c>
    </row>
    <row r="2073" spans="1:17" x14ac:dyDescent="0.25">
      <c r="A2073" s="8" t="s">
        <v>14952</v>
      </c>
      <c r="B2073" s="8" t="s">
        <v>14953</v>
      </c>
      <c r="C2073" s="9" t="s">
        <v>14954</v>
      </c>
      <c r="D2073" s="9" t="s">
        <v>1192</v>
      </c>
      <c r="E2073" s="9" t="s">
        <v>14346</v>
      </c>
      <c r="F2073" s="10">
        <v>1.514</v>
      </c>
      <c r="G2073" s="10">
        <v>1.665</v>
      </c>
      <c r="H2073" s="10"/>
      <c r="I2073" s="9" t="s">
        <v>168</v>
      </c>
      <c r="J2073" s="9" t="s">
        <v>14955</v>
      </c>
      <c r="K2073" s="9" t="s">
        <v>14956</v>
      </c>
      <c r="L2073" s="8" t="s">
        <v>14349</v>
      </c>
      <c r="M2073" s="9" t="s">
        <v>49</v>
      </c>
      <c r="N2073" s="9" t="s">
        <v>556</v>
      </c>
      <c r="O2073" s="9">
        <f>HYPERLINK("https://www.google.com/maps/search/?api=1&amp;query=39.13196893,-3.07938493", "https://www.google.com/maps/search/?api=1&amp;query=39.13196893,-3.07938493")</f>
      </c>
      <c r="P2073" s="9" t="s">
        <v>771</v>
      </c>
      <c r="Q2073" s="9" t="s">
        <v>4729</v>
      </c>
    </row>
    <row r="2074" spans="1:17" x14ac:dyDescent="0.25">
      <c r="A2074" s="8" t="s">
        <v>14957</v>
      </c>
      <c r="B2074" s="8" t="s">
        <v>14958</v>
      </c>
      <c r="C2074" s="9" t="s">
        <v>14959</v>
      </c>
      <c r="D2074" s="9" t="s">
        <v>217</v>
      </c>
      <c r="E2074" s="9" t="s">
        <v>14960</v>
      </c>
      <c r="F2074" s="10">
        <v>1.514</v>
      </c>
      <c r="G2074" s="10">
        <v>1.665</v>
      </c>
      <c r="H2074" s="10"/>
      <c r="I2074" s="9" t="s">
        <v>45</v>
      </c>
      <c r="J2074" s="9" t="s">
        <v>14961</v>
      </c>
      <c r="K2074" s="9" t="s">
        <v>14962</v>
      </c>
      <c r="L2074" s="8" t="s">
        <v>13522</v>
      </c>
      <c r="M2074" s="9" t="s">
        <v>36</v>
      </c>
      <c r="N2074" s="9" t="s">
        <v>37</v>
      </c>
      <c r="O2074" s="9">
        <f>HYPERLINK("https://www.google.com/maps/search/?api=1&amp;query=37.06685699,-4.3272517", "https://www.google.com/maps/search/?api=1&amp;query=37.06685699,-4.3272517")</f>
      </c>
      <c r="P2074" s="9" t="s">
        <v>144</v>
      </c>
      <c r="Q2074" s="9" t="s">
        <v>7794</v>
      </c>
    </row>
    <row r="2075" spans="1:17" x14ac:dyDescent="0.25">
      <c r="A2075" s="8" t="s">
        <v>14963</v>
      </c>
      <c r="B2075" s="8" t="s">
        <v>14964</v>
      </c>
      <c r="C2075" s="9" t="s">
        <v>14965</v>
      </c>
      <c r="D2075" s="9" t="s">
        <v>892</v>
      </c>
      <c r="E2075" s="9" t="s">
        <v>14966</v>
      </c>
      <c r="F2075" s="10">
        <v>1.514</v>
      </c>
      <c r="G2075" s="10">
        <v>1.665</v>
      </c>
      <c r="H2075" s="10"/>
      <c r="I2075" s="9" t="s">
        <v>32</v>
      </c>
      <c r="J2075" s="9" t="s">
        <v>14967</v>
      </c>
      <c r="K2075" s="9" t="s">
        <v>14968</v>
      </c>
      <c r="L2075" s="8" t="s">
        <v>14969</v>
      </c>
      <c r="M2075" s="9" t="s">
        <v>49</v>
      </c>
      <c r="N2075" s="9" t="s">
        <v>122</v>
      </c>
      <c r="O2075" s="9">
        <f>HYPERLINK("https://www.google.com/maps/search/?api=1&amp;query=40.03096993,-5.4845626", "https://www.google.com/maps/search/?api=1&amp;query=40.03096993,-5.4845626")</f>
      </c>
      <c r="P2075" s="9" t="s">
        <v>1439</v>
      </c>
      <c r="Q2075" s="9" t="s">
        <v>2641</v>
      </c>
    </row>
    <row r="2076" spans="1:17" x14ac:dyDescent="0.25">
      <c r="A2076" s="8" t="s">
        <v>14970</v>
      </c>
      <c r="B2076" s="8" t="s">
        <v>14971</v>
      </c>
      <c r="C2076" s="9" t="s">
        <v>14972</v>
      </c>
      <c r="D2076" s="9" t="s">
        <v>197</v>
      </c>
      <c r="E2076" s="9" t="s">
        <v>14973</v>
      </c>
      <c r="F2076" s="10">
        <v>1.514</v>
      </c>
      <c r="G2076" s="10">
        <v>1.665</v>
      </c>
      <c r="H2076" s="10"/>
      <c r="I2076" s="9" t="s">
        <v>168</v>
      </c>
      <c r="J2076" s="9" t="s">
        <v>14974</v>
      </c>
      <c r="K2076" s="9" t="s">
        <v>14975</v>
      </c>
      <c r="L2076" s="8" t="s">
        <v>14976</v>
      </c>
      <c r="M2076" s="9" t="s">
        <v>49</v>
      </c>
      <c r="N2076" s="9" t="s">
        <v>14977</v>
      </c>
      <c r="O2076" s="9">
        <f>HYPERLINK("https://www.google.com/maps/search/?api=1&amp;query=39.9817857,-4.13777017", "https://www.google.com/maps/search/?api=1&amp;query=39.9817857,-4.13777017")</f>
      </c>
      <c r="P2076" s="9" t="s">
        <v>1203</v>
      </c>
      <c r="Q2076" s="9" t="s">
        <v>13462</v>
      </c>
    </row>
    <row r="2077" spans="1:17" x14ac:dyDescent="0.25">
      <c r="A2077" s="8" t="s">
        <v>14978</v>
      </c>
      <c r="B2077" s="8" t="s">
        <v>14979</v>
      </c>
      <c r="C2077" s="9" t="s">
        <v>14980</v>
      </c>
      <c r="D2077" s="9" t="s">
        <v>217</v>
      </c>
      <c r="E2077" s="9" t="s">
        <v>14303</v>
      </c>
      <c r="F2077" s="10">
        <v>1.514</v>
      </c>
      <c r="G2077" s="10">
        <v>1.665</v>
      </c>
      <c r="H2077" s="10"/>
      <c r="I2077" s="9" t="s">
        <v>45</v>
      </c>
      <c r="J2077" s="9" t="s">
        <v>14981</v>
      </c>
      <c r="K2077" s="9" t="s">
        <v>14982</v>
      </c>
      <c r="L2077" s="8" t="s">
        <v>14306</v>
      </c>
      <c r="M2077" s="9" t="s">
        <v>36</v>
      </c>
      <c r="N2077" s="9" t="s">
        <v>37</v>
      </c>
      <c r="O2077" s="9">
        <f>HYPERLINK("https://www.google.com/maps/search/?api=1&amp;query=36.74780509,-4.08282131", "https://www.google.com/maps/search/?api=1&amp;query=36.74780509,-4.08282131")</f>
      </c>
      <c r="P2077" s="9" t="s">
        <v>1268</v>
      </c>
      <c r="Q2077" s="9" t="s">
        <v>14983</v>
      </c>
    </row>
    <row r="2078" spans="1:17" x14ac:dyDescent="0.25">
      <c r="A2078" s="8" t="s">
        <v>14984</v>
      </c>
      <c r="B2078" s="8" t="s">
        <v>14985</v>
      </c>
      <c r="C2078" s="9" t="s">
        <v>14986</v>
      </c>
      <c r="D2078" s="9" t="s">
        <v>155</v>
      </c>
      <c r="E2078" s="9" t="s">
        <v>2394</v>
      </c>
      <c r="F2078" s="10">
        <v>1.514</v>
      </c>
      <c r="G2078" s="10">
        <v>1.665</v>
      </c>
      <c r="H2078" s="10"/>
      <c r="I2078" s="9" t="s">
        <v>157</v>
      </c>
      <c r="J2078" s="9" t="s">
        <v>14987</v>
      </c>
      <c r="K2078" s="9" t="s">
        <v>14988</v>
      </c>
      <c r="L2078" s="8" t="s">
        <v>14989</v>
      </c>
      <c r="M2078" s="9" t="s">
        <v>49</v>
      </c>
      <c r="N2078" s="9" t="s">
        <v>9686</v>
      </c>
      <c r="O2078" s="9">
        <f>HYPERLINK("https://www.google.com/maps/search/?api=1&amp;query=39.58221623,2.66081575", "https://www.google.com/maps/search/?api=1&amp;query=39.58221623,2.66081575")</f>
      </c>
      <c r="P2078" s="9" t="s">
        <v>1287</v>
      </c>
      <c r="Q2078" s="9" t="s">
        <v>1131</v>
      </c>
    </row>
    <row r="2079" spans="1:17" x14ac:dyDescent="0.25">
      <c r="A2079" s="8" t="s">
        <v>14990</v>
      </c>
      <c r="B2079" s="8" t="s">
        <v>14991</v>
      </c>
      <c r="C2079" s="9" t="s">
        <v>14992</v>
      </c>
      <c r="D2079" s="9" t="s">
        <v>1847</v>
      </c>
      <c r="E2079" s="9" t="s">
        <v>14993</v>
      </c>
      <c r="F2079" s="10">
        <v>1.514</v>
      </c>
      <c r="G2079" s="10">
        <v>1.665</v>
      </c>
      <c r="H2079" s="10"/>
      <c r="I2079" s="9" t="s">
        <v>74</v>
      </c>
      <c r="J2079" s="9" t="s">
        <v>14994</v>
      </c>
      <c r="K2079" s="9" t="s">
        <v>14995</v>
      </c>
      <c r="L2079" s="8" t="s">
        <v>14996</v>
      </c>
      <c r="M2079" s="9" t="s">
        <v>100</v>
      </c>
      <c r="N2079" s="9" t="s">
        <v>1719</v>
      </c>
      <c r="O2079" s="9">
        <f>HYPERLINK("https://www.google.com/maps/search/?api=1&amp;query=41.11787256,-4.2635982", "https://www.google.com/maps/search/?api=1&amp;query=41.11787256,-4.2635982")</f>
      </c>
      <c r="P2079" s="9" t="s">
        <v>321</v>
      </c>
      <c r="Q2079" s="9" t="s">
        <v>14997</v>
      </c>
    </row>
    <row r="2080" spans="1:17" x14ac:dyDescent="0.25">
      <c r="A2080" s="8" t="s">
        <v>14998</v>
      </c>
      <c r="B2080" s="8" t="s">
        <v>14999</v>
      </c>
      <c r="C2080" s="9" t="s">
        <v>15000</v>
      </c>
      <c r="D2080" s="9" t="s">
        <v>434</v>
      </c>
      <c r="E2080" s="9" t="s">
        <v>15001</v>
      </c>
      <c r="F2080" s="10">
        <v>1.514</v>
      </c>
      <c r="G2080" s="10">
        <v>1.665</v>
      </c>
      <c r="H2080" s="10"/>
      <c r="I2080" s="9" t="s">
        <v>96</v>
      </c>
      <c r="J2080" s="9" t="s">
        <v>15002</v>
      </c>
      <c r="K2080" s="9" t="s">
        <v>15003</v>
      </c>
      <c r="L2080" s="8" t="s">
        <v>15004</v>
      </c>
      <c r="M2080" s="9" t="s">
        <v>49</v>
      </c>
      <c r="N2080" s="9" t="s">
        <v>88</v>
      </c>
      <c r="O2080" s="9">
        <f>HYPERLINK("https://www.google.com/maps/search/?api=1&amp;query=42.28715067,2.16069966", "https://www.google.com/maps/search/?api=1&amp;query=42.28715067,2.16069966")</f>
      </c>
      <c r="P2080" s="9" t="s">
        <v>2594</v>
      </c>
      <c r="Q2080" s="9" t="s">
        <v>1140</v>
      </c>
    </row>
    <row r="2081" spans="1:17" x14ac:dyDescent="0.25">
      <c r="A2081" s="8" t="s">
        <v>15005</v>
      </c>
      <c r="B2081" s="8" t="s">
        <v>15006</v>
      </c>
      <c r="C2081" s="9" t="s">
        <v>15007</v>
      </c>
      <c r="D2081" s="9" t="s">
        <v>409</v>
      </c>
      <c r="E2081" s="9" t="s">
        <v>15008</v>
      </c>
      <c r="F2081" s="10">
        <v>1.514</v>
      </c>
      <c r="G2081" s="10">
        <v>1.665</v>
      </c>
      <c r="H2081" s="10"/>
      <c r="I2081" s="9" t="s">
        <v>292</v>
      </c>
      <c r="J2081" s="9" t="s">
        <v>15009</v>
      </c>
      <c r="K2081" s="9" t="s">
        <v>15010</v>
      </c>
      <c r="L2081" s="8" t="s">
        <v>15011</v>
      </c>
      <c r="M2081" s="9" t="s">
        <v>49</v>
      </c>
      <c r="N2081" s="9" t="s">
        <v>122</v>
      </c>
      <c r="O2081" s="9">
        <f>HYPERLINK("https://www.google.com/maps/search/?api=1&amp;query=41.20880854,-0.71085027", "https://www.google.com/maps/search/?api=1&amp;query=41.20880854,-0.71085027")</f>
      </c>
      <c r="P2081" s="9" t="s">
        <v>296</v>
      </c>
      <c r="Q2081" s="9" t="s">
        <v>15012</v>
      </c>
    </row>
    <row r="2082" spans="1:17" x14ac:dyDescent="0.25">
      <c r="A2082" s="8" t="s">
        <v>15013</v>
      </c>
      <c r="B2082" s="8" t="s">
        <v>15014</v>
      </c>
      <c r="C2082" s="9" t="s">
        <v>15015</v>
      </c>
      <c r="D2082" s="9" t="s">
        <v>1192</v>
      </c>
      <c r="E2082" s="9" t="s">
        <v>1192</v>
      </c>
      <c r="F2082" s="10">
        <v>1.514</v>
      </c>
      <c r="G2082" s="10">
        <v>1.665</v>
      </c>
      <c r="H2082" s="10"/>
      <c r="I2082" s="9" t="s">
        <v>168</v>
      </c>
      <c r="J2082" s="9" t="s">
        <v>15016</v>
      </c>
      <c r="K2082" s="9" t="s">
        <v>15017</v>
      </c>
      <c r="L2082" s="8" t="s">
        <v>2683</v>
      </c>
      <c r="M2082" s="9" t="s">
        <v>36</v>
      </c>
      <c r="N2082" s="9" t="s">
        <v>122</v>
      </c>
      <c r="O2082" s="9">
        <f>HYPERLINK("https://www.google.com/maps/search/?api=1&amp;query=39.02168638,-3.92478362", "https://www.google.com/maps/search/?api=1&amp;query=39.02168638,-3.92478362")</f>
      </c>
      <c r="P2082" s="9" t="s">
        <v>38</v>
      </c>
      <c r="Q2082" s="9" t="s">
        <v>15018</v>
      </c>
    </row>
    <row r="2083" spans="1:17" x14ac:dyDescent="0.25">
      <c r="A2083" s="8" t="s">
        <v>15019</v>
      </c>
      <c r="B2083" s="8" t="s">
        <v>15020</v>
      </c>
      <c r="C2083" s="9" t="s">
        <v>15021</v>
      </c>
      <c r="D2083" s="9" t="s">
        <v>61</v>
      </c>
      <c r="E2083" s="9" t="s">
        <v>15022</v>
      </c>
      <c r="F2083" s="10">
        <v>1.514</v>
      </c>
      <c r="G2083" s="10">
        <v>1.665</v>
      </c>
      <c r="H2083" s="10"/>
      <c r="I2083" s="9" t="s">
        <v>45</v>
      </c>
      <c r="J2083" s="9" t="s">
        <v>15023</v>
      </c>
      <c r="K2083" s="9" t="s">
        <v>15024</v>
      </c>
      <c r="L2083" s="8" t="s">
        <v>15025</v>
      </c>
      <c r="M2083" s="9" t="s">
        <v>49</v>
      </c>
      <c r="N2083" s="9" t="s">
        <v>15026</v>
      </c>
      <c r="O2083" s="9">
        <f>HYPERLINK("https://www.google.com/maps/search/?api=1&amp;query=37.36327433,-6.27025441", "https://www.google.com/maps/search/?api=1&amp;query=37.36327433,-6.27025441")</f>
      </c>
      <c r="P2083" s="9" t="s">
        <v>8692</v>
      </c>
      <c r="Q2083" s="9" t="s">
        <v>1374</v>
      </c>
    </row>
    <row r="2084" spans="1:17" x14ac:dyDescent="0.25">
      <c r="A2084" s="8" t="s">
        <v>15027</v>
      </c>
      <c r="B2084" s="8" t="s">
        <v>15028</v>
      </c>
      <c r="C2084" s="9" t="s">
        <v>12438</v>
      </c>
      <c r="D2084" s="9" t="s">
        <v>400</v>
      </c>
      <c r="E2084" s="9" t="s">
        <v>15029</v>
      </c>
      <c r="F2084" s="10">
        <v>1.514</v>
      </c>
      <c r="G2084" s="10">
        <v>1.665</v>
      </c>
      <c r="H2084" s="10"/>
      <c r="I2084" s="9" t="s">
        <v>400</v>
      </c>
      <c r="J2084" s="9" t="s">
        <v>15030</v>
      </c>
      <c r="K2084" s="9" t="s">
        <v>15031</v>
      </c>
      <c r="L2084" s="8" t="s">
        <v>15032</v>
      </c>
      <c r="M2084" s="9" t="s">
        <v>49</v>
      </c>
      <c r="N2084" s="9" t="s">
        <v>15033</v>
      </c>
      <c r="O2084" s="9">
        <f>HYPERLINK("https://www.google.com/maps/search/?api=1&amp;query=39.5625973,-0.29487319", "https://www.google.com/maps/search/?api=1&amp;query=39.5625973,-0.29487319")</f>
      </c>
      <c r="P2084" s="9" t="s">
        <v>349</v>
      </c>
      <c r="Q2084" s="9" t="s">
        <v>15034</v>
      </c>
    </row>
    <row r="2085" spans="1:17" x14ac:dyDescent="0.25">
      <c r="A2085" s="8" t="s">
        <v>15035</v>
      </c>
      <c r="B2085" s="8" t="s">
        <v>15036</v>
      </c>
      <c r="C2085" s="9" t="s">
        <v>15037</v>
      </c>
      <c r="D2085" s="9" t="s">
        <v>409</v>
      </c>
      <c r="E2085" s="9" t="s">
        <v>15038</v>
      </c>
      <c r="F2085" s="10">
        <v>1.514</v>
      </c>
      <c r="G2085" s="10">
        <v>1.665</v>
      </c>
      <c r="H2085" s="10"/>
      <c r="I2085" s="9" t="s">
        <v>292</v>
      </c>
      <c r="J2085" s="9" t="s">
        <v>15039</v>
      </c>
      <c r="K2085" s="9" t="s">
        <v>15040</v>
      </c>
      <c r="L2085" s="8" t="s">
        <v>15041</v>
      </c>
      <c r="M2085" s="9" t="s">
        <v>36</v>
      </c>
      <c r="N2085" s="9" t="s">
        <v>3034</v>
      </c>
      <c r="O2085" s="9">
        <f>HYPERLINK("https://www.google.com/maps/search/?api=1&amp;query=41.73828797,-1.07642857", "https://www.google.com/maps/search/?api=1&amp;query=41.73828797,-1.07642857")</f>
      </c>
      <c r="P2085" s="9" t="s">
        <v>646</v>
      </c>
      <c r="Q2085" s="9" t="s">
        <v>15042</v>
      </c>
    </row>
    <row r="2086" spans="1:17" x14ac:dyDescent="0.25">
      <c r="A2086" s="8" t="s">
        <v>15043</v>
      </c>
      <c r="B2086" s="8" t="s">
        <v>15044</v>
      </c>
      <c r="C2086" s="9" t="s">
        <v>15045</v>
      </c>
      <c r="D2086" s="9" t="s">
        <v>197</v>
      </c>
      <c r="E2086" s="9" t="s">
        <v>11975</v>
      </c>
      <c r="F2086" s="10">
        <v>1.514</v>
      </c>
      <c r="G2086" s="10">
        <v>1.665</v>
      </c>
      <c r="H2086" s="10"/>
      <c r="I2086" s="9" t="s">
        <v>168</v>
      </c>
      <c r="J2086" s="9" t="s">
        <v>15046</v>
      </c>
      <c r="K2086" s="9" t="s">
        <v>15047</v>
      </c>
      <c r="L2086" s="8" t="s">
        <v>11978</v>
      </c>
      <c r="M2086" s="9" t="s">
        <v>49</v>
      </c>
      <c r="N2086" s="9" t="s">
        <v>37</v>
      </c>
      <c r="O2086" s="9">
        <f>HYPERLINK("https://www.google.com/maps/search/?api=1&amp;query=40.09591729,-3.86730167", "https://www.google.com/maps/search/?api=1&amp;query=40.09591729,-3.86730167")</f>
      </c>
      <c r="P2086" s="9" t="s">
        <v>646</v>
      </c>
      <c r="Q2086" s="9" t="s">
        <v>3885</v>
      </c>
    </row>
    <row r="2087" spans="1:17" x14ac:dyDescent="0.25">
      <c r="A2087" s="8" t="s">
        <v>15048</v>
      </c>
      <c r="B2087" s="8" t="s">
        <v>15049</v>
      </c>
      <c r="C2087" s="9" t="s">
        <v>15050</v>
      </c>
      <c r="D2087" s="9" t="s">
        <v>1847</v>
      </c>
      <c r="E2087" s="9" t="s">
        <v>15051</v>
      </c>
      <c r="F2087" s="10">
        <v>1.514</v>
      </c>
      <c r="G2087" s="10">
        <v>1.665</v>
      </c>
      <c r="H2087" s="10"/>
      <c r="I2087" s="9" t="s">
        <v>74</v>
      </c>
      <c r="J2087" s="9" t="s">
        <v>15052</v>
      </c>
      <c r="K2087" s="9" t="s">
        <v>15053</v>
      </c>
      <c r="L2087" s="8" t="s">
        <v>15054</v>
      </c>
      <c r="M2087" s="9" t="s">
        <v>100</v>
      </c>
      <c r="N2087" s="9" t="s">
        <v>211</v>
      </c>
      <c r="O2087" s="9">
        <f>HYPERLINK("https://www.google.com/maps/search/?api=1&amp;query=41.4411654,-3.67627322", "https://www.google.com/maps/search/?api=1&amp;query=41.4411654,-3.67627322")</f>
      </c>
      <c r="P2087" s="9" t="s">
        <v>38</v>
      </c>
      <c r="Q2087" s="9" t="s">
        <v>8460</v>
      </c>
    </row>
    <row r="2088" spans="1:17" x14ac:dyDescent="0.25">
      <c r="A2088" s="8" t="s">
        <v>15055</v>
      </c>
      <c r="B2088" s="8" t="s">
        <v>15056</v>
      </c>
      <c r="C2088" s="9" t="s">
        <v>15057</v>
      </c>
      <c r="D2088" s="9" t="s">
        <v>138</v>
      </c>
      <c r="E2088" s="9" t="s">
        <v>15058</v>
      </c>
      <c r="F2088" s="10">
        <v>1.514</v>
      </c>
      <c r="G2088" s="10">
        <v>1.665</v>
      </c>
      <c r="H2088" s="10"/>
      <c r="I2088" s="9" t="s">
        <v>140</v>
      </c>
      <c r="J2088" s="9" t="s">
        <v>15059</v>
      </c>
      <c r="K2088" s="9" t="s">
        <v>15060</v>
      </c>
      <c r="L2088" s="8" t="s">
        <v>15061</v>
      </c>
      <c r="M2088" s="9" t="s">
        <v>49</v>
      </c>
      <c r="N2088" s="9" t="s">
        <v>15062</v>
      </c>
      <c r="O2088" s="9">
        <f>HYPERLINK("https://www.google.com/maps/search/?api=1&amp;query=42.39342819,-8.69362054", "https://www.google.com/maps/search/?api=1&amp;query=42.39342819,-8.69362054")</f>
      </c>
      <c r="P2088" s="9" t="s">
        <v>3685</v>
      </c>
      <c r="Q2088" s="9" t="s">
        <v>1170</v>
      </c>
    </row>
    <row r="2089" spans="1:17" x14ac:dyDescent="0.25">
      <c r="A2089" s="8" t="s">
        <v>15063</v>
      </c>
      <c r="B2089" s="8" t="s">
        <v>15064</v>
      </c>
      <c r="C2089" s="9" t="s">
        <v>15065</v>
      </c>
      <c r="D2089" s="9" t="s">
        <v>106</v>
      </c>
      <c r="E2089" s="9" t="s">
        <v>15066</v>
      </c>
      <c r="F2089" s="10">
        <v>1.514</v>
      </c>
      <c r="G2089" s="10">
        <v>1.665</v>
      </c>
      <c r="H2089" s="10"/>
      <c r="I2089" s="9" t="s">
        <v>106</v>
      </c>
      <c r="J2089" s="9" t="s">
        <v>15067</v>
      </c>
      <c r="K2089" s="9" t="s">
        <v>15068</v>
      </c>
      <c r="L2089" s="8" t="s">
        <v>15069</v>
      </c>
      <c r="M2089" s="9" t="s">
        <v>49</v>
      </c>
      <c r="N2089" s="9" t="s">
        <v>37</v>
      </c>
      <c r="O2089" s="9">
        <f>HYPERLINK("https://www.google.com/maps/search/?api=1&amp;query=38.07348565,-1.19934742", "https://www.google.com/maps/search/?api=1&amp;query=38.07348565,-1.19934742")</f>
      </c>
      <c r="P2089" s="9" t="s">
        <v>705</v>
      </c>
      <c r="Q2089" s="9" t="s">
        <v>15070</v>
      </c>
    </row>
    <row r="2090" spans="1:17" x14ac:dyDescent="0.25">
      <c r="A2090" s="8" t="s">
        <v>15071</v>
      </c>
      <c r="B2090" s="8" t="s">
        <v>15072</v>
      </c>
      <c r="C2090" s="9" t="s">
        <v>15073</v>
      </c>
      <c r="D2090" s="9" t="s">
        <v>444</v>
      </c>
      <c r="E2090" s="9" t="s">
        <v>1868</v>
      </c>
      <c r="F2090" s="10">
        <v>1.514</v>
      </c>
      <c r="G2090" s="10">
        <v>1.665</v>
      </c>
      <c r="H2090" s="10"/>
      <c r="I2090" s="9" t="s">
        <v>444</v>
      </c>
      <c r="J2090" s="9" t="s">
        <v>15074</v>
      </c>
      <c r="K2090" s="9" t="s">
        <v>15075</v>
      </c>
      <c r="L2090" s="8" t="s">
        <v>1871</v>
      </c>
      <c r="M2090" s="9" t="s">
        <v>49</v>
      </c>
      <c r="N2090" s="9" t="s">
        <v>88</v>
      </c>
      <c r="O2090" s="9">
        <f>HYPERLINK("https://www.google.com/maps/search/?api=1&amp;query=43.25793814,-5.77705093", "https://www.google.com/maps/search/?api=1&amp;query=43.25793814,-5.77705093")</f>
      </c>
      <c r="P2090" s="9" t="s">
        <v>880</v>
      </c>
      <c r="Q2090" s="9" t="s">
        <v>3559</v>
      </c>
    </row>
    <row r="2091" spans="1:17" x14ac:dyDescent="0.25">
      <c r="A2091" s="8" t="s">
        <v>15076</v>
      </c>
      <c r="B2091" s="8" t="s">
        <v>15077</v>
      </c>
      <c r="C2091" s="9" t="s">
        <v>15078</v>
      </c>
      <c r="D2091" s="9" t="s">
        <v>138</v>
      </c>
      <c r="E2091" s="9" t="s">
        <v>2163</v>
      </c>
      <c r="F2091" s="10">
        <v>1.514</v>
      </c>
      <c r="G2091" s="10">
        <v>1.665</v>
      </c>
      <c r="H2091" s="10"/>
      <c r="I2091" s="9" t="s">
        <v>140</v>
      </c>
      <c r="J2091" s="9" t="s">
        <v>15079</v>
      </c>
      <c r="K2091" s="9" t="s">
        <v>15080</v>
      </c>
      <c r="L2091" s="8" t="s">
        <v>15081</v>
      </c>
      <c r="M2091" s="9" t="s">
        <v>49</v>
      </c>
      <c r="N2091" s="9" t="s">
        <v>37</v>
      </c>
      <c r="O2091" s="9">
        <f>HYPERLINK("https://www.google.com/maps/search/?api=1&amp;query=42.23361009,-8.73326972", "https://www.google.com/maps/search/?api=1&amp;query=42.23361009,-8.73326972")</f>
      </c>
      <c r="P2091" s="9" t="s">
        <v>880</v>
      </c>
      <c r="Q2091" s="9" t="s">
        <v>1742</v>
      </c>
    </row>
    <row r="2092" spans="1:17" x14ac:dyDescent="0.25">
      <c r="A2092" s="8" t="s">
        <v>15082</v>
      </c>
      <c r="B2092" s="8" t="s">
        <v>15083</v>
      </c>
      <c r="C2092" s="9" t="s">
        <v>15084</v>
      </c>
      <c r="D2092" s="9" t="s">
        <v>307</v>
      </c>
      <c r="E2092" s="9" t="s">
        <v>15085</v>
      </c>
      <c r="F2092" s="10">
        <v>1.514</v>
      </c>
      <c r="G2092" s="10">
        <v>1.665</v>
      </c>
      <c r="H2092" s="10"/>
      <c r="I2092" s="9" t="s">
        <v>74</v>
      </c>
      <c r="J2092" s="9" t="s">
        <v>15086</v>
      </c>
      <c r="K2092" s="9" t="s">
        <v>15087</v>
      </c>
      <c r="L2092" s="8" t="s">
        <v>15088</v>
      </c>
      <c r="M2092" s="9" t="s">
        <v>36</v>
      </c>
      <c r="N2092" s="9" t="s">
        <v>15089</v>
      </c>
      <c r="O2092" s="9">
        <f>HYPERLINK("https://www.google.com/maps/search/?api=1&amp;query=42.0331555,-5.65000579", "https://www.google.com/maps/search/?api=1&amp;query=42.0331555,-5.65000579")</f>
      </c>
      <c r="P2092" s="9" t="s">
        <v>1423</v>
      </c>
      <c r="Q2092" s="9" t="s">
        <v>9899</v>
      </c>
    </row>
    <row r="2093" spans="1:17" x14ac:dyDescent="0.25">
      <c r="A2093" s="8" t="s">
        <v>15090</v>
      </c>
      <c r="B2093" s="8" t="s">
        <v>15091</v>
      </c>
      <c r="C2093" s="9" t="s">
        <v>15092</v>
      </c>
      <c r="D2093" s="9" t="s">
        <v>187</v>
      </c>
      <c r="E2093" s="9" t="s">
        <v>15093</v>
      </c>
      <c r="F2093" s="10">
        <v>1.514</v>
      </c>
      <c r="G2093" s="10">
        <v>1.665</v>
      </c>
      <c r="H2093" s="10"/>
      <c r="I2093" s="9" t="s">
        <v>74</v>
      </c>
      <c r="J2093" s="9" t="s">
        <v>15094</v>
      </c>
      <c r="K2093" s="9" t="s">
        <v>15095</v>
      </c>
      <c r="L2093" s="8" t="s">
        <v>15096</v>
      </c>
      <c r="M2093" s="9" t="s">
        <v>49</v>
      </c>
      <c r="N2093" s="9" t="s">
        <v>8958</v>
      </c>
      <c r="O2093" s="9">
        <f>HYPERLINK("https://www.google.com/maps/search/?api=1&amp;query=42.78393672,-4.97727974", "https://www.google.com/maps/search/?api=1&amp;query=42.78393672,-4.97727974")</f>
      </c>
      <c r="P2093" s="9" t="s">
        <v>880</v>
      </c>
      <c r="Q2093" s="9" t="s">
        <v>4404</v>
      </c>
    </row>
    <row r="2094" spans="1:17" x14ac:dyDescent="0.25">
      <c r="A2094" s="8" t="s">
        <v>15097</v>
      </c>
      <c r="B2094" s="8" t="s">
        <v>15098</v>
      </c>
      <c r="C2094" s="9" t="s">
        <v>15099</v>
      </c>
      <c r="D2094" s="9" t="s">
        <v>61</v>
      </c>
      <c r="E2094" s="9" t="s">
        <v>15100</v>
      </c>
      <c r="F2094" s="10">
        <v>1.514</v>
      </c>
      <c r="G2094" s="10">
        <v>1.665</v>
      </c>
      <c r="H2094" s="10"/>
      <c r="I2094" s="9" t="s">
        <v>45</v>
      </c>
      <c r="J2094" s="9" t="s">
        <v>15101</v>
      </c>
      <c r="K2094" s="9" t="s">
        <v>15102</v>
      </c>
      <c r="L2094" s="8" t="s">
        <v>15103</v>
      </c>
      <c r="M2094" s="9" t="s">
        <v>36</v>
      </c>
      <c r="N2094" s="9" t="s">
        <v>37</v>
      </c>
      <c r="O2094" s="9">
        <f>HYPERLINK("https://www.google.com/maps/search/?api=1&amp;query=38.09079453,-5.82243278", "https://www.google.com/maps/search/?api=1&amp;query=38.09079453,-5.82243278")</f>
      </c>
      <c r="P2094" s="9" t="s">
        <v>8200</v>
      </c>
      <c r="Q2094" s="9" t="s">
        <v>15104</v>
      </c>
    </row>
    <row r="2095" spans="1:17" x14ac:dyDescent="0.25">
      <c r="A2095" s="8" t="s">
        <v>15105</v>
      </c>
      <c r="B2095" s="8" t="s">
        <v>15106</v>
      </c>
      <c r="C2095" s="9" t="s">
        <v>15107</v>
      </c>
      <c r="D2095" s="9" t="s">
        <v>83</v>
      </c>
      <c r="E2095" s="9" t="s">
        <v>83</v>
      </c>
      <c r="F2095" s="10">
        <v>1.514</v>
      </c>
      <c r="G2095" s="10">
        <v>1.665</v>
      </c>
      <c r="H2095" s="10"/>
      <c r="I2095" s="9" t="s">
        <v>83</v>
      </c>
      <c r="J2095" s="9" t="s">
        <v>15108</v>
      </c>
      <c r="K2095" s="9" t="s">
        <v>15109</v>
      </c>
      <c r="L2095" s="8" t="s">
        <v>4529</v>
      </c>
      <c r="M2095" s="9" t="s">
        <v>49</v>
      </c>
      <c r="N2095" s="9" t="s">
        <v>37</v>
      </c>
      <c r="O2095" s="9">
        <f>HYPERLINK("https://www.google.com/maps/search/?api=1&amp;query=40.340525,-3.6763361", "https://www.google.com/maps/search/?api=1&amp;query=40.340525,-3.6763361")</f>
      </c>
      <c r="P2095" s="9" t="s">
        <v>144</v>
      </c>
      <c r="Q2095" s="9" t="s">
        <v>1982</v>
      </c>
    </row>
    <row r="2096" spans="1:17" x14ac:dyDescent="0.25">
      <c r="A2096" s="8" t="s">
        <v>15110</v>
      </c>
      <c r="B2096" s="8" t="s">
        <v>15111</v>
      </c>
      <c r="C2096" s="9" t="s">
        <v>15112</v>
      </c>
      <c r="D2096" s="9" t="s">
        <v>1192</v>
      </c>
      <c r="E2096" s="9" t="s">
        <v>12880</v>
      </c>
      <c r="F2096" s="10">
        <v>1.514</v>
      </c>
      <c r="G2096" s="10">
        <v>1.665</v>
      </c>
      <c r="H2096" s="10"/>
      <c r="I2096" s="9" t="s">
        <v>168</v>
      </c>
      <c r="J2096" s="9" t="s">
        <v>15113</v>
      </c>
      <c r="K2096" s="9" t="s">
        <v>15114</v>
      </c>
      <c r="L2096" s="8" t="s">
        <v>12883</v>
      </c>
      <c r="M2096" s="9" t="s">
        <v>49</v>
      </c>
      <c r="N2096" s="9" t="s">
        <v>88</v>
      </c>
      <c r="O2096" s="9">
        <f>HYPERLINK("https://www.google.com/maps/search/?api=1&amp;query=39.06221569,-3.61809294", "https://www.google.com/maps/search/?api=1&amp;query=39.06221569,-3.61809294")</f>
      </c>
      <c r="P2096" s="9" t="s">
        <v>15115</v>
      </c>
      <c r="Q2096" s="9" t="s">
        <v>4260</v>
      </c>
    </row>
    <row r="2097" spans="1:17" x14ac:dyDescent="0.25">
      <c r="A2097" s="8" t="s">
        <v>15116</v>
      </c>
      <c r="B2097" s="8" t="s">
        <v>15117</v>
      </c>
      <c r="C2097" s="9" t="s">
        <v>15118</v>
      </c>
      <c r="D2097" s="9" t="s">
        <v>488</v>
      </c>
      <c r="E2097" s="9" t="s">
        <v>15119</v>
      </c>
      <c r="F2097" s="10">
        <v>1.514</v>
      </c>
      <c r="G2097" s="10">
        <v>1.665</v>
      </c>
      <c r="H2097" s="10"/>
      <c r="I2097" s="9" t="s">
        <v>45</v>
      </c>
      <c r="J2097" s="9" t="s">
        <v>15120</v>
      </c>
      <c r="K2097" s="9" t="s">
        <v>15121</v>
      </c>
      <c r="L2097" s="8" t="s">
        <v>15122</v>
      </c>
      <c r="M2097" s="9" t="s">
        <v>49</v>
      </c>
      <c r="N2097" s="9" t="s">
        <v>122</v>
      </c>
      <c r="O2097" s="9">
        <f>HYPERLINK("https://www.google.com/maps/search/?api=1&amp;query=38.2480845,-2.72751959", "https://www.google.com/maps/search/?api=1&amp;query=38.2480845,-2.72751959")</f>
      </c>
      <c r="P2097" s="9" t="s">
        <v>7311</v>
      </c>
      <c r="Q2097" s="9" t="s">
        <v>15123</v>
      </c>
    </row>
    <row r="2098" spans="1:17" x14ac:dyDescent="0.25">
      <c r="A2098" s="8" t="s">
        <v>15124</v>
      </c>
      <c r="B2098" s="8" t="s">
        <v>15125</v>
      </c>
      <c r="C2098" s="9" t="s">
        <v>15126</v>
      </c>
      <c r="D2098" s="9" t="s">
        <v>398</v>
      </c>
      <c r="E2098" s="9" t="s">
        <v>13766</v>
      </c>
      <c r="F2098" s="10">
        <v>1.514</v>
      </c>
      <c r="G2098" s="10">
        <v>1.665</v>
      </c>
      <c r="H2098" s="10"/>
      <c r="I2098" s="9" t="s">
        <v>400</v>
      </c>
      <c r="J2098" s="9" t="s">
        <v>15127</v>
      </c>
      <c r="K2098" s="9" t="s">
        <v>15128</v>
      </c>
      <c r="L2098" s="8" t="s">
        <v>15129</v>
      </c>
      <c r="M2098" s="9" t="s">
        <v>100</v>
      </c>
      <c r="N2098" s="9" t="s">
        <v>37</v>
      </c>
      <c r="O2098" s="9">
        <f>HYPERLINK("https://www.google.com/maps/search/?api=1&amp;query=38.41188927,-0.42147088", "https://www.google.com/maps/search/?api=1&amp;query=38.41188927,-0.42147088")</f>
      </c>
      <c r="P2098" s="9" t="s">
        <v>182</v>
      </c>
      <c r="Q2098" s="9" t="s">
        <v>8167</v>
      </c>
    </row>
    <row r="2099" spans="1:17" x14ac:dyDescent="0.25">
      <c r="A2099" s="8" t="s">
        <v>15130</v>
      </c>
      <c r="B2099" s="8" t="s">
        <v>15131</v>
      </c>
      <c r="C2099" s="9" t="s">
        <v>15132</v>
      </c>
      <c r="D2099" s="9" t="s">
        <v>400</v>
      </c>
      <c r="E2099" s="9" t="s">
        <v>15133</v>
      </c>
      <c r="F2099" s="10">
        <v>1.514</v>
      </c>
      <c r="G2099" s="10">
        <v>1.665</v>
      </c>
      <c r="H2099" s="10"/>
      <c r="I2099" s="9" t="s">
        <v>400</v>
      </c>
      <c r="J2099" s="9" t="s">
        <v>15134</v>
      </c>
      <c r="K2099" s="9" t="s">
        <v>15135</v>
      </c>
      <c r="L2099" s="8" t="s">
        <v>15136</v>
      </c>
      <c r="M2099" s="9" t="s">
        <v>49</v>
      </c>
      <c r="N2099" s="9" t="s">
        <v>88</v>
      </c>
      <c r="O2099" s="9">
        <f>HYPERLINK("https://www.google.com/maps/search/?api=1&amp;query=39.42733371,-0.4109869", "https://www.google.com/maps/search/?api=1&amp;query=39.42733371,-0.4109869")</f>
      </c>
      <c r="P2099" s="9" t="s">
        <v>646</v>
      </c>
      <c r="Q2099" s="9" t="s">
        <v>15137</v>
      </c>
    </row>
    <row r="2100" spans="1:17" x14ac:dyDescent="0.25">
      <c r="A2100" s="8" t="s">
        <v>15138</v>
      </c>
      <c r="B2100" s="8" t="s">
        <v>15139</v>
      </c>
      <c r="C2100" s="9" t="s">
        <v>15140</v>
      </c>
      <c r="D2100" s="9" t="s">
        <v>197</v>
      </c>
      <c r="E2100" s="9" t="s">
        <v>15141</v>
      </c>
      <c r="F2100" s="10">
        <v>1.514</v>
      </c>
      <c r="G2100" s="10">
        <v>1.665</v>
      </c>
      <c r="H2100" s="10"/>
      <c r="I2100" s="9" t="s">
        <v>168</v>
      </c>
      <c r="J2100" s="9" t="s">
        <v>15142</v>
      </c>
      <c r="K2100" s="9" t="s">
        <v>15143</v>
      </c>
      <c r="L2100" s="8" t="s">
        <v>15144</v>
      </c>
      <c r="M2100" s="9" t="s">
        <v>36</v>
      </c>
      <c r="N2100" s="9" t="s">
        <v>66</v>
      </c>
      <c r="O2100" s="9">
        <f>HYPERLINK("https://www.google.com/maps/search/?api=1&amp;query=39.806788,-5.16856252", "https://www.google.com/maps/search/?api=1&amp;query=39.806788,-5.16856252")</f>
      </c>
      <c r="P2100" s="9" t="s">
        <v>6241</v>
      </c>
      <c r="Q2100" s="9" t="s">
        <v>15145</v>
      </c>
    </row>
    <row r="2101" spans="1:17" x14ac:dyDescent="0.25">
      <c r="A2101" s="8" t="s">
        <v>15146</v>
      </c>
      <c r="B2101" s="8" t="s">
        <v>15147</v>
      </c>
      <c r="C2101" s="9" t="s">
        <v>15148</v>
      </c>
      <c r="D2101" s="9" t="s">
        <v>1282</v>
      </c>
      <c r="E2101" s="9" t="s">
        <v>15149</v>
      </c>
      <c r="F2101" s="10">
        <v>1.514</v>
      </c>
      <c r="G2101" s="10">
        <v>1.665</v>
      </c>
      <c r="H2101" s="10"/>
      <c r="I2101" s="9" t="s">
        <v>45</v>
      </c>
      <c r="J2101" s="9" t="s">
        <v>15150</v>
      </c>
      <c r="K2101" s="9" t="s">
        <v>15151</v>
      </c>
      <c r="L2101" s="8" t="s">
        <v>15152</v>
      </c>
      <c r="M2101" s="9" t="s">
        <v>49</v>
      </c>
      <c r="N2101" s="9" t="s">
        <v>211</v>
      </c>
      <c r="O2101" s="9">
        <f>HYPERLINK("https://www.google.com/maps/search/?api=1&amp;query=37.00368,-3.99077619", "https://www.google.com/maps/search/?api=1&amp;query=37.00368,-3.99077619")</f>
      </c>
      <c r="P2101" s="9" t="s">
        <v>15153</v>
      </c>
      <c r="Q2101" s="9" t="s">
        <v>1204</v>
      </c>
    </row>
    <row r="2102" spans="1:17" x14ac:dyDescent="0.25">
      <c r="A2102" s="8" t="s">
        <v>15154</v>
      </c>
      <c r="B2102" s="8" t="s">
        <v>15155</v>
      </c>
      <c r="C2102" s="9" t="s">
        <v>15156</v>
      </c>
      <c r="D2102" s="9" t="s">
        <v>177</v>
      </c>
      <c r="E2102" s="9" t="s">
        <v>177</v>
      </c>
      <c r="F2102" s="10">
        <v>1.514</v>
      </c>
      <c r="G2102" s="10">
        <v>1.665</v>
      </c>
      <c r="H2102" s="10"/>
      <c r="I2102" s="9" t="s">
        <v>74</v>
      </c>
      <c r="J2102" s="9" t="s">
        <v>15157</v>
      </c>
      <c r="K2102" s="9" t="s">
        <v>15158</v>
      </c>
      <c r="L2102" s="8" t="s">
        <v>6716</v>
      </c>
      <c r="M2102" s="9" t="s">
        <v>49</v>
      </c>
      <c r="N2102" s="9" t="s">
        <v>8282</v>
      </c>
      <c r="O2102" s="9">
        <f>HYPERLINK("https://www.google.com/maps/search/?api=1&amp;query=41.61731996,-4.70604105", "https://www.google.com/maps/search/?api=1&amp;query=41.61731996,-4.70604105")</f>
      </c>
      <c r="P2102" s="9" t="s">
        <v>78</v>
      </c>
      <c r="Q2102" s="9" t="s">
        <v>15159</v>
      </c>
    </row>
    <row r="2103" spans="1:17" x14ac:dyDescent="0.25">
      <c r="A2103" s="8" t="s">
        <v>15160</v>
      </c>
      <c r="B2103" s="8" t="s">
        <v>15161</v>
      </c>
      <c r="C2103" s="9" t="s">
        <v>15162</v>
      </c>
      <c r="D2103" s="9" t="s">
        <v>155</v>
      </c>
      <c r="E2103" s="9" t="s">
        <v>15163</v>
      </c>
      <c r="F2103" s="10">
        <v>1.514</v>
      </c>
      <c r="G2103" s="10">
        <v>1.665</v>
      </c>
      <c r="H2103" s="10"/>
      <c r="I2103" s="9" t="s">
        <v>157</v>
      </c>
      <c r="J2103" s="9" t="s">
        <v>15164</v>
      </c>
      <c r="K2103" s="9" t="s">
        <v>15165</v>
      </c>
      <c r="L2103" s="8" t="s">
        <v>4764</v>
      </c>
      <c r="M2103" s="9" t="s">
        <v>49</v>
      </c>
      <c r="N2103" s="9" t="s">
        <v>37</v>
      </c>
      <c r="O2103" s="9">
        <f>HYPERLINK("https://www.google.com/maps/search/?api=1&amp;query=39.61395846,3.37022296", "https://www.google.com/maps/search/?api=1&amp;query=39.61395846,3.37022296")</f>
      </c>
      <c r="P2103" s="9" t="s">
        <v>1565</v>
      </c>
      <c r="Q2103" s="9" t="s">
        <v>15166</v>
      </c>
    </row>
    <row r="2104" spans="1:17" x14ac:dyDescent="0.25">
      <c r="A2104" s="8" t="s">
        <v>15167</v>
      </c>
      <c r="B2104" s="8" t="s">
        <v>15168</v>
      </c>
      <c r="C2104" s="9" t="s">
        <v>11719</v>
      </c>
      <c r="D2104" s="9" t="s">
        <v>631</v>
      </c>
      <c r="E2104" s="9" t="s">
        <v>1047</v>
      </c>
      <c r="F2104" s="10">
        <v>1.514</v>
      </c>
      <c r="G2104" s="10">
        <v>1.665</v>
      </c>
      <c r="H2104" s="10"/>
      <c r="I2104" s="9" t="s">
        <v>45</v>
      </c>
      <c r="J2104" s="9" t="s">
        <v>15169</v>
      </c>
      <c r="K2104" s="9" t="s">
        <v>15170</v>
      </c>
      <c r="L2104" s="8" t="s">
        <v>7936</v>
      </c>
      <c r="M2104" s="9" t="s">
        <v>49</v>
      </c>
      <c r="N2104" s="9" t="s">
        <v>88</v>
      </c>
      <c r="O2104" s="9">
        <f>HYPERLINK("https://www.google.com/maps/search/?api=1&amp;query=37.90484846,-4.75879935", "https://www.google.com/maps/search/?api=1&amp;query=37.90484846,-4.75879935")</f>
      </c>
      <c r="P2104" s="9" t="s">
        <v>2742</v>
      </c>
      <c r="Q2104" s="9" t="s">
        <v>5645</v>
      </c>
    </row>
    <row r="2105" spans="1:17" x14ac:dyDescent="0.25">
      <c r="A2105" s="8" t="s">
        <v>15171</v>
      </c>
      <c r="B2105" s="8" t="s">
        <v>15172</v>
      </c>
      <c r="C2105" s="9" t="s">
        <v>15173</v>
      </c>
      <c r="D2105" s="9" t="s">
        <v>94</v>
      </c>
      <c r="E2105" s="9" t="s">
        <v>94</v>
      </c>
      <c r="F2105" s="10">
        <v>1.514</v>
      </c>
      <c r="G2105" s="10">
        <v>1.665</v>
      </c>
      <c r="H2105" s="10"/>
      <c r="I2105" s="9" t="s">
        <v>96</v>
      </c>
      <c r="J2105" s="9" t="s">
        <v>15174</v>
      </c>
      <c r="K2105" s="9" t="s">
        <v>15175</v>
      </c>
      <c r="L2105" s="8" t="s">
        <v>1701</v>
      </c>
      <c r="M2105" s="9" t="s">
        <v>49</v>
      </c>
      <c r="N2105" s="9" t="s">
        <v>37</v>
      </c>
      <c r="O2105" s="9">
        <f>HYPERLINK("https://www.google.com/maps/search/?api=1&amp;query=41.39665347,2.17508228", "https://www.google.com/maps/search/?api=1&amp;query=41.39665347,2.17508228")</f>
      </c>
      <c r="P2105" s="9" t="s">
        <v>1139</v>
      </c>
      <c r="Q2105" s="9" t="s">
        <v>1204</v>
      </c>
    </row>
    <row r="2106" spans="1:17" x14ac:dyDescent="0.25">
      <c r="A2106" s="8" t="s">
        <v>15176</v>
      </c>
      <c r="B2106" s="8" t="s">
        <v>15177</v>
      </c>
      <c r="C2106" s="9" t="s">
        <v>14918</v>
      </c>
      <c r="D2106" s="9" t="s">
        <v>187</v>
      </c>
      <c r="E2106" s="9" t="s">
        <v>15178</v>
      </c>
      <c r="F2106" s="10">
        <v>1.514</v>
      </c>
      <c r="G2106" s="10">
        <v>1.665</v>
      </c>
      <c r="H2106" s="10"/>
      <c r="I2106" s="9" t="s">
        <v>74</v>
      </c>
      <c r="J2106" s="9" t="s">
        <v>15179</v>
      </c>
      <c r="K2106" s="9" t="s">
        <v>15180</v>
      </c>
      <c r="L2106" s="8" t="s">
        <v>11081</v>
      </c>
      <c r="M2106" s="9" t="s">
        <v>36</v>
      </c>
      <c r="N2106" s="9" t="s">
        <v>15181</v>
      </c>
      <c r="O2106" s="9">
        <f>HYPERLINK("https://www.google.com/maps/search/?api=1&amp;query=42.62645117,-5.54802669", "https://www.google.com/maps/search/?api=1&amp;query=42.62645117,-5.54802669")</f>
      </c>
      <c r="P2106" s="9" t="s">
        <v>880</v>
      </c>
      <c r="Q2106" s="9" t="s">
        <v>12014</v>
      </c>
    </row>
    <row r="2107" spans="1:17" x14ac:dyDescent="0.25">
      <c r="A2107" s="8" t="s">
        <v>15182</v>
      </c>
      <c r="B2107" s="8" t="s">
        <v>15183</v>
      </c>
      <c r="C2107" s="9" t="s">
        <v>15184</v>
      </c>
      <c r="D2107" s="9" t="s">
        <v>892</v>
      </c>
      <c r="E2107" s="9" t="s">
        <v>15185</v>
      </c>
      <c r="F2107" s="10">
        <v>1.514</v>
      </c>
      <c r="G2107" s="10">
        <v>1.665</v>
      </c>
      <c r="H2107" s="10"/>
      <c r="I2107" s="9" t="s">
        <v>32</v>
      </c>
      <c r="J2107" s="9" t="s">
        <v>15186</v>
      </c>
      <c r="K2107" s="9" t="s">
        <v>15187</v>
      </c>
      <c r="L2107" s="8" t="s">
        <v>15188</v>
      </c>
      <c r="M2107" s="9" t="s">
        <v>49</v>
      </c>
      <c r="N2107" s="9" t="s">
        <v>37</v>
      </c>
      <c r="O2107" s="9">
        <f>HYPERLINK("https://www.google.com/maps/search/?api=1&amp;query=39.55694429,-6.40197694", "https://www.google.com/maps/search/?api=1&amp;query=39.55694429,-6.40197694")</f>
      </c>
      <c r="P2107" s="9" t="s">
        <v>771</v>
      </c>
      <c r="Q2107" s="9" t="s">
        <v>15189</v>
      </c>
    </row>
    <row r="2108" spans="1:17" x14ac:dyDescent="0.25">
      <c r="A2108" s="8" t="s">
        <v>15190</v>
      </c>
      <c r="B2108" s="8" t="s">
        <v>15191</v>
      </c>
      <c r="C2108" s="9" t="s">
        <v>15192</v>
      </c>
      <c r="D2108" s="9" t="s">
        <v>187</v>
      </c>
      <c r="E2108" s="9" t="s">
        <v>15193</v>
      </c>
      <c r="F2108" s="10">
        <v>1.514</v>
      </c>
      <c r="G2108" s="10">
        <v>1.665</v>
      </c>
      <c r="H2108" s="10"/>
      <c r="I2108" s="9" t="s">
        <v>74</v>
      </c>
      <c r="J2108" s="9" t="s">
        <v>15194</v>
      </c>
      <c r="K2108" s="9" t="s">
        <v>15195</v>
      </c>
      <c r="L2108" s="8" t="s">
        <v>15196</v>
      </c>
      <c r="M2108" s="9" t="s">
        <v>49</v>
      </c>
      <c r="N2108" s="9" t="s">
        <v>7375</v>
      </c>
      <c r="O2108" s="9">
        <f>HYPERLINK("https://www.google.com/maps/search/?api=1&amp;query=42.55999111,-5.28209839", "https://www.google.com/maps/search/?api=1&amp;query=42.55999111,-5.28209839")</f>
      </c>
      <c r="P2108" s="9" t="s">
        <v>583</v>
      </c>
      <c r="Q2108" s="9" t="s">
        <v>15197</v>
      </c>
    </row>
    <row r="2109" spans="1:17" x14ac:dyDescent="0.25">
      <c r="A2109" s="8" t="s">
        <v>15198</v>
      </c>
      <c r="B2109" s="8" t="s">
        <v>15199</v>
      </c>
      <c r="C2109" s="9" t="s">
        <v>15200</v>
      </c>
      <c r="D2109" s="9" t="s">
        <v>400</v>
      </c>
      <c r="E2109" s="9" t="s">
        <v>15201</v>
      </c>
      <c r="F2109" s="10">
        <v>1.514</v>
      </c>
      <c r="G2109" s="10">
        <v>1.665</v>
      </c>
      <c r="H2109" s="10"/>
      <c r="I2109" s="9" t="s">
        <v>400</v>
      </c>
      <c r="J2109" s="9" t="s">
        <v>15202</v>
      </c>
      <c r="K2109" s="9" t="s">
        <v>15203</v>
      </c>
      <c r="L2109" s="8" t="s">
        <v>15204</v>
      </c>
      <c r="M2109" s="9" t="s">
        <v>49</v>
      </c>
      <c r="N2109" s="9" t="s">
        <v>88</v>
      </c>
      <c r="O2109" s="9">
        <f>HYPERLINK("https://www.google.com/maps/search/?api=1&amp;query=39.63288066,-0.29672811", "https://www.google.com/maps/search/?api=1&amp;query=39.63288066,-0.29672811")</f>
      </c>
      <c r="P2109" s="9" t="s">
        <v>15205</v>
      </c>
      <c r="Q2109" s="9" t="s">
        <v>3202</v>
      </c>
    </row>
    <row r="2110" spans="1:17" x14ac:dyDescent="0.25">
      <c r="A2110" s="8" t="s">
        <v>15206</v>
      </c>
      <c r="B2110" s="8" t="s">
        <v>15207</v>
      </c>
      <c r="C2110" s="9" t="s">
        <v>15208</v>
      </c>
      <c r="D2110" s="9" t="s">
        <v>1617</v>
      </c>
      <c r="E2110" s="9" t="s">
        <v>15209</v>
      </c>
      <c r="F2110" s="10">
        <v>1.514</v>
      </c>
      <c r="G2110" s="10">
        <v>1.665</v>
      </c>
      <c r="H2110" s="10"/>
      <c r="I2110" s="9" t="s">
        <v>292</v>
      </c>
      <c r="J2110" s="9" t="s">
        <v>15210</v>
      </c>
      <c r="K2110" s="9" t="s">
        <v>15211</v>
      </c>
      <c r="L2110" s="8" t="s">
        <v>15212</v>
      </c>
      <c r="M2110" s="9" t="s">
        <v>36</v>
      </c>
      <c r="N2110" s="9" t="s">
        <v>7851</v>
      </c>
      <c r="O2110" s="9">
        <f>HYPERLINK("https://www.google.com/maps/search/?api=1&amp;query=42.60674589,-0.12336171", "https://www.google.com/maps/search/?api=1&amp;query=42.60674589,-0.12336171")</f>
      </c>
      <c r="P2110" s="9" t="s">
        <v>6358</v>
      </c>
      <c r="Q2110" s="9" t="s">
        <v>1131</v>
      </c>
    </row>
    <row r="2111" spans="1:17" x14ac:dyDescent="0.25">
      <c r="A2111" s="8" t="s">
        <v>15213</v>
      </c>
      <c r="B2111" s="8" t="s">
        <v>15214</v>
      </c>
      <c r="C2111" s="9" t="s">
        <v>15215</v>
      </c>
      <c r="D2111" s="9" t="s">
        <v>217</v>
      </c>
      <c r="E2111" s="9" t="s">
        <v>5058</v>
      </c>
      <c r="F2111" s="10">
        <v>1.514</v>
      </c>
      <c r="G2111" s="10">
        <v>1.665</v>
      </c>
      <c r="H2111" s="10"/>
      <c r="I2111" s="9" t="s">
        <v>45</v>
      </c>
      <c r="J2111" s="9" t="s">
        <v>15216</v>
      </c>
      <c r="K2111" s="9" t="s">
        <v>15217</v>
      </c>
      <c r="L2111" s="8" t="s">
        <v>5061</v>
      </c>
      <c r="M2111" s="9" t="s">
        <v>49</v>
      </c>
      <c r="N2111" s="9" t="s">
        <v>37</v>
      </c>
      <c r="O2111" s="9">
        <f>HYPERLINK("https://www.google.com/maps/search/?api=1&amp;query=36.48688546,-4.95506555", "https://www.google.com/maps/search/?api=1&amp;query=36.48688546,-4.95506555")</f>
      </c>
      <c r="P2111" s="9" t="s">
        <v>1565</v>
      </c>
      <c r="Q2111" s="9" t="s">
        <v>1204</v>
      </c>
    </row>
    <row r="2112" spans="1:17" x14ac:dyDescent="0.25">
      <c r="A2112" s="8" t="s">
        <v>15218</v>
      </c>
      <c r="B2112" s="8" t="s">
        <v>15219</v>
      </c>
      <c r="C2112" s="9" t="s">
        <v>11768</v>
      </c>
      <c r="D2112" s="9" t="s">
        <v>1617</v>
      </c>
      <c r="E2112" s="9" t="s">
        <v>15220</v>
      </c>
      <c r="F2112" s="10">
        <v>1.514</v>
      </c>
      <c r="G2112" s="10">
        <v>1.665</v>
      </c>
      <c r="H2112" s="10"/>
      <c r="I2112" s="9" t="s">
        <v>292</v>
      </c>
      <c r="J2112" s="9" t="s">
        <v>15221</v>
      </c>
      <c r="K2112" s="9" t="s">
        <v>15222</v>
      </c>
      <c r="L2112" s="8" t="s">
        <v>15223</v>
      </c>
      <c r="M2112" s="9" t="s">
        <v>49</v>
      </c>
      <c r="N2112" s="9" t="s">
        <v>122</v>
      </c>
      <c r="O2112" s="9">
        <f>HYPERLINK("https://www.google.com/maps/search/?api=1&amp;query=42.10091357,0.485539", "https://www.google.com/maps/search/?api=1&amp;query=42.10091357,0.485539")</f>
      </c>
      <c r="P2112" s="9" t="s">
        <v>321</v>
      </c>
      <c r="Q2112" s="9" t="s">
        <v>4771</v>
      </c>
    </row>
    <row r="2113" spans="1:17" x14ac:dyDescent="0.25">
      <c r="A2113" s="8" t="s">
        <v>15224</v>
      </c>
      <c r="B2113" s="8" t="s">
        <v>15225</v>
      </c>
      <c r="C2113" s="9" t="s">
        <v>15226</v>
      </c>
      <c r="D2113" s="9" t="s">
        <v>516</v>
      </c>
      <c r="E2113" s="9" t="s">
        <v>15227</v>
      </c>
      <c r="F2113" s="10">
        <v>1.514</v>
      </c>
      <c r="G2113" s="10">
        <v>1.665</v>
      </c>
      <c r="H2113" s="10"/>
      <c r="I2113" s="9" t="s">
        <v>140</v>
      </c>
      <c r="J2113" s="9" t="s">
        <v>15228</v>
      </c>
      <c r="K2113" s="9" t="s">
        <v>15229</v>
      </c>
      <c r="L2113" s="8" t="s">
        <v>15230</v>
      </c>
      <c r="M2113" s="9" t="s">
        <v>49</v>
      </c>
      <c r="N2113" s="9" t="s">
        <v>5787</v>
      </c>
      <c r="O2113" s="9">
        <f>HYPERLINK("https://www.google.com/maps/search/?api=1&amp;query=43.37976781,-7.42655773", "https://www.google.com/maps/search/?api=1&amp;query=43.37976781,-7.42655773")</f>
      </c>
      <c r="P2113" s="9" t="s">
        <v>38</v>
      </c>
      <c r="Q2113" s="9" t="s">
        <v>15231</v>
      </c>
    </row>
    <row r="2114" spans="1:17" x14ac:dyDescent="0.25">
      <c r="A2114" s="8" t="s">
        <v>15232</v>
      </c>
      <c r="B2114" s="8" t="s">
        <v>15233</v>
      </c>
      <c r="C2114" s="9" t="s">
        <v>15234</v>
      </c>
      <c r="D2114" s="9" t="s">
        <v>187</v>
      </c>
      <c r="E2114" s="9" t="s">
        <v>15235</v>
      </c>
      <c r="F2114" s="10">
        <v>1.514</v>
      </c>
      <c r="G2114" s="10">
        <v>1.665</v>
      </c>
      <c r="H2114" s="10"/>
      <c r="I2114" s="9" t="s">
        <v>74</v>
      </c>
      <c r="J2114" s="9" t="s">
        <v>15236</v>
      </c>
      <c r="K2114" s="9" t="s">
        <v>15237</v>
      </c>
      <c r="L2114" s="8" t="s">
        <v>15238</v>
      </c>
      <c r="M2114" s="9" t="s">
        <v>49</v>
      </c>
      <c r="N2114" s="9" t="s">
        <v>211</v>
      </c>
      <c r="O2114" s="9">
        <f>HYPERLINK("https://www.google.com/maps/search/?api=1&amp;query=42.64631788,-6.87670057", "https://www.google.com/maps/search/?api=1&amp;query=42.64631788,-6.87670057")</f>
      </c>
      <c r="P2114" s="9" t="s">
        <v>1645</v>
      </c>
      <c r="Q2114" s="9" t="s">
        <v>15239</v>
      </c>
    </row>
    <row r="2115" spans="1:17" x14ac:dyDescent="0.25">
      <c r="A2115" s="8" t="s">
        <v>15240</v>
      </c>
      <c r="B2115" s="8" t="s">
        <v>15241</v>
      </c>
      <c r="C2115" s="9" t="s">
        <v>15242</v>
      </c>
      <c r="D2115" s="9" t="s">
        <v>166</v>
      </c>
      <c r="E2115" s="9" t="s">
        <v>15243</v>
      </c>
      <c r="F2115" s="10">
        <v>1.514</v>
      </c>
      <c r="G2115" s="10">
        <v>1.665</v>
      </c>
      <c r="H2115" s="10"/>
      <c r="I2115" s="9" t="s">
        <v>168</v>
      </c>
      <c r="J2115" s="9" t="s">
        <v>15244</v>
      </c>
      <c r="K2115" s="9" t="s">
        <v>15245</v>
      </c>
      <c r="L2115" s="8" t="s">
        <v>15246</v>
      </c>
      <c r="M2115" s="9" t="s">
        <v>100</v>
      </c>
      <c r="N2115" s="9" t="s">
        <v>122</v>
      </c>
      <c r="O2115" s="9">
        <f>HYPERLINK("https://www.google.com/maps/search/?api=1&amp;query=40.85937567,-2.83566634", "https://www.google.com/maps/search/?api=1&amp;query=40.85937567,-2.83566634")</f>
      </c>
      <c r="P2115" s="9" t="s">
        <v>4374</v>
      </c>
      <c r="Q2115" s="9" t="s">
        <v>881</v>
      </c>
    </row>
    <row r="2116" spans="1:17" x14ac:dyDescent="0.25">
      <c r="A2116" s="8" t="s">
        <v>15247</v>
      </c>
      <c r="B2116" s="8" t="s">
        <v>15248</v>
      </c>
      <c r="C2116" s="9" t="s">
        <v>9538</v>
      </c>
      <c r="D2116" s="9" t="s">
        <v>155</v>
      </c>
      <c r="E2116" s="9" t="s">
        <v>7804</v>
      </c>
      <c r="F2116" s="10">
        <v>1.514</v>
      </c>
      <c r="G2116" s="10">
        <v>1.665</v>
      </c>
      <c r="H2116" s="10"/>
      <c r="I2116" s="9" t="s">
        <v>157</v>
      </c>
      <c r="J2116" s="9" t="s">
        <v>9539</v>
      </c>
      <c r="K2116" s="9" t="s">
        <v>15249</v>
      </c>
      <c r="L2116" s="8" t="s">
        <v>9541</v>
      </c>
      <c r="M2116" s="9" t="s">
        <v>36</v>
      </c>
      <c r="N2116" s="9" t="s">
        <v>211</v>
      </c>
      <c r="O2116" s="9">
        <f>HYPERLINK("https://www.google.com/maps/search/?api=1&amp;query=38.92304694,1.4402987", "https://www.google.com/maps/search/?api=1&amp;query=38.92304694,1.4402987")</f>
      </c>
      <c r="P2116" s="9" t="s">
        <v>15250</v>
      </c>
      <c r="Q2116" s="9" t="s">
        <v>15251</v>
      </c>
    </row>
    <row r="2117" spans="1:17" x14ac:dyDescent="0.25">
      <c r="A2117" s="8" t="s">
        <v>15252</v>
      </c>
      <c r="B2117" s="8" t="s">
        <v>15253</v>
      </c>
      <c r="C2117" s="9" t="s">
        <v>15254</v>
      </c>
      <c r="D2117" s="9" t="s">
        <v>106</v>
      </c>
      <c r="E2117" s="9" t="s">
        <v>15255</v>
      </c>
      <c r="F2117" s="10">
        <v>1.514</v>
      </c>
      <c r="G2117" s="10">
        <v>1.665</v>
      </c>
      <c r="H2117" s="10"/>
      <c r="I2117" s="9" t="s">
        <v>106</v>
      </c>
      <c r="J2117" s="9" t="s">
        <v>15256</v>
      </c>
      <c r="K2117" s="9" t="s">
        <v>15257</v>
      </c>
      <c r="L2117" s="8" t="s">
        <v>15258</v>
      </c>
      <c r="M2117" s="9" t="s">
        <v>100</v>
      </c>
      <c r="N2117" s="9" t="s">
        <v>66</v>
      </c>
      <c r="O2117" s="9">
        <f>HYPERLINK("https://www.google.com/maps/search/?api=1&amp;query=37.57162026,-1.65125265", "https://www.google.com/maps/search/?api=1&amp;query=37.57162026,-1.65125265")</f>
      </c>
      <c r="P2117" s="9" t="s">
        <v>56</v>
      </c>
      <c r="Q2117" s="9" t="s">
        <v>15259</v>
      </c>
    </row>
    <row r="2118" spans="1:17" x14ac:dyDescent="0.25">
      <c r="A2118" s="8" t="s">
        <v>160</v>
      </c>
      <c r="B2118" s="8" t="s">
        <v>15260</v>
      </c>
      <c r="C2118" s="9" t="s">
        <v>15261</v>
      </c>
      <c r="D2118" s="9" t="s">
        <v>61</v>
      </c>
      <c r="E2118" s="9" t="s">
        <v>15262</v>
      </c>
      <c r="F2118" s="10">
        <v>1.514</v>
      </c>
      <c r="G2118" s="10">
        <v>1.665</v>
      </c>
      <c r="H2118" s="10"/>
      <c r="I2118" s="9" t="s">
        <v>45</v>
      </c>
      <c r="J2118" s="9" t="s">
        <v>15263</v>
      </c>
      <c r="K2118" s="9" t="s">
        <v>15264</v>
      </c>
      <c r="L2118" s="8" t="s">
        <v>15265</v>
      </c>
      <c r="M2118" s="9" t="s">
        <v>49</v>
      </c>
      <c r="N2118" s="9" t="s">
        <v>88</v>
      </c>
      <c r="O2118" s="9">
        <f>HYPERLINK("https://www.google.com/maps/search/?api=1&amp;query=37.66156912,-5.53379455", "https://www.google.com/maps/search/?api=1&amp;query=37.66156912,-5.53379455")</f>
      </c>
      <c r="P2118" s="9" t="s">
        <v>8692</v>
      </c>
      <c r="Q2118" s="9" t="s">
        <v>15266</v>
      </c>
    </row>
    <row r="2119" spans="1:17" x14ac:dyDescent="0.25">
      <c r="A2119" s="8" t="s">
        <v>15267</v>
      </c>
      <c r="B2119" s="8" t="s">
        <v>15268</v>
      </c>
      <c r="C2119" s="9" t="s">
        <v>15269</v>
      </c>
      <c r="D2119" s="9" t="s">
        <v>280</v>
      </c>
      <c r="E2119" s="9" t="s">
        <v>15270</v>
      </c>
      <c r="F2119" s="10">
        <v>1.514</v>
      </c>
      <c r="G2119" s="10">
        <v>1.665</v>
      </c>
      <c r="H2119" s="10"/>
      <c r="I2119" s="9" t="s">
        <v>118</v>
      </c>
      <c r="J2119" s="9" t="s">
        <v>15271</v>
      </c>
      <c r="K2119" s="9" t="s">
        <v>15272</v>
      </c>
      <c r="L2119" s="8" t="s">
        <v>15273</v>
      </c>
      <c r="M2119" s="9" t="s">
        <v>49</v>
      </c>
      <c r="N2119" s="9" t="s">
        <v>88</v>
      </c>
      <c r="O2119" s="9">
        <f>HYPERLINK("https://www.google.com/maps/search/?api=1&amp;query=43.17723382,-2.05511808", "https://www.google.com/maps/search/?api=1&amp;query=43.17723382,-2.05511808")</f>
      </c>
      <c r="P2119" s="9" t="s">
        <v>15274</v>
      </c>
      <c r="Q2119" s="9" t="s">
        <v>3885</v>
      </c>
    </row>
    <row r="2120" spans="1:17" x14ac:dyDescent="0.25">
      <c r="A2120" s="8" t="s">
        <v>15275</v>
      </c>
      <c r="B2120" s="8" t="s">
        <v>15276</v>
      </c>
      <c r="C2120" s="9" t="s">
        <v>15277</v>
      </c>
      <c r="D2120" s="9" t="s">
        <v>138</v>
      </c>
      <c r="E2120" s="9" t="s">
        <v>15278</v>
      </c>
      <c r="F2120" s="10">
        <v>1.514</v>
      </c>
      <c r="G2120" s="10">
        <v>1.665</v>
      </c>
      <c r="H2120" s="10"/>
      <c r="I2120" s="9" t="s">
        <v>140</v>
      </c>
      <c r="J2120" s="9" t="s">
        <v>15279</v>
      </c>
      <c r="K2120" s="9" t="s">
        <v>15280</v>
      </c>
      <c r="L2120" s="8" t="s">
        <v>15281</v>
      </c>
      <c r="M2120" s="9" t="s">
        <v>36</v>
      </c>
      <c r="N2120" s="9" t="s">
        <v>211</v>
      </c>
      <c r="O2120" s="9">
        <f>HYPERLINK("https://www.google.com/maps/search/?api=1&amp;query=42.11399769,-8.84010035", "https://www.google.com/maps/search/?api=1&amp;query=42.11399769,-8.84010035")</f>
      </c>
      <c r="P2120" s="9" t="s">
        <v>349</v>
      </c>
      <c r="Q2120" s="9" t="s">
        <v>15282</v>
      </c>
    </row>
    <row r="2121" spans="1:17" x14ac:dyDescent="0.25">
      <c r="A2121" s="8" t="s">
        <v>15283</v>
      </c>
      <c r="B2121" s="8" t="s">
        <v>15284</v>
      </c>
      <c r="C2121" s="9" t="s">
        <v>15285</v>
      </c>
      <c r="D2121" s="9" t="s">
        <v>398</v>
      </c>
      <c r="E2121" s="9" t="s">
        <v>12078</v>
      </c>
      <c r="F2121" s="10">
        <v>1.514</v>
      </c>
      <c r="G2121" s="10">
        <v>1.665</v>
      </c>
      <c r="H2121" s="10"/>
      <c r="I2121" s="9" t="s">
        <v>400</v>
      </c>
      <c r="J2121" s="9" t="s">
        <v>15286</v>
      </c>
      <c r="K2121" s="9" t="s">
        <v>15287</v>
      </c>
      <c r="L2121" s="8" t="s">
        <v>12081</v>
      </c>
      <c r="M2121" s="9" t="s">
        <v>49</v>
      </c>
      <c r="N2121" s="9" t="s">
        <v>37</v>
      </c>
      <c r="O2121" s="9">
        <f>HYPERLINK("https://www.google.com/maps/search/?api=1&amp;query=38.29179151,-0.59249758", "https://www.google.com/maps/search/?api=1&amp;query=38.29179151,-0.59249758")</f>
      </c>
      <c r="P2121" s="9" t="s">
        <v>7070</v>
      </c>
      <c r="Q2121" s="9" t="s">
        <v>5188</v>
      </c>
    </row>
    <row r="2122" spans="1:17" x14ac:dyDescent="0.25">
      <c r="A2122" s="8" t="s">
        <v>15288</v>
      </c>
      <c r="B2122" s="8" t="s">
        <v>15289</v>
      </c>
      <c r="C2122" s="9" t="s">
        <v>15290</v>
      </c>
      <c r="D2122" s="9" t="s">
        <v>83</v>
      </c>
      <c r="E2122" s="9" t="s">
        <v>15291</v>
      </c>
      <c r="F2122" s="10">
        <v>1.514</v>
      </c>
      <c r="G2122" s="10">
        <v>1.665</v>
      </c>
      <c r="H2122" s="10"/>
      <c r="I2122" s="9" t="s">
        <v>83</v>
      </c>
      <c r="J2122" s="9" t="s">
        <v>15292</v>
      </c>
      <c r="K2122" s="9" t="s">
        <v>15293</v>
      </c>
      <c r="L2122" s="8" t="s">
        <v>15294</v>
      </c>
      <c r="M2122" s="9" t="s">
        <v>49</v>
      </c>
      <c r="N2122" s="9" t="s">
        <v>5851</v>
      </c>
      <c r="O2122" s="9">
        <f>HYPERLINK("https://www.google.com/maps/search/?api=1&amp;query=40.24525966,-3.48101143", "https://www.google.com/maps/search/?api=1&amp;query=40.24525966,-3.48101143")</f>
      </c>
      <c r="P2122" s="9" t="s">
        <v>3165</v>
      </c>
      <c r="Q2122" s="9" t="s">
        <v>15295</v>
      </c>
    </row>
    <row r="2123" spans="1:17" x14ac:dyDescent="0.25">
      <c r="A2123" s="8" t="s">
        <v>15296</v>
      </c>
      <c r="B2123" s="8" t="s">
        <v>15297</v>
      </c>
      <c r="C2123" s="9" t="s">
        <v>15298</v>
      </c>
      <c r="D2123" s="9" t="s">
        <v>166</v>
      </c>
      <c r="E2123" s="9" t="s">
        <v>15299</v>
      </c>
      <c r="F2123" s="10">
        <v>1.514</v>
      </c>
      <c r="G2123" s="10">
        <v>1.665</v>
      </c>
      <c r="H2123" s="10"/>
      <c r="I2123" s="9" t="s">
        <v>168</v>
      </c>
      <c r="J2123" s="9" t="s">
        <v>15300</v>
      </c>
      <c r="K2123" s="9" t="s">
        <v>15301</v>
      </c>
      <c r="L2123" s="8" t="s">
        <v>15302</v>
      </c>
      <c r="M2123" s="9" t="s">
        <v>36</v>
      </c>
      <c r="N2123" s="9" t="s">
        <v>66</v>
      </c>
      <c r="O2123" s="9">
        <f>HYPERLINK("https://www.google.com/maps/search/?api=1&amp;query=40.70531707,-3.42673359", "https://www.google.com/maps/search/?api=1&amp;query=40.70531707,-3.42673359")</f>
      </c>
      <c r="P2123" s="9" t="s">
        <v>1203</v>
      </c>
      <c r="Q2123" s="9" t="s">
        <v>618</v>
      </c>
    </row>
    <row r="2124" spans="1:17" x14ac:dyDescent="0.25">
      <c r="A2124" s="8" t="s">
        <v>15303</v>
      </c>
      <c r="B2124" s="8" t="s">
        <v>15304</v>
      </c>
      <c r="C2124" s="9" t="s">
        <v>15305</v>
      </c>
      <c r="D2124" s="9" t="s">
        <v>155</v>
      </c>
      <c r="E2124" s="9" t="s">
        <v>15306</v>
      </c>
      <c r="F2124" s="10">
        <v>1.514</v>
      </c>
      <c r="G2124" s="10">
        <v>1.665</v>
      </c>
      <c r="H2124" s="10"/>
      <c r="I2124" s="9" t="s">
        <v>157</v>
      </c>
      <c r="J2124" s="9" t="s">
        <v>15307</v>
      </c>
      <c r="K2124" s="9" t="s">
        <v>15308</v>
      </c>
      <c r="L2124" s="8" t="s">
        <v>4397</v>
      </c>
      <c r="M2124" s="9" t="s">
        <v>36</v>
      </c>
      <c r="N2124" s="9" t="s">
        <v>1695</v>
      </c>
      <c r="O2124" s="9">
        <f>HYPERLINK("https://www.google.com/maps/search/?api=1&amp;query=39.8500985,3.12737132", "https://www.google.com/maps/search/?api=1&amp;query=39.8500985,3.12737132")</f>
      </c>
      <c r="P2124" s="9" t="s">
        <v>13052</v>
      </c>
      <c r="Q2124" s="9" t="s">
        <v>3559</v>
      </c>
    </row>
    <row r="2125" spans="1:17" x14ac:dyDescent="0.25">
      <c r="A2125" s="8" t="s">
        <v>15309</v>
      </c>
      <c r="B2125" s="8" t="s">
        <v>15310</v>
      </c>
      <c r="C2125" s="9" t="s">
        <v>8185</v>
      </c>
      <c r="D2125" s="9" t="s">
        <v>434</v>
      </c>
      <c r="E2125" s="9" t="s">
        <v>434</v>
      </c>
      <c r="F2125" s="10">
        <v>1.514</v>
      </c>
      <c r="G2125" s="10">
        <v>1.665</v>
      </c>
      <c r="H2125" s="10"/>
      <c r="I2125" s="9" t="s">
        <v>96</v>
      </c>
      <c r="J2125" s="9" t="s">
        <v>15311</v>
      </c>
      <c r="K2125" s="9" t="s">
        <v>15312</v>
      </c>
      <c r="L2125" s="8" t="s">
        <v>15313</v>
      </c>
      <c r="M2125" s="9" t="s">
        <v>49</v>
      </c>
      <c r="N2125" s="9" t="s">
        <v>88</v>
      </c>
      <c r="O2125" s="9">
        <f>HYPERLINK("https://www.google.com/maps/search/?api=1&amp;query=41.97527094,2.8237044", "https://www.google.com/maps/search/?api=1&amp;query=41.97527094,2.8237044")</f>
      </c>
      <c r="P2125" s="9" t="s">
        <v>1565</v>
      </c>
      <c r="Q2125" s="9" t="s">
        <v>112</v>
      </c>
    </row>
    <row r="2126" spans="1:17" x14ac:dyDescent="0.25">
      <c r="A2126" s="8" t="s">
        <v>15314</v>
      </c>
      <c r="B2126" s="8" t="s">
        <v>15315</v>
      </c>
      <c r="C2126" s="9" t="s">
        <v>15316</v>
      </c>
      <c r="D2126" s="9" t="s">
        <v>226</v>
      </c>
      <c r="E2126" s="9" t="s">
        <v>15317</v>
      </c>
      <c r="F2126" s="10">
        <v>1.514</v>
      </c>
      <c r="G2126" s="10">
        <v>1.665</v>
      </c>
      <c r="H2126" s="10"/>
      <c r="I2126" s="9" t="s">
        <v>168</v>
      </c>
      <c r="J2126" s="9" t="s">
        <v>15318</v>
      </c>
      <c r="K2126" s="9" t="s">
        <v>15319</v>
      </c>
      <c r="L2126" s="8" t="s">
        <v>15320</v>
      </c>
      <c r="M2126" s="9" t="s">
        <v>49</v>
      </c>
      <c r="N2126" s="9" t="s">
        <v>1130</v>
      </c>
      <c r="O2126" s="9">
        <f>HYPERLINK("https://www.google.com/maps/search/?api=1&amp;query=40.23516452,-2.29099787", "https://www.google.com/maps/search/?api=1&amp;query=40.23516452,-2.29099787")</f>
      </c>
      <c r="P2126" s="9" t="s">
        <v>1803</v>
      </c>
      <c r="Q2126" s="9" t="s">
        <v>1131</v>
      </c>
    </row>
    <row r="2127" spans="1:17" x14ac:dyDescent="0.25">
      <c r="A2127" s="8" t="s">
        <v>15321</v>
      </c>
      <c r="B2127" s="8" t="s">
        <v>15322</v>
      </c>
      <c r="C2127" s="9" t="s">
        <v>15323</v>
      </c>
      <c r="D2127" s="9" t="s">
        <v>217</v>
      </c>
      <c r="E2127" s="9" t="s">
        <v>3733</v>
      </c>
      <c r="F2127" s="10">
        <v>1.514</v>
      </c>
      <c r="G2127" s="10">
        <v>1.665</v>
      </c>
      <c r="H2127" s="10"/>
      <c r="I2127" s="9" t="s">
        <v>45</v>
      </c>
      <c r="J2127" s="9" t="s">
        <v>15324</v>
      </c>
      <c r="K2127" s="9" t="s">
        <v>15325</v>
      </c>
      <c r="L2127" s="8" t="s">
        <v>3736</v>
      </c>
      <c r="M2127" s="9" t="s">
        <v>36</v>
      </c>
      <c r="N2127" s="9" t="s">
        <v>37</v>
      </c>
      <c r="O2127" s="9">
        <f>HYPERLINK("https://www.google.com/maps/search/?api=1&amp;query=36.64141886,-4.49493547", "https://www.google.com/maps/search/?api=1&amp;query=36.64141886,-4.49493547")</f>
      </c>
      <c r="P2127" s="9" t="s">
        <v>15326</v>
      </c>
      <c r="Q2127" s="9" t="s">
        <v>7618</v>
      </c>
    </row>
    <row r="2128" spans="1:17" x14ac:dyDescent="0.25">
      <c r="A2128" s="8" t="s">
        <v>15327</v>
      </c>
      <c r="B2128" s="8" t="s">
        <v>15328</v>
      </c>
      <c r="C2128" s="9" t="s">
        <v>8434</v>
      </c>
      <c r="D2128" s="9" t="s">
        <v>61</v>
      </c>
      <c r="E2128" s="9" t="s">
        <v>15329</v>
      </c>
      <c r="F2128" s="10">
        <v>1.514</v>
      </c>
      <c r="G2128" s="10">
        <v>1.665</v>
      </c>
      <c r="H2128" s="10"/>
      <c r="I2128" s="9" t="s">
        <v>45</v>
      </c>
      <c r="J2128" s="9" t="s">
        <v>15330</v>
      </c>
      <c r="K2128" s="9" t="s">
        <v>15331</v>
      </c>
      <c r="L2128" s="8" t="s">
        <v>15332</v>
      </c>
      <c r="M2128" s="9" t="s">
        <v>49</v>
      </c>
      <c r="N2128" s="9" t="s">
        <v>88</v>
      </c>
      <c r="O2128" s="9">
        <f>HYPERLINK("https://www.google.com/maps/search/?api=1&amp;query=37.86208929,-5.61850368", "https://www.google.com/maps/search/?api=1&amp;query=37.86208929,-5.61850368")</f>
      </c>
      <c r="P2128" s="9" t="s">
        <v>880</v>
      </c>
      <c r="Q2128" s="9" t="s">
        <v>1131</v>
      </c>
    </row>
    <row r="2129" spans="1:17" x14ac:dyDescent="0.25">
      <c r="A2129" s="8" t="s">
        <v>15333</v>
      </c>
      <c r="B2129" s="8" t="s">
        <v>15334</v>
      </c>
      <c r="C2129" s="9" t="s">
        <v>15335</v>
      </c>
      <c r="D2129" s="9" t="s">
        <v>631</v>
      </c>
      <c r="E2129" s="9" t="s">
        <v>15336</v>
      </c>
      <c r="F2129" s="10">
        <v>1.514</v>
      </c>
      <c r="G2129" s="10">
        <v>1.665</v>
      </c>
      <c r="H2129" s="10"/>
      <c r="I2129" s="9" t="s">
        <v>45</v>
      </c>
      <c r="J2129" s="9" t="s">
        <v>15337</v>
      </c>
      <c r="K2129" s="9" t="s">
        <v>15338</v>
      </c>
      <c r="L2129" s="8" t="s">
        <v>11299</v>
      </c>
      <c r="M2129" s="9" t="s">
        <v>49</v>
      </c>
      <c r="N2129" s="9" t="s">
        <v>88</v>
      </c>
      <c r="O2129" s="9">
        <f>HYPERLINK("https://www.google.com/maps/search/?api=1&amp;query=38.32201744,-4.61953154", "https://www.google.com/maps/search/?api=1&amp;query=38.32201744,-4.61953154")</f>
      </c>
      <c r="P2129" s="9" t="s">
        <v>10610</v>
      </c>
      <c r="Q2129" s="9" t="s">
        <v>1566</v>
      </c>
    </row>
    <row r="2130" spans="1:17" x14ac:dyDescent="0.25">
      <c r="A2130" s="8" t="s">
        <v>15339</v>
      </c>
      <c r="B2130" s="8" t="s">
        <v>15340</v>
      </c>
      <c r="C2130" s="9" t="s">
        <v>15341</v>
      </c>
      <c r="D2130" s="9" t="s">
        <v>61</v>
      </c>
      <c r="E2130" s="9" t="s">
        <v>61</v>
      </c>
      <c r="F2130" s="10">
        <v>1.514</v>
      </c>
      <c r="G2130" s="10">
        <v>1.665</v>
      </c>
      <c r="H2130" s="10"/>
      <c r="I2130" s="9" t="s">
        <v>45</v>
      </c>
      <c r="J2130" s="9" t="s">
        <v>15342</v>
      </c>
      <c r="K2130" s="9" t="s">
        <v>15343</v>
      </c>
      <c r="L2130" s="8" t="s">
        <v>15344</v>
      </c>
      <c r="M2130" s="9" t="s">
        <v>49</v>
      </c>
      <c r="N2130" s="9" t="s">
        <v>37</v>
      </c>
      <c r="O2130" s="9">
        <f>HYPERLINK("https://www.google.com/maps/search/?api=1&amp;query=37.33832158,-5.97116149", "https://www.google.com/maps/search/?api=1&amp;query=37.33832158,-5.97116149")</f>
      </c>
      <c r="P2130" s="9" t="s">
        <v>1268</v>
      </c>
      <c r="Q2130" s="9" t="s">
        <v>15345</v>
      </c>
    </row>
    <row r="2131" spans="1:17" x14ac:dyDescent="0.25">
      <c r="A2131" s="8" t="s">
        <v>15346</v>
      </c>
      <c r="B2131" s="8" t="s">
        <v>15347</v>
      </c>
      <c r="C2131" s="9" t="s">
        <v>15348</v>
      </c>
      <c r="D2131" s="9" t="s">
        <v>400</v>
      </c>
      <c r="E2131" s="9" t="s">
        <v>15349</v>
      </c>
      <c r="F2131" s="10">
        <v>1.514</v>
      </c>
      <c r="G2131" s="10">
        <v>1.665</v>
      </c>
      <c r="H2131" s="10"/>
      <c r="I2131" s="9" t="s">
        <v>400</v>
      </c>
      <c r="J2131" s="9" t="s">
        <v>15350</v>
      </c>
      <c r="K2131" s="9" t="s">
        <v>15351</v>
      </c>
      <c r="L2131" s="8" t="s">
        <v>15352</v>
      </c>
      <c r="M2131" s="9" t="s">
        <v>100</v>
      </c>
      <c r="N2131" s="9" t="s">
        <v>37</v>
      </c>
      <c r="O2131" s="9">
        <f>HYPERLINK("https://www.google.com/maps/search/?api=1&amp;query=39.51727074,-0.36056235", "https://www.google.com/maps/search/?api=1&amp;query=39.51727074,-0.36056235")</f>
      </c>
      <c r="P2131" s="9" t="s">
        <v>2742</v>
      </c>
      <c r="Q2131" s="9" t="s">
        <v>907</v>
      </c>
    </row>
    <row r="2132" spans="1:17" x14ac:dyDescent="0.25">
      <c r="A2132" s="8" t="s">
        <v>15353</v>
      </c>
      <c r="B2132" s="8" t="s">
        <v>15354</v>
      </c>
      <c r="C2132" s="9" t="s">
        <v>15355</v>
      </c>
      <c r="D2132" s="9" t="s">
        <v>197</v>
      </c>
      <c r="E2132" s="9" t="s">
        <v>15356</v>
      </c>
      <c r="F2132" s="10">
        <v>1.514</v>
      </c>
      <c r="G2132" s="10">
        <v>1.665</v>
      </c>
      <c r="H2132" s="10"/>
      <c r="I2132" s="9" t="s">
        <v>168</v>
      </c>
      <c r="J2132" s="9" t="s">
        <v>15357</v>
      </c>
      <c r="K2132" s="9" t="s">
        <v>15358</v>
      </c>
      <c r="L2132" s="8" t="s">
        <v>15359</v>
      </c>
      <c r="M2132" s="9" t="s">
        <v>36</v>
      </c>
      <c r="N2132" s="9" t="s">
        <v>556</v>
      </c>
      <c r="O2132" s="9">
        <f>HYPERLINK("https://www.google.com/maps/search/?api=1&amp;query=39.76781078,-3.17474525", "https://www.google.com/maps/search/?api=1&amp;query=39.76781078,-3.17474525")</f>
      </c>
      <c r="P2132" s="9" t="s">
        <v>965</v>
      </c>
      <c r="Q2132" s="9" t="s">
        <v>1092</v>
      </c>
    </row>
    <row r="2133" spans="1:17" x14ac:dyDescent="0.25">
      <c r="A2133" s="8" t="s">
        <v>15360</v>
      </c>
      <c r="B2133" s="8" t="s">
        <v>15361</v>
      </c>
      <c r="C2133" s="9" t="s">
        <v>15362</v>
      </c>
      <c r="D2133" s="9" t="s">
        <v>1282</v>
      </c>
      <c r="E2133" s="9" t="s">
        <v>15363</v>
      </c>
      <c r="F2133" s="10">
        <v>1.514</v>
      </c>
      <c r="G2133" s="10">
        <v>1.665</v>
      </c>
      <c r="H2133" s="10"/>
      <c r="I2133" s="9" t="s">
        <v>45</v>
      </c>
      <c r="J2133" s="9" t="s">
        <v>15364</v>
      </c>
      <c r="K2133" s="9" t="s">
        <v>15365</v>
      </c>
      <c r="L2133" s="8" t="s">
        <v>15366</v>
      </c>
      <c r="M2133" s="9" t="s">
        <v>49</v>
      </c>
      <c r="N2133" s="9" t="s">
        <v>339</v>
      </c>
      <c r="O2133" s="9">
        <f>HYPERLINK("https://www.google.com/maps/search/?api=1&amp;query=37.19270475,-3.85283069", "https://www.google.com/maps/search/?api=1&amp;query=37.19270475,-3.85283069")</f>
      </c>
      <c r="P2133" s="9" t="s">
        <v>617</v>
      </c>
      <c r="Q2133" s="9" t="s">
        <v>2827</v>
      </c>
    </row>
    <row r="2134" spans="1:17" x14ac:dyDescent="0.25">
      <c r="A2134" s="8" t="s">
        <v>15367</v>
      </c>
      <c r="B2134" s="8" t="s">
        <v>15368</v>
      </c>
      <c r="C2134" s="9" t="s">
        <v>15369</v>
      </c>
      <c r="D2134" s="9" t="s">
        <v>280</v>
      </c>
      <c r="E2134" s="9" t="s">
        <v>4538</v>
      </c>
      <c r="F2134" s="10">
        <v>1.514</v>
      </c>
      <c r="G2134" s="10">
        <v>1.665</v>
      </c>
      <c r="H2134" s="10"/>
      <c r="I2134" s="9" t="s">
        <v>118</v>
      </c>
      <c r="J2134" s="9" t="s">
        <v>15370</v>
      </c>
      <c r="K2134" s="9" t="s">
        <v>15371</v>
      </c>
      <c r="L2134" s="8" t="s">
        <v>4541</v>
      </c>
      <c r="M2134" s="9" t="s">
        <v>49</v>
      </c>
      <c r="N2134" s="9" t="s">
        <v>15372</v>
      </c>
      <c r="O2134" s="9">
        <f>HYPERLINK("https://www.google.com/maps/search/?api=1&amp;query=43.04994195,-2.22039226", "https://www.google.com/maps/search/?api=1&amp;query=43.04994195,-2.22039226")</f>
      </c>
      <c r="P2134" s="9" t="s">
        <v>7155</v>
      </c>
      <c r="Q2134" s="9" t="s">
        <v>15373</v>
      </c>
    </row>
    <row r="2135" spans="1:17" x14ac:dyDescent="0.25">
      <c r="A2135" s="8" t="s">
        <v>15374</v>
      </c>
      <c r="B2135" s="8" t="s">
        <v>15375</v>
      </c>
      <c r="C2135" s="9" t="s">
        <v>15376</v>
      </c>
      <c r="D2135" s="9" t="s">
        <v>344</v>
      </c>
      <c r="E2135" s="9" t="s">
        <v>15377</v>
      </c>
      <c r="F2135" s="10">
        <v>1.514</v>
      </c>
      <c r="G2135" s="10">
        <v>1.665</v>
      </c>
      <c r="H2135" s="10"/>
      <c r="I2135" s="9" t="s">
        <v>140</v>
      </c>
      <c r="J2135" s="9" t="s">
        <v>15378</v>
      </c>
      <c r="K2135" s="9" t="s">
        <v>15379</v>
      </c>
      <c r="L2135" s="8" t="s">
        <v>15380</v>
      </c>
      <c r="M2135" s="9" t="s">
        <v>49</v>
      </c>
      <c r="N2135" s="9" t="s">
        <v>211</v>
      </c>
      <c r="O2135" s="9">
        <f>HYPERLINK("https://www.google.com/maps/search/?api=1&amp;query=43.26614106,-8.23206009", "https://www.google.com/maps/search/?api=1&amp;query=43.26614106,-8.23206009")</f>
      </c>
      <c r="P2135" s="9" t="s">
        <v>182</v>
      </c>
      <c r="Q2135" s="9" t="s">
        <v>6009</v>
      </c>
    </row>
    <row r="2136" spans="1:17" x14ac:dyDescent="0.25">
      <c r="A2136" s="8" t="s">
        <v>15381</v>
      </c>
      <c r="B2136" s="8" t="s">
        <v>15382</v>
      </c>
      <c r="C2136" s="9" t="s">
        <v>15383</v>
      </c>
      <c r="D2136" s="9" t="s">
        <v>516</v>
      </c>
      <c r="E2136" s="9" t="s">
        <v>15384</v>
      </c>
      <c r="F2136" s="10">
        <v>1.514</v>
      </c>
      <c r="G2136" s="10">
        <v>1.665</v>
      </c>
      <c r="H2136" s="10"/>
      <c r="I2136" s="9" t="s">
        <v>140</v>
      </c>
      <c r="J2136" s="9" t="s">
        <v>15385</v>
      </c>
      <c r="K2136" s="9" t="s">
        <v>15386</v>
      </c>
      <c r="L2136" s="8" t="s">
        <v>15387</v>
      </c>
      <c r="M2136" s="9" t="s">
        <v>49</v>
      </c>
      <c r="N2136" s="9" t="s">
        <v>211</v>
      </c>
      <c r="O2136" s="9">
        <f>HYPERLINK("https://www.google.com/maps/search/?api=1&amp;query=42.52780141,-7.39783372", "https://www.google.com/maps/search/?api=1&amp;query=42.52780141,-7.39783372")</f>
      </c>
      <c r="P2136" s="9" t="s">
        <v>1927</v>
      </c>
      <c r="Q2136" s="9" t="s">
        <v>1131</v>
      </c>
    </row>
    <row r="2137" spans="1:17" x14ac:dyDescent="0.25">
      <c r="A2137" s="8" t="s">
        <v>7449</v>
      </c>
      <c r="B2137" s="8" t="s">
        <v>15388</v>
      </c>
      <c r="C2137" s="9" t="s">
        <v>15389</v>
      </c>
      <c r="D2137" s="9" t="s">
        <v>2288</v>
      </c>
      <c r="E2137" s="9" t="s">
        <v>2288</v>
      </c>
      <c r="F2137" s="10">
        <v>1.514</v>
      </c>
      <c r="G2137" s="10">
        <v>1.665</v>
      </c>
      <c r="H2137" s="10"/>
      <c r="I2137" s="9" t="s">
        <v>168</v>
      </c>
      <c r="J2137" s="9" t="s">
        <v>15390</v>
      </c>
      <c r="K2137" s="9" t="s">
        <v>15391</v>
      </c>
      <c r="L2137" s="8" t="s">
        <v>4931</v>
      </c>
      <c r="M2137" s="9" t="s">
        <v>36</v>
      </c>
      <c r="N2137" s="9" t="s">
        <v>88</v>
      </c>
      <c r="O2137" s="9">
        <f>HYPERLINK("https://www.google.com/maps/search/?api=1&amp;query=38.98894543,-1.88165815", "https://www.google.com/maps/search/?api=1&amp;query=38.98894543,-1.88165815")</f>
      </c>
      <c r="P2137" s="9" t="s">
        <v>3165</v>
      </c>
      <c r="Q2137" s="9" t="s">
        <v>15295</v>
      </c>
    </row>
    <row r="2138" spans="1:17" x14ac:dyDescent="0.25">
      <c r="A2138" s="8" t="s">
        <v>15392</v>
      </c>
      <c r="B2138" s="8" t="s">
        <v>15393</v>
      </c>
      <c r="C2138" s="9" t="s">
        <v>15394</v>
      </c>
      <c r="D2138" s="9" t="s">
        <v>177</v>
      </c>
      <c r="E2138" s="9" t="s">
        <v>15395</v>
      </c>
      <c r="F2138" s="10">
        <v>1.514</v>
      </c>
      <c r="G2138" s="10">
        <v>1.665</v>
      </c>
      <c r="H2138" s="10"/>
      <c r="I2138" s="9" t="s">
        <v>74</v>
      </c>
      <c r="J2138" s="9" t="s">
        <v>15396</v>
      </c>
      <c r="K2138" s="9" t="s">
        <v>15397</v>
      </c>
      <c r="L2138" s="8" t="s">
        <v>15398</v>
      </c>
      <c r="M2138" s="9" t="s">
        <v>49</v>
      </c>
      <c r="N2138" s="9" t="s">
        <v>211</v>
      </c>
      <c r="O2138" s="9">
        <f>HYPERLINK("https://www.google.com/maps/search/?api=1&amp;query=41.5182357,-5.21368009", "https://www.google.com/maps/search/?api=1&amp;query=41.5182357,-5.21368009")</f>
      </c>
      <c r="P2138" s="9" t="s">
        <v>680</v>
      </c>
      <c r="Q2138" s="9" t="s">
        <v>15399</v>
      </c>
    </row>
    <row r="2139" spans="1:17" x14ac:dyDescent="0.25">
      <c r="A2139" s="8" t="s">
        <v>15400</v>
      </c>
      <c r="B2139" s="8" t="s">
        <v>15401</v>
      </c>
      <c r="C2139" s="9" t="s">
        <v>15402</v>
      </c>
      <c r="D2139" s="9" t="s">
        <v>30</v>
      </c>
      <c r="E2139" s="9" t="s">
        <v>15403</v>
      </c>
      <c r="F2139" s="10">
        <v>1.514</v>
      </c>
      <c r="G2139" s="10">
        <v>1.665</v>
      </c>
      <c r="H2139" s="10"/>
      <c r="I2139" s="9" t="s">
        <v>32</v>
      </c>
      <c r="J2139" s="9" t="s">
        <v>15404</v>
      </c>
      <c r="K2139" s="9" t="s">
        <v>15405</v>
      </c>
      <c r="L2139" s="8" t="s">
        <v>15406</v>
      </c>
      <c r="M2139" s="9" t="s">
        <v>49</v>
      </c>
      <c r="N2139" s="9" t="s">
        <v>556</v>
      </c>
      <c r="O2139" s="9">
        <f>HYPERLINK("https://www.google.com/maps/search/?api=1&amp;query=38.902476,-6.62019531", "https://www.google.com/maps/search/?api=1&amp;query=38.902476,-6.62019531")</f>
      </c>
      <c r="P2139" s="9" t="s">
        <v>15407</v>
      </c>
      <c r="Q2139" s="9" t="s">
        <v>15408</v>
      </c>
    </row>
    <row r="2140" spans="1:17" x14ac:dyDescent="0.25">
      <c r="A2140" s="8" t="s">
        <v>15409</v>
      </c>
      <c r="B2140" s="8" t="s">
        <v>15410</v>
      </c>
      <c r="C2140" s="9" t="s">
        <v>15411</v>
      </c>
      <c r="D2140" s="9" t="s">
        <v>61</v>
      </c>
      <c r="E2140" s="9" t="s">
        <v>15412</v>
      </c>
      <c r="F2140" s="10">
        <v>1.514</v>
      </c>
      <c r="G2140" s="10">
        <v>1.665</v>
      </c>
      <c r="H2140" s="10"/>
      <c r="I2140" s="9" t="s">
        <v>45</v>
      </c>
      <c r="J2140" s="9" t="s">
        <v>15413</v>
      </c>
      <c r="K2140" s="9" t="s">
        <v>15414</v>
      </c>
      <c r="L2140" s="8" t="s">
        <v>15415</v>
      </c>
      <c r="M2140" s="9" t="s">
        <v>49</v>
      </c>
      <c r="N2140" s="9" t="s">
        <v>37</v>
      </c>
      <c r="O2140" s="9">
        <f>HYPERLINK("https://www.google.com/maps/search/?api=1&amp;query=37.38663302,-6.19754954", "https://www.google.com/maps/search/?api=1&amp;query=37.38663302,-6.19754954")</f>
      </c>
      <c r="P2140" s="9" t="s">
        <v>780</v>
      </c>
      <c r="Q2140" s="9" t="s">
        <v>647</v>
      </c>
    </row>
    <row r="2141" spans="1:17" x14ac:dyDescent="0.25">
      <c r="A2141" s="8" t="s">
        <v>15416</v>
      </c>
      <c r="B2141" s="8" t="s">
        <v>15417</v>
      </c>
      <c r="C2141" s="9" t="s">
        <v>15418</v>
      </c>
      <c r="D2141" s="9" t="s">
        <v>197</v>
      </c>
      <c r="E2141" s="9" t="s">
        <v>15419</v>
      </c>
      <c r="F2141" s="10">
        <v>1.514</v>
      </c>
      <c r="G2141" s="10">
        <v>1.665</v>
      </c>
      <c r="H2141" s="10"/>
      <c r="I2141" s="9" t="s">
        <v>168</v>
      </c>
      <c r="J2141" s="9" t="s">
        <v>15420</v>
      </c>
      <c r="K2141" s="9" t="s">
        <v>15421</v>
      </c>
      <c r="L2141" s="8" t="s">
        <v>15422</v>
      </c>
      <c r="M2141" s="9" t="s">
        <v>100</v>
      </c>
      <c r="N2141" s="9" t="s">
        <v>645</v>
      </c>
      <c r="O2141" s="9">
        <f>HYPERLINK("https://www.google.com/maps/search/?api=1&amp;query=39.60018899,-3.04973997", "https://www.google.com/maps/search/?api=1&amp;query=39.60018899,-3.04973997")</f>
      </c>
      <c r="P2141" s="9" t="s">
        <v>240</v>
      </c>
      <c r="Q2141" s="9" t="s">
        <v>1733</v>
      </c>
    </row>
    <row r="2142" spans="1:17" x14ac:dyDescent="0.25">
      <c r="A2142" s="8" t="s">
        <v>15423</v>
      </c>
      <c r="B2142" s="8" t="s">
        <v>15424</v>
      </c>
      <c r="C2142" s="9" t="s">
        <v>15425</v>
      </c>
      <c r="D2142" s="9" t="s">
        <v>808</v>
      </c>
      <c r="E2142" s="9" t="s">
        <v>15426</v>
      </c>
      <c r="F2142" s="10">
        <v>1.514</v>
      </c>
      <c r="G2142" s="10">
        <v>1.665</v>
      </c>
      <c r="H2142" s="10"/>
      <c r="I2142" s="9" t="s">
        <v>808</v>
      </c>
      <c r="J2142" s="9" t="s">
        <v>15427</v>
      </c>
      <c r="K2142" s="9" t="s">
        <v>15428</v>
      </c>
      <c r="L2142" s="8" t="s">
        <v>15429</v>
      </c>
      <c r="M2142" s="9" t="s">
        <v>36</v>
      </c>
      <c r="N2142" s="9" t="s">
        <v>15430</v>
      </c>
      <c r="O2142" s="9">
        <f>HYPERLINK("https://www.google.com/maps/search/?api=1&amp;query=43.00391475,-4.13169595", "https://www.google.com/maps/search/?api=1&amp;query=43.00391475,-4.13169595")</f>
      </c>
      <c r="P2142" s="9" t="s">
        <v>880</v>
      </c>
      <c r="Q2142" s="9" t="s">
        <v>618</v>
      </c>
    </row>
    <row r="2143" spans="1:17" x14ac:dyDescent="0.25">
      <c r="A2143" s="8" t="s">
        <v>15431</v>
      </c>
      <c r="B2143" s="8" t="s">
        <v>15432</v>
      </c>
      <c r="C2143" s="9" t="s">
        <v>13013</v>
      </c>
      <c r="D2143" s="9" t="s">
        <v>155</v>
      </c>
      <c r="E2143" s="9" t="s">
        <v>15433</v>
      </c>
      <c r="F2143" s="10">
        <v>1.514</v>
      </c>
      <c r="G2143" s="10">
        <v>1.665</v>
      </c>
      <c r="H2143" s="10"/>
      <c r="I2143" s="9" t="s">
        <v>157</v>
      </c>
      <c r="J2143" s="9" t="s">
        <v>15434</v>
      </c>
      <c r="K2143" s="9" t="s">
        <v>15435</v>
      </c>
      <c r="L2143" s="8" t="s">
        <v>655</v>
      </c>
      <c r="M2143" s="9" t="s">
        <v>49</v>
      </c>
      <c r="N2143" s="9" t="s">
        <v>37</v>
      </c>
      <c r="O2143" s="9">
        <f>HYPERLINK("https://www.google.com/maps/search/?api=1&amp;query=39.71170333,2.90199739", "https://www.google.com/maps/search/?api=1&amp;query=39.71170333,2.90199739")</f>
      </c>
      <c r="P2143" s="9" t="s">
        <v>5097</v>
      </c>
      <c r="Q2143" s="9" t="s">
        <v>4729</v>
      </c>
    </row>
    <row r="2144" spans="1:17" x14ac:dyDescent="0.25">
      <c r="A2144" s="8" t="s">
        <v>15436</v>
      </c>
      <c r="B2144" s="8" t="s">
        <v>15437</v>
      </c>
      <c r="C2144" s="9" t="s">
        <v>15438</v>
      </c>
      <c r="D2144" s="9" t="s">
        <v>3841</v>
      </c>
      <c r="E2144" s="9" t="s">
        <v>15439</v>
      </c>
      <c r="F2144" s="10">
        <v>1.514</v>
      </c>
      <c r="G2144" s="10">
        <v>1.665</v>
      </c>
      <c r="H2144" s="10"/>
      <c r="I2144" s="9" t="s">
        <v>74</v>
      </c>
      <c r="J2144" s="9" t="s">
        <v>15440</v>
      </c>
      <c r="K2144" s="9" t="s">
        <v>15441</v>
      </c>
      <c r="L2144" s="8" t="s">
        <v>15442</v>
      </c>
      <c r="M2144" s="9" t="s">
        <v>36</v>
      </c>
      <c r="N2144" s="9" t="s">
        <v>37</v>
      </c>
      <c r="O2144" s="9">
        <f>HYPERLINK("https://www.google.com/maps/search/?api=1&amp;query=41.16888863,-2.42152722", "https://www.google.com/maps/search/?api=1&amp;query=41.16888863,-2.42152722")</f>
      </c>
      <c r="P2144" s="9" t="s">
        <v>1250</v>
      </c>
      <c r="Q2144" s="9" t="s">
        <v>15443</v>
      </c>
    </row>
    <row r="2145" spans="1:17" x14ac:dyDescent="0.25">
      <c r="A2145" s="8" t="s">
        <v>15444</v>
      </c>
      <c r="B2145" s="8" t="s">
        <v>15445</v>
      </c>
      <c r="C2145" s="9" t="s">
        <v>15446</v>
      </c>
      <c r="D2145" s="9" t="s">
        <v>1282</v>
      </c>
      <c r="E2145" s="9" t="s">
        <v>1282</v>
      </c>
      <c r="F2145" s="10">
        <v>1.514</v>
      </c>
      <c r="G2145" s="10">
        <v>1.665</v>
      </c>
      <c r="H2145" s="10"/>
      <c r="I2145" s="9" t="s">
        <v>45</v>
      </c>
      <c r="J2145" s="9" t="s">
        <v>15447</v>
      </c>
      <c r="K2145" s="9" t="s">
        <v>15448</v>
      </c>
      <c r="L2145" s="8" t="s">
        <v>10375</v>
      </c>
      <c r="M2145" s="9" t="s">
        <v>100</v>
      </c>
      <c r="N2145" s="9" t="s">
        <v>88</v>
      </c>
      <c r="O2145" s="9">
        <f>HYPERLINK("https://www.google.com/maps/search/?api=1&amp;query=37.19826469,-3.63777121", "https://www.google.com/maps/search/?api=1&amp;query=37.19826469,-3.63777121")</f>
      </c>
      <c r="P2145" s="9" t="s">
        <v>321</v>
      </c>
      <c r="Q2145" s="9" t="s">
        <v>15449</v>
      </c>
    </row>
    <row r="2146" spans="1:17" x14ac:dyDescent="0.25">
      <c r="A2146" s="8" t="s">
        <v>15450</v>
      </c>
      <c r="B2146" s="8" t="s">
        <v>15451</v>
      </c>
      <c r="C2146" s="9" t="s">
        <v>15452</v>
      </c>
      <c r="D2146" s="9" t="s">
        <v>177</v>
      </c>
      <c r="E2146" s="9" t="s">
        <v>15453</v>
      </c>
      <c r="F2146" s="10">
        <v>1.514</v>
      </c>
      <c r="G2146" s="10">
        <v>1.665</v>
      </c>
      <c r="H2146" s="10"/>
      <c r="I2146" s="9" t="s">
        <v>74</v>
      </c>
      <c r="J2146" s="9" t="s">
        <v>15454</v>
      </c>
      <c r="K2146" s="9" t="s">
        <v>15455</v>
      </c>
      <c r="L2146" s="8" t="s">
        <v>15456</v>
      </c>
      <c r="M2146" s="9" t="s">
        <v>49</v>
      </c>
      <c r="N2146" s="9" t="s">
        <v>10474</v>
      </c>
      <c r="O2146" s="9">
        <f>HYPERLINK("https://www.google.com/maps/search/?api=1&amp;query=41.88929502,-5.05107786", "https://www.google.com/maps/search/?api=1&amp;query=41.88929502,-5.05107786")</f>
      </c>
      <c r="P2146" s="9" t="s">
        <v>8200</v>
      </c>
      <c r="Q2146" s="9" t="s">
        <v>1131</v>
      </c>
    </row>
    <row r="2147" spans="1:17" x14ac:dyDescent="0.25">
      <c r="A2147" s="8" t="s">
        <v>15457</v>
      </c>
      <c r="B2147" s="8" t="s">
        <v>15458</v>
      </c>
      <c r="C2147" s="9" t="s">
        <v>15459</v>
      </c>
      <c r="D2147" s="9" t="s">
        <v>631</v>
      </c>
      <c r="E2147" s="9" t="s">
        <v>8562</v>
      </c>
      <c r="F2147" s="10">
        <v>1.514</v>
      </c>
      <c r="G2147" s="10">
        <v>1.665</v>
      </c>
      <c r="H2147" s="10"/>
      <c r="I2147" s="9" t="s">
        <v>45</v>
      </c>
      <c r="J2147" s="9" t="s">
        <v>15460</v>
      </c>
      <c r="K2147" s="9" t="s">
        <v>15461</v>
      </c>
      <c r="L2147" s="8" t="s">
        <v>8565</v>
      </c>
      <c r="M2147" s="9" t="s">
        <v>49</v>
      </c>
      <c r="N2147" s="9" t="s">
        <v>66</v>
      </c>
      <c r="O2147" s="9">
        <f>HYPERLINK("https://www.google.com/maps/search/?api=1&amp;query=37.7000139,-5.27269259", "https://www.google.com/maps/search/?api=1&amp;query=37.7000139,-5.27269259")</f>
      </c>
      <c r="P2147" s="9" t="s">
        <v>9840</v>
      </c>
      <c r="Q2147" s="9" t="s">
        <v>5645</v>
      </c>
    </row>
    <row r="2148" spans="1:17" x14ac:dyDescent="0.25">
      <c r="A2148" s="8" t="s">
        <v>15462</v>
      </c>
      <c r="B2148" s="8" t="s">
        <v>15463</v>
      </c>
      <c r="C2148" s="9" t="s">
        <v>15464</v>
      </c>
      <c r="D2148" s="9" t="s">
        <v>307</v>
      </c>
      <c r="E2148" s="9" t="s">
        <v>15465</v>
      </c>
      <c r="F2148" s="10">
        <v>1.514</v>
      </c>
      <c r="G2148" s="10">
        <v>1.665</v>
      </c>
      <c r="H2148" s="10"/>
      <c r="I2148" s="9" t="s">
        <v>74</v>
      </c>
      <c r="J2148" s="9" t="s">
        <v>15466</v>
      </c>
      <c r="K2148" s="9" t="s">
        <v>15467</v>
      </c>
      <c r="L2148" s="8" t="s">
        <v>15468</v>
      </c>
      <c r="M2148" s="9" t="s">
        <v>36</v>
      </c>
      <c r="N2148" s="9" t="s">
        <v>211</v>
      </c>
      <c r="O2148" s="9">
        <f>HYPERLINK("https://www.google.com/maps/search/?api=1&amp;query=42.03435533,-6.84236008", "https://www.google.com/maps/search/?api=1&amp;query=42.03435533,-6.84236008")</f>
      </c>
      <c r="P2148" s="9" t="s">
        <v>321</v>
      </c>
      <c r="Q2148" s="9" t="s">
        <v>3744</v>
      </c>
    </row>
    <row r="2149" spans="1:17" x14ac:dyDescent="0.25">
      <c r="A2149" s="8" t="s">
        <v>15469</v>
      </c>
      <c r="B2149" s="8" t="s">
        <v>15470</v>
      </c>
      <c r="C2149" s="9" t="s">
        <v>15471</v>
      </c>
      <c r="D2149" s="9" t="s">
        <v>424</v>
      </c>
      <c r="E2149" s="9" t="s">
        <v>424</v>
      </c>
      <c r="F2149" s="10">
        <v>1.514</v>
      </c>
      <c r="G2149" s="10">
        <v>1.665</v>
      </c>
      <c r="H2149" s="10"/>
      <c r="I2149" s="9" t="s">
        <v>96</v>
      </c>
      <c r="J2149" s="9" t="s">
        <v>15472</v>
      </c>
      <c r="K2149" s="9" t="s">
        <v>15473</v>
      </c>
      <c r="L2149" s="8" t="s">
        <v>15474</v>
      </c>
      <c r="M2149" s="9" t="s">
        <v>49</v>
      </c>
      <c r="N2149" s="9" t="s">
        <v>37</v>
      </c>
      <c r="O2149" s="9">
        <f>HYPERLINK("https://www.google.com/maps/search/?api=1&amp;query=41.61110767,0.61818418", "https://www.google.com/maps/search/?api=1&amp;query=41.61110767,0.61818418")</f>
      </c>
      <c r="P2149" s="9" t="s">
        <v>172</v>
      </c>
      <c r="Q2149" s="9" t="s">
        <v>15475</v>
      </c>
    </row>
    <row r="2150" spans="1:17" x14ac:dyDescent="0.25">
      <c r="A2150" s="8" t="s">
        <v>15476</v>
      </c>
      <c r="B2150" s="8" t="s">
        <v>15477</v>
      </c>
      <c r="C2150" s="9" t="s">
        <v>15478</v>
      </c>
      <c r="D2150" s="9" t="s">
        <v>128</v>
      </c>
      <c r="E2150" s="9" t="s">
        <v>3834</v>
      </c>
      <c r="F2150" s="10">
        <v>1.514</v>
      </c>
      <c r="G2150" s="10">
        <v>1.665</v>
      </c>
      <c r="H2150" s="10"/>
      <c r="I2150" s="9" t="s">
        <v>45</v>
      </c>
      <c r="J2150" s="9" t="s">
        <v>15479</v>
      </c>
      <c r="K2150" s="9" t="s">
        <v>15480</v>
      </c>
      <c r="L2150" s="8" t="s">
        <v>3837</v>
      </c>
      <c r="M2150" s="9" t="s">
        <v>49</v>
      </c>
      <c r="N2150" s="9" t="s">
        <v>645</v>
      </c>
      <c r="O2150" s="9">
        <f>HYPERLINK("https://www.google.com/maps/search/?api=1&amp;query=36.38856821,-6.11926734", "https://www.google.com/maps/search/?api=1&amp;query=36.38856821,-6.11926734")</f>
      </c>
      <c r="P2150" s="9" t="s">
        <v>15481</v>
      </c>
      <c r="Q2150" s="9" t="s">
        <v>14755</v>
      </c>
    </row>
    <row r="2151" spans="1:17" x14ac:dyDescent="0.25">
      <c r="A2151" s="8" t="s">
        <v>15482</v>
      </c>
      <c r="B2151" s="8" t="s">
        <v>15483</v>
      </c>
      <c r="C2151" s="9" t="s">
        <v>15484</v>
      </c>
      <c r="D2151" s="9" t="s">
        <v>177</v>
      </c>
      <c r="E2151" s="9" t="s">
        <v>15485</v>
      </c>
      <c r="F2151" s="10">
        <v>1.514</v>
      </c>
      <c r="G2151" s="10">
        <v>1.665</v>
      </c>
      <c r="H2151" s="10"/>
      <c r="I2151" s="9" t="s">
        <v>74</v>
      </c>
      <c r="J2151" s="9" t="s">
        <v>15486</v>
      </c>
      <c r="K2151" s="9" t="s">
        <v>15487</v>
      </c>
      <c r="L2151" s="8" t="s">
        <v>15488</v>
      </c>
      <c r="M2151" s="9" t="s">
        <v>49</v>
      </c>
      <c r="N2151" s="9" t="s">
        <v>11194</v>
      </c>
      <c r="O2151" s="9">
        <f>HYPERLINK("https://www.google.com/maps/search/?api=1&amp;query=41.60253364,-4.1147996", "https://www.google.com/maps/search/?api=1&amp;query=41.60253364,-4.1147996")</f>
      </c>
      <c r="P2151" s="9" t="s">
        <v>12689</v>
      </c>
      <c r="Q2151" s="9" t="s">
        <v>7794</v>
      </c>
    </row>
    <row r="2152" spans="1:17" x14ac:dyDescent="0.25">
      <c r="A2152" s="8" t="s">
        <v>15489</v>
      </c>
      <c r="B2152" s="8" t="s">
        <v>15490</v>
      </c>
      <c r="C2152" s="9" t="s">
        <v>15491</v>
      </c>
      <c r="D2152" s="9" t="s">
        <v>424</v>
      </c>
      <c r="E2152" s="9" t="s">
        <v>6863</v>
      </c>
      <c r="F2152" s="10">
        <v>1.514</v>
      </c>
      <c r="G2152" s="10">
        <v>1.665</v>
      </c>
      <c r="H2152" s="10"/>
      <c r="I2152" s="9" t="s">
        <v>96</v>
      </c>
      <c r="J2152" s="9" t="s">
        <v>15492</v>
      </c>
      <c r="K2152" s="9" t="s">
        <v>15493</v>
      </c>
      <c r="L2152" s="8" t="s">
        <v>6866</v>
      </c>
      <c r="M2152" s="9" t="s">
        <v>36</v>
      </c>
      <c r="N2152" s="9" t="s">
        <v>15494</v>
      </c>
      <c r="O2152" s="9">
        <f>HYPERLINK("https://www.google.com/maps/search/?api=1&amp;query=41.78597409,0.79462881", "https://www.google.com/maps/search/?api=1&amp;query=41.78597409,0.79462881")</f>
      </c>
      <c r="P2152" s="9" t="s">
        <v>547</v>
      </c>
      <c r="Q2152" s="9" t="s">
        <v>1742</v>
      </c>
    </row>
    <row r="2153" spans="1:17" x14ac:dyDescent="0.25">
      <c r="A2153" s="8" t="s">
        <v>15495</v>
      </c>
      <c r="B2153" s="8" t="s">
        <v>15496</v>
      </c>
      <c r="C2153" s="9" t="s">
        <v>15497</v>
      </c>
      <c r="D2153" s="9" t="s">
        <v>83</v>
      </c>
      <c r="E2153" s="9" t="s">
        <v>2461</v>
      </c>
      <c r="F2153" s="10">
        <v>1.514</v>
      </c>
      <c r="G2153" s="10">
        <v>1.665</v>
      </c>
      <c r="H2153" s="10"/>
      <c r="I2153" s="9" t="s">
        <v>83</v>
      </c>
      <c r="J2153" s="9" t="s">
        <v>15498</v>
      </c>
      <c r="K2153" s="9" t="s">
        <v>15499</v>
      </c>
      <c r="L2153" s="8" t="s">
        <v>2464</v>
      </c>
      <c r="M2153" s="9" t="s">
        <v>36</v>
      </c>
      <c r="N2153" s="9" t="s">
        <v>88</v>
      </c>
      <c r="O2153" s="9">
        <f>HYPERLINK("https://www.google.com/maps/search/?api=1&amp;query=40.63889779,-3.73197465", "https://www.google.com/maps/search/?api=1&amp;query=40.63889779,-3.73197465")</f>
      </c>
      <c r="P2153" s="9" t="s">
        <v>144</v>
      </c>
      <c r="Q2153" s="9" t="s">
        <v>1131</v>
      </c>
    </row>
    <row r="2154" spans="1:17" x14ac:dyDescent="0.25">
      <c r="A2154" s="8" t="s">
        <v>15500</v>
      </c>
      <c r="B2154" s="8" t="s">
        <v>15501</v>
      </c>
      <c r="C2154" s="9" t="s">
        <v>15502</v>
      </c>
      <c r="D2154" s="9" t="s">
        <v>398</v>
      </c>
      <c r="E2154" s="9" t="s">
        <v>15503</v>
      </c>
      <c r="F2154" s="10">
        <v>1.514</v>
      </c>
      <c r="G2154" s="10">
        <v>1.665</v>
      </c>
      <c r="H2154" s="10"/>
      <c r="I2154" s="9" t="s">
        <v>400</v>
      </c>
      <c r="J2154" s="9" t="s">
        <v>15504</v>
      </c>
      <c r="K2154" s="9" t="s">
        <v>15505</v>
      </c>
      <c r="L2154" s="8" t="s">
        <v>15506</v>
      </c>
      <c r="M2154" s="9" t="s">
        <v>100</v>
      </c>
      <c r="N2154" s="9" t="s">
        <v>37</v>
      </c>
      <c r="O2154" s="9">
        <f>HYPERLINK("https://www.google.com/maps/search/?api=1&amp;query=38.16520568,-0.89479591", "https://www.google.com/maps/search/?api=1&amp;query=38.16520568,-0.89479591")</f>
      </c>
      <c r="P2154" s="9" t="s">
        <v>1514</v>
      </c>
      <c r="Q2154" s="9" t="s">
        <v>15507</v>
      </c>
    </row>
    <row r="2155" spans="1:17" x14ac:dyDescent="0.25">
      <c r="A2155" s="8" t="s">
        <v>15508</v>
      </c>
      <c r="B2155" s="8" t="s">
        <v>15509</v>
      </c>
      <c r="C2155" s="9" t="s">
        <v>15510</v>
      </c>
      <c r="D2155" s="9" t="s">
        <v>892</v>
      </c>
      <c r="E2155" s="9" t="s">
        <v>15511</v>
      </c>
      <c r="F2155" s="10">
        <v>1.514</v>
      </c>
      <c r="G2155" s="10">
        <v>1.665</v>
      </c>
      <c r="H2155" s="10"/>
      <c r="I2155" s="9" t="s">
        <v>32</v>
      </c>
      <c r="J2155" s="9" t="s">
        <v>15512</v>
      </c>
      <c r="K2155" s="9" t="s">
        <v>15513</v>
      </c>
      <c r="L2155" s="8" t="s">
        <v>15514</v>
      </c>
      <c r="M2155" s="9" t="s">
        <v>49</v>
      </c>
      <c r="N2155" s="9" t="s">
        <v>211</v>
      </c>
      <c r="O2155" s="9">
        <f>HYPERLINK("https://www.google.com/maps/search/?api=1&amp;query=40.08691139,-6.35299961", "https://www.google.com/maps/search/?api=1&amp;query=40.08691139,-6.35299961")</f>
      </c>
      <c r="P2155" s="9" t="s">
        <v>617</v>
      </c>
      <c r="Q2155" s="9" t="s">
        <v>1982</v>
      </c>
    </row>
    <row r="2156" spans="1:17" x14ac:dyDescent="0.25">
      <c r="A2156" s="8" t="s">
        <v>15515</v>
      </c>
      <c r="B2156" s="8" t="s">
        <v>15516</v>
      </c>
      <c r="C2156" s="9" t="s">
        <v>15517</v>
      </c>
      <c r="D2156" s="9" t="s">
        <v>400</v>
      </c>
      <c r="E2156" s="9" t="s">
        <v>400</v>
      </c>
      <c r="F2156" s="10">
        <v>1.514</v>
      </c>
      <c r="G2156" s="10">
        <v>1.665</v>
      </c>
      <c r="H2156" s="10"/>
      <c r="I2156" s="9" t="s">
        <v>400</v>
      </c>
      <c r="J2156" s="9" t="s">
        <v>15518</v>
      </c>
      <c r="K2156" s="9" t="s">
        <v>15519</v>
      </c>
      <c r="L2156" s="8" t="s">
        <v>7736</v>
      </c>
      <c r="M2156" s="9" t="s">
        <v>49</v>
      </c>
      <c r="N2156" s="9" t="s">
        <v>88</v>
      </c>
      <c r="O2156" s="9">
        <f>HYPERLINK("https://www.google.com/maps/search/?api=1&amp;query=39.49353166,-0.35794311", "https://www.google.com/maps/search/?api=1&amp;query=39.49353166,-0.35794311")</f>
      </c>
      <c r="P2156" s="9" t="s">
        <v>1842</v>
      </c>
      <c r="Q2156" s="9" t="s">
        <v>1629</v>
      </c>
    </row>
    <row r="2157" spans="1:17" x14ac:dyDescent="0.25">
      <c r="A2157" s="8" t="s">
        <v>15520</v>
      </c>
      <c r="B2157" s="8" t="s">
        <v>15521</v>
      </c>
      <c r="C2157" s="9" t="s">
        <v>15522</v>
      </c>
      <c r="D2157" s="9" t="s">
        <v>61</v>
      </c>
      <c r="E2157" s="9" t="s">
        <v>13813</v>
      </c>
      <c r="F2157" s="10">
        <v>1.514</v>
      </c>
      <c r="G2157" s="10">
        <v>1.665</v>
      </c>
      <c r="H2157" s="10"/>
      <c r="I2157" s="9" t="s">
        <v>45</v>
      </c>
      <c r="J2157" s="9" t="s">
        <v>15523</v>
      </c>
      <c r="K2157" s="9" t="s">
        <v>15524</v>
      </c>
      <c r="L2157" s="8" t="s">
        <v>13816</v>
      </c>
      <c r="M2157" s="9" t="s">
        <v>49</v>
      </c>
      <c r="N2157" s="9" t="s">
        <v>37</v>
      </c>
      <c r="O2157" s="9">
        <f>HYPERLINK("https://www.google.com/maps/search/?api=1&amp;query=37.22941229,-5.32297185", "https://www.google.com/maps/search/?api=1&amp;query=37.22941229,-5.32297185")</f>
      </c>
      <c r="P2157" s="9" t="s">
        <v>521</v>
      </c>
      <c r="Q2157" s="9" t="s">
        <v>754</v>
      </c>
    </row>
    <row r="2158" spans="1:17" x14ac:dyDescent="0.25">
      <c r="A2158" s="8" t="s">
        <v>15525</v>
      </c>
      <c r="B2158" s="8" t="s">
        <v>15526</v>
      </c>
      <c r="C2158" s="9" t="s">
        <v>15527</v>
      </c>
      <c r="D2158" s="9" t="s">
        <v>83</v>
      </c>
      <c r="E2158" s="9" t="s">
        <v>15528</v>
      </c>
      <c r="F2158" s="10">
        <v>1.514</v>
      </c>
      <c r="G2158" s="10">
        <v>1.665</v>
      </c>
      <c r="H2158" s="10"/>
      <c r="I2158" s="9" t="s">
        <v>83</v>
      </c>
      <c r="J2158" s="9" t="s">
        <v>15529</v>
      </c>
      <c r="K2158" s="9" t="s">
        <v>15530</v>
      </c>
      <c r="L2158" s="8" t="s">
        <v>1677</v>
      </c>
      <c r="M2158" s="9" t="s">
        <v>49</v>
      </c>
      <c r="N2158" s="9" t="s">
        <v>211</v>
      </c>
      <c r="O2158" s="9">
        <f>HYPERLINK("https://www.google.com/maps/search/?api=1&amp;query=40.54443051,-3.61015313", "https://www.google.com/maps/search/?api=1&amp;query=40.54443051,-3.61015313")</f>
      </c>
      <c r="P2158" s="9" t="s">
        <v>2292</v>
      </c>
      <c r="Q2158" s="9" t="s">
        <v>15531</v>
      </c>
    </row>
    <row r="2159" spans="1:17" x14ac:dyDescent="0.25">
      <c r="A2159" s="8" t="s">
        <v>15532</v>
      </c>
      <c r="B2159" s="8" t="s">
        <v>15533</v>
      </c>
      <c r="C2159" s="9" t="s">
        <v>15534</v>
      </c>
      <c r="D2159" s="9" t="s">
        <v>253</v>
      </c>
      <c r="E2159" s="9" t="s">
        <v>15535</v>
      </c>
      <c r="F2159" s="10">
        <v>1.514</v>
      </c>
      <c r="G2159" s="10">
        <v>1.665</v>
      </c>
      <c r="H2159" s="10"/>
      <c r="I2159" s="9" t="s">
        <v>96</v>
      </c>
      <c r="J2159" s="9" t="s">
        <v>15536</v>
      </c>
      <c r="K2159" s="9" t="s">
        <v>15537</v>
      </c>
      <c r="L2159" s="8" t="s">
        <v>15538</v>
      </c>
      <c r="M2159" s="9" t="s">
        <v>49</v>
      </c>
      <c r="N2159" s="9" t="s">
        <v>15539</v>
      </c>
      <c r="O2159" s="9">
        <f>HYPERLINK("https://www.google.com/maps/search/?api=1&amp;query=41.26201053,0.90414656", "https://www.google.com/maps/search/?api=1&amp;query=41.26201053,0.90414656")</f>
      </c>
      <c r="P2159" s="9" t="s">
        <v>1927</v>
      </c>
      <c r="Q2159" s="9" t="s">
        <v>15540</v>
      </c>
    </row>
    <row r="2160" spans="1:17" x14ac:dyDescent="0.25">
      <c r="A2160" s="8" t="s">
        <v>15541</v>
      </c>
      <c r="B2160" s="8" t="s">
        <v>15542</v>
      </c>
      <c r="C2160" s="9" t="s">
        <v>15543</v>
      </c>
      <c r="D2160" s="9" t="s">
        <v>398</v>
      </c>
      <c r="E2160" s="9" t="s">
        <v>15544</v>
      </c>
      <c r="F2160" s="10">
        <v>1.514</v>
      </c>
      <c r="G2160" s="10">
        <v>1.665</v>
      </c>
      <c r="H2160" s="10"/>
      <c r="I2160" s="9" t="s">
        <v>400</v>
      </c>
      <c r="J2160" s="9" t="s">
        <v>15545</v>
      </c>
      <c r="K2160" s="9" t="s">
        <v>15546</v>
      </c>
      <c r="L2160" s="8" t="s">
        <v>9188</v>
      </c>
      <c r="M2160" s="9" t="s">
        <v>49</v>
      </c>
      <c r="N2160" s="9" t="s">
        <v>88</v>
      </c>
      <c r="O2160" s="9">
        <f>HYPERLINK("https://www.google.com/maps/search/?api=1&amp;query=38.63580523,-0.8732552", "https://www.google.com/maps/search/?api=1&amp;query=38.63580523,-0.8732552")</f>
      </c>
      <c r="P2160" s="9" t="s">
        <v>813</v>
      </c>
      <c r="Q2160" s="9" t="s">
        <v>8649</v>
      </c>
    </row>
    <row r="2161" spans="1:17" x14ac:dyDescent="0.25">
      <c r="A2161" s="8" t="s">
        <v>15547</v>
      </c>
      <c r="B2161" s="8" t="s">
        <v>15548</v>
      </c>
      <c r="C2161" s="9" t="s">
        <v>15549</v>
      </c>
      <c r="D2161" s="9" t="s">
        <v>217</v>
      </c>
      <c r="E2161" s="9" t="s">
        <v>5058</v>
      </c>
      <c r="F2161" s="10">
        <v>1.514</v>
      </c>
      <c r="G2161" s="10">
        <v>1.665</v>
      </c>
      <c r="H2161" s="10"/>
      <c r="I2161" s="9" t="s">
        <v>45</v>
      </c>
      <c r="J2161" s="9" t="s">
        <v>15550</v>
      </c>
      <c r="K2161" s="9" t="s">
        <v>15551</v>
      </c>
      <c r="L2161" s="8" t="s">
        <v>5061</v>
      </c>
      <c r="M2161" s="9" t="s">
        <v>49</v>
      </c>
      <c r="N2161" s="9" t="s">
        <v>37</v>
      </c>
      <c r="O2161" s="9">
        <f>HYPERLINK("https://www.google.com/maps/search/?api=1&amp;query=36.51598035,-4.88009482", "https://www.google.com/maps/search/?api=1&amp;query=36.51598035,-4.88009482")</f>
      </c>
      <c r="P2161" s="9" t="s">
        <v>15552</v>
      </c>
      <c r="Q2161" s="9" t="s">
        <v>15553</v>
      </c>
    </row>
    <row r="2162" spans="1:17" x14ac:dyDescent="0.25">
      <c r="A2162" s="8" t="s">
        <v>15554</v>
      </c>
      <c r="B2162" s="8" t="s">
        <v>15555</v>
      </c>
      <c r="C2162" s="9" t="s">
        <v>15556</v>
      </c>
      <c r="D2162" s="9" t="s">
        <v>424</v>
      </c>
      <c r="E2162" s="9" t="s">
        <v>15557</v>
      </c>
      <c r="F2162" s="10">
        <v>1.514</v>
      </c>
      <c r="G2162" s="10">
        <v>1.665</v>
      </c>
      <c r="H2162" s="10"/>
      <c r="I2162" s="9" t="s">
        <v>96</v>
      </c>
      <c r="J2162" s="9" t="s">
        <v>15558</v>
      </c>
      <c r="K2162" s="9" t="s">
        <v>15559</v>
      </c>
      <c r="L2162" s="8" t="s">
        <v>15560</v>
      </c>
      <c r="M2162" s="9" t="s">
        <v>49</v>
      </c>
      <c r="N2162" s="9" t="s">
        <v>37</v>
      </c>
      <c r="O2162" s="9">
        <f>HYPERLINK("https://www.google.com/maps/search/?api=1&amp;query=41.82418852,0.56911675", "https://www.google.com/maps/search/?api=1&amp;query=41.82418852,0.56911675")</f>
      </c>
      <c r="P2162" s="9" t="s">
        <v>13468</v>
      </c>
      <c r="Q2162" s="9" t="s">
        <v>9992</v>
      </c>
    </row>
    <row r="2163" spans="1:17" x14ac:dyDescent="0.25">
      <c r="A2163" s="8" t="s">
        <v>15561</v>
      </c>
      <c r="B2163" s="8" t="s">
        <v>15562</v>
      </c>
      <c r="C2163" s="9" t="s">
        <v>15563</v>
      </c>
      <c r="D2163" s="9" t="s">
        <v>2288</v>
      </c>
      <c r="E2163" s="9" t="s">
        <v>15564</v>
      </c>
      <c r="F2163" s="10">
        <v>1.514</v>
      </c>
      <c r="G2163" s="10">
        <v>1.665</v>
      </c>
      <c r="H2163" s="10"/>
      <c r="I2163" s="9" t="s">
        <v>168</v>
      </c>
      <c r="J2163" s="9" t="s">
        <v>15565</v>
      </c>
      <c r="K2163" s="9" t="s">
        <v>15566</v>
      </c>
      <c r="L2163" s="8" t="s">
        <v>15567</v>
      </c>
      <c r="M2163" s="9" t="s">
        <v>36</v>
      </c>
      <c r="N2163" s="9" t="s">
        <v>6738</v>
      </c>
      <c r="O2163" s="9">
        <f>HYPERLINK("https://www.google.com/maps/search/?api=1&amp;query=39.10048639,-1.34650635", "https://www.google.com/maps/search/?api=1&amp;query=39.10048639,-1.34650635")</f>
      </c>
      <c r="P2163" s="9" t="s">
        <v>8200</v>
      </c>
      <c r="Q2163" s="9" t="s">
        <v>1131</v>
      </c>
    </row>
    <row r="2164" spans="1:17" x14ac:dyDescent="0.25">
      <c r="A2164" s="8" t="s">
        <v>15568</v>
      </c>
      <c r="B2164" s="8" t="s">
        <v>15569</v>
      </c>
      <c r="C2164" s="9" t="s">
        <v>15570</v>
      </c>
      <c r="D2164" s="9" t="s">
        <v>94</v>
      </c>
      <c r="E2164" s="9" t="s">
        <v>1023</v>
      </c>
      <c r="F2164" s="10">
        <v>1.514</v>
      </c>
      <c r="G2164" s="10">
        <v>1.665</v>
      </c>
      <c r="H2164" s="10"/>
      <c r="I2164" s="9" t="s">
        <v>96</v>
      </c>
      <c r="J2164" s="9" t="s">
        <v>15571</v>
      </c>
      <c r="K2164" s="9" t="s">
        <v>15572</v>
      </c>
      <c r="L2164" s="8" t="s">
        <v>1026</v>
      </c>
      <c r="M2164" s="9" t="s">
        <v>49</v>
      </c>
      <c r="N2164" s="9" t="s">
        <v>88</v>
      </c>
      <c r="O2164" s="9">
        <f>HYPERLINK("https://www.google.com/maps/search/?api=1&amp;query=41.46666132,2.02581421", "https://www.google.com/maps/search/?api=1&amp;query=41.46666132,2.02581421")</f>
      </c>
      <c r="P2164" s="9" t="s">
        <v>626</v>
      </c>
      <c r="Q2164" s="9" t="s">
        <v>15573</v>
      </c>
    </row>
    <row r="2165" spans="1:17" x14ac:dyDescent="0.25">
      <c r="A2165" s="8" t="s">
        <v>15574</v>
      </c>
      <c r="B2165" s="8" t="s">
        <v>15575</v>
      </c>
      <c r="C2165" s="9" t="s">
        <v>15576</v>
      </c>
      <c r="D2165" s="9" t="s">
        <v>72</v>
      </c>
      <c r="E2165" s="9" t="s">
        <v>15577</v>
      </c>
      <c r="F2165" s="10">
        <v>1.514</v>
      </c>
      <c r="G2165" s="10">
        <v>1.665</v>
      </c>
      <c r="H2165" s="10"/>
      <c r="I2165" s="9" t="s">
        <v>74</v>
      </c>
      <c r="J2165" s="9" t="s">
        <v>15578</v>
      </c>
      <c r="K2165" s="9" t="s">
        <v>15579</v>
      </c>
      <c r="L2165" s="8" t="s">
        <v>8655</v>
      </c>
      <c r="M2165" s="9" t="s">
        <v>49</v>
      </c>
      <c r="N2165" s="9" t="s">
        <v>645</v>
      </c>
      <c r="O2165" s="9">
        <f>HYPERLINK("https://www.google.com/maps/search/?api=1&amp;query=42.51839055,-4.73604375", "https://www.google.com/maps/search/?api=1&amp;query=42.51839055,-4.73604375")</f>
      </c>
      <c r="P2165" s="9" t="s">
        <v>2213</v>
      </c>
      <c r="Q2165" s="9" t="s">
        <v>8774</v>
      </c>
    </row>
    <row r="2166" spans="1:17" x14ac:dyDescent="0.25">
      <c r="A2166" s="8" t="s">
        <v>15580</v>
      </c>
      <c r="B2166" s="8" t="s">
        <v>15581</v>
      </c>
      <c r="C2166" s="9" t="s">
        <v>15582</v>
      </c>
      <c r="D2166" s="9" t="s">
        <v>106</v>
      </c>
      <c r="E2166" s="9" t="s">
        <v>15583</v>
      </c>
      <c r="F2166" s="10">
        <v>1.514</v>
      </c>
      <c r="G2166" s="10">
        <v>1.665</v>
      </c>
      <c r="H2166" s="10"/>
      <c r="I2166" s="9" t="s">
        <v>106</v>
      </c>
      <c r="J2166" s="9" t="s">
        <v>15584</v>
      </c>
      <c r="K2166" s="9" t="s">
        <v>15585</v>
      </c>
      <c r="L2166" s="8" t="s">
        <v>15586</v>
      </c>
      <c r="M2166" s="9" t="s">
        <v>36</v>
      </c>
      <c r="N2166" s="9" t="s">
        <v>88</v>
      </c>
      <c r="O2166" s="9">
        <f>HYPERLINK("https://www.google.com/maps/search/?api=1&amp;query=37.83237812,-1.15425867", "https://www.google.com/maps/search/?api=1&amp;query=37.83237812,-1.15425867")</f>
      </c>
      <c r="P2166" s="9" t="s">
        <v>13579</v>
      </c>
      <c r="Q2166" s="9" t="s">
        <v>1742</v>
      </c>
    </row>
    <row r="2167" spans="1:17" x14ac:dyDescent="0.25">
      <c r="A2167" s="8" t="s">
        <v>15587</v>
      </c>
      <c r="B2167" s="8" t="s">
        <v>15588</v>
      </c>
      <c r="C2167" s="9" t="s">
        <v>15589</v>
      </c>
      <c r="D2167" s="9" t="s">
        <v>280</v>
      </c>
      <c r="E2167" s="9" t="s">
        <v>15590</v>
      </c>
      <c r="F2167" s="10">
        <v>1.514</v>
      </c>
      <c r="G2167" s="10">
        <v>1.665</v>
      </c>
      <c r="H2167" s="10"/>
      <c r="I2167" s="9" t="s">
        <v>118</v>
      </c>
      <c r="J2167" s="9" t="s">
        <v>15591</v>
      </c>
      <c r="K2167" s="9" t="s">
        <v>15592</v>
      </c>
      <c r="L2167" s="8" t="s">
        <v>392</v>
      </c>
      <c r="M2167" s="9" t="s">
        <v>49</v>
      </c>
      <c r="N2167" s="9" t="s">
        <v>88</v>
      </c>
      <c r="O2167" s="9">
        <f>HYPERLINK("https://www.google.com/maps/search/?api=1&amp;query=43.152861,-2.068778", "https://www.google.com/maps/search/?api=1&amp;query=43.152861,-2.068778")</f>
      </c>
      <c r="P2167" s="9" t="s">
        <v>144</v>
      </c>
      <c r="Q2167" s="9" t="s">
        <v>15593</v>
      </c>
    </row>
    <row r="2168" spans="1:17" x14ac:dyDescent="0.25">
      <c r="A2168" s="8" t="s">
        <v>15594</v>
      </c>
      <c r="B2168" s="8" t="s">
        <v>15595</v>
      </c>
      <c r="C2168" s="9" t="s">
        <v>15596</v>
      </c>
      <c r="D2168" s="9" t="s">
        <v>434</v>
      </c>
      <c r="E2168" s="9" t="s">
        <v>15597</v>
      </c>
      <c r="F2168" s="10">
        <v>1.514</v>
      </c>
      <c r="G2168" s="10">
        <v>1.665</v>
      </c>
      <c r="H2168" s="10"/>
      <c r="I2168" s="9" t="s">
        <v>96</v>
      </c>
      <c r="J2168" s="9" t="s">
        <v>15598</v>
      </c>
      <c r="K2168" s="9" t="s">
        <v>15599</v>
      </c>
      <c r="L2168" s="8" t="s">
        <v>15600</v>
      </c>
      <c r="M2168" s="9" t="s">
        <v>100</v>
      </c>
      <c r="N2168" s="9" t="s">
        <v>556</v>
      </c>
      <c r="O2168" s="9">
        <f>HYPERLINK("https://www.google.com/maps/search/?api=1&amp;query=41.917028,2.791306", "https://www.google.com/maps/search/?api=1&amp;query=41.917028,2.791306")</f>
      </c>
      <c r="P2168" s="9" t="s">
        <v>493</v>
      </c>
      <c r="Q2168" s="9" t="s">
        <v>15601</v>
      </c>
    </row>
    <row r="2169" spans="1:17" x14ac:dyDescent="0.25">
      <c r="A2169" s="8" t="s">
        <v>15602</v>
      </c>
      <c r="B2169" s="8" t="s">
        <v>15603</v>
      </c>
      <c r="C2169" s="9" t="s">
        <v>15604</v>
      </c>
      <c r="D2169" s="9" t="s">
        <v>344</v>
      </c>
      <c r="E2169" s="9" t="s">
        <v>15605</v>
      </c>
      <c r="F2169" s="10">
        <v>1.514</v>
      </c>
      <c r="G2169" s="10">
        <v>1.665</v>
      </c>
      <c r="H2169" s="10"/>
      <c r="I2169" s="9" t="s">
        <v>140</v>
      </c>
      <c r="J2169" s="9" t="s">
        <v>15606</v>
      </c>
      <c r="K2169" s="9" t="s">
        <v>15607</v>
      </c>
      <c r="L2169" s="8" t="s">
        <v>6922</v>
      </c>
      <c r="M2169" s="9" t="s">
        <v>36</v>
      </c>
      <c r="N2169" s="9" t="s">
        <v>3282</v>
      </c>
      <c r="O2169" s="9">
        <f>HYPERLINK("https://www.google.com/maps/search/?api=1&amp;query=42.96017486,-8.64693514", "https://www.google.com/maps/search/?api=1&amp;query=42.96017486,-8.64693514")</f>
      </c>
      <c r="P2169" s="9" t="s">
        <v>7311</v>
      </c>
      <c r="Q2169" s="9" t="s">
        <v>14072</v>
      </c>
    </row>
    <row r="2170" spans="1:17" x14ac:dyDescent="0.25">
      <c r="A2170" s="8" t="s">
        <v>15608</v>
      </c>
      <c r="B2170" s="8" t="s">
        <v>15609</v>
      </c>
      <c r="C2170" s="9" t="s">
        <v>15610</v>
      </c>
      <c r="D2170" s="9" t="s">
        <v>106</v>
      </c>
      <c r="E2170" s="9" t="s">
        <v>11146</v>
      </c>
      <c r="F2170" s="10">
        <v>1.514</v>
      </c>
      <c r="G2170" s="10">
        <v>1.665</v>
      </c>
      <c r="H2170" s="10"/>
      <c r="I2170" s="9" t="s">
        <v>106</v>
      </c>
      <c r="J2170" s="9" t="s">
        <v>15611</v>
      </c>
      <c r="K2170" s="9" t="s">
        <v>15612</v>
      </c>
      <c r="L2170" s="8" t="s">
        <v>11149</v>
      </c>
      <c r="M2170" s="9" t="s">
        <v>49</v>
      </c>
      <c r="N2170" s="9" t="s">
        <v>645</v>
      </c>
      <c r="O2170" s="9">
        <f>HYPERLINK("https://www.google.com/maps/search/?api=1&amp;query=37.62747796,-0.89653103", "https://www.google.com/maps/search/?api=1&amp;query=37.62747796,-0.89653103")</f>
      </c>
      <c r="P2170" s="9" t="s">
        <v>646</v>
      </c>
      <c r="Q2170" s="9" t="s">
        <v>1982</v>
      </c>
    </row>
    <row r="2171" spans="1:17" x14ac:dyDescent="0.25">
      <c r="A2171" s="8" t="s">
        <v>15613</v>
      </c>
      <c r="B2171" s="8" t="s">
        <v>15614</v>
      </c>
      <c r="C2171" s="9" t="s">
        <v>15615</v>
      </c>
      <c r="D2171" s="9" t="s">
        <v>61</v>
      </c>
      <c r="E2171" s="9" t="s">
        <v>3865</v>
      </c>
      <c r="F2171" s="10">
        <v>1.514</v>
      </c>
      <c r="G2171" s="10">
        <v>1.665</v>
      </c>
      <c r="H2171" s="10"/>
      <c r="I2171" s="9" t="s">
        <v>45</v>
      </c>
      <c r="J2171" s="9" t="s">
        <v>15616</v>
      </c>
      <c r="K2171" s="9" t="s">
        <v>15617</v>
      </c>
      <c r="L2171" s="8" t="s">
        <v>3868</v>
      </c>
      <c r="M2171" s="9" t="s">
        <v>49</v>
      </c>
      <c r="N2171" s="9" t="s">
        <v>770</v>
      </c>
      <c r="O2171" s="9">
        <f>HYPERLINK("https://www.google.com/maps/search/?api=1&amp;query=37.53509028,-6.05504701", "https://www.google.com/maps/search/?api=1&amp;query=37.53509028,-6.05504701")</f>
      </c>
      <c r="P2171" s="9" t="s">
        <v>880</v>
      </c>
      <c r="Q2171" s="9" t="s">
        <v>1131</v>
      </c>
    </row>
    <row r="2172" spans="1:17" x14ac:dyDescent="0.25">
      <c r="A2172" s="8" t="s">
        <v>15618</v>
      </c>
      <c r="B2172" s="8" t="s">
        <v>15619</v>
      </c>
      <c r="C2172" s="9" t="s">
        <v>15620</v>
      </c>
      <c r="D2172" s="9" t="s">
        <v>400</v>
      </c>
      <c r="E2172" s="9" t="s">
        <v>15621</v>
      </c>
      <c r="F2172" s="10">
        <v>1.514</v>
      </c>
      <c r="G2172" s="10">
        <v>1.665</v>
      </c>
      <c r="H2172" s="10"/>
      <c r="I2172" s="9" t="s">
        <v>400</v>
      </c>
      <c r="J2172" s="9" t="s">
        <v>15622</v>
      </c>
      <c r="K2172" s="9" t="s">
        <v>15623</v>
      </c>
      <c r="L2172" s="8" t="s">
        <v>15624</v>
      </c>
      <c r="M2172" s="9" t="s">
        <v>49</v>
      </c>
      <c r="N2172" s="9" t="s">
        <v>7851</v>
      </c>
      <c r="O2172" s="9">
        <f>HYPERLINK("https://www.google.com/maps/search/?api=1&amp;query=40.12693495,-1.24902036", "https://www.google.com/maps/search/?api=1&amp;query=40.12693495,-1.24902036")</f>
      </c>
      <c r="P2172" s="9" t="s">
        <v>8200</v>
      </c>
      <c r="Q2172" s="9" t="s">
        <v>1131</v>
      </c>
    </row>
    <row r="2173" spans="1:17" x14ac:dyDescent="0.25">
      <c r="A2173" s="8" t="s">
        <v>15625</v>
      </c>
      <c r="B2173" s="8" t="s">
        <v>15626</v>
      </c>
      <c r="C2173" s="9" t="s">
        <v>13525</v>
      </c>
      <c r="D2173" s="9" t="s">
        <v>469</v>
      </c>
      <c r="E2173" s="9" t="s">
        <v>469</v>
      </c>
      <c r="F2173" s="10">
        <v>1.514</v>
      </c>
      <c r="G2173" s="10">
        <v>1.665</v>
      </c>
      <c r="H2173" s="10"/>
      <c r="I2173" s="9" t="s">
        <v>74</v>
      </c>
      <c r="J2173" s="9" t="s">
        <v>15627</v>
      </c>
      <c r="K2173" s="9" t="s">
        <v>15628</v>
      </c>
      <c r="L2173" s="8" t="s">
        <v>1732</v>
      </c>
      <c r="M2173" s="9" t="s">
        <v>100</v>
      </c>
      <c r="N2173" s="9" t="s">
        <v>15629</v>
      </c>
      <c r="O2173" s="9">
        <f>HYPERLINK("https://www.google.com/maps/search/?api=1&amp;query=40.9536614,-5.72650434", "https://www.google.com/maps/search/?api=1&amp;query=40.9536614,-5.72650434")</f>
      </c>
      <c r="P2173" s="9" t="s">
        <v>8200</v>
      </c>
      <c r="Q2173" s="9" t="s">
        <v>15630</v>
      </c>
    </row>
    <row r="2174" spans="1:17" x14ac:dyDescent="0.25">
      <c r="A2174" s="8" t="s">
        <v>15631</v>
      </c>
      <c r="B2174" s="8" t="s">
        <v>15632</v>
      </c>
      <c r="C2174" s="9" t="s">
        <v>15633</v>
      </c>
      <c r="D2174" s="9" t="s">
        <v>280</v>
      </c>
      <c r="E2174" s="9" t="s">
        <v>15270</v>
      </c>
      <c r="F2174" s="10">
        <v>1.514</v>
      </c>
      <c r="G2174" s="10">
        <v>1.665</v>
      </c>
      <c r="H2174" s="10"/>
      <c r="I2174" s="9" t="s">
        <v>118</v>
      </c>
      <c r="J2174" s="9" t="s">
        <v>15634</v>
      </c>
      <c r="K2174" s="9" t="s">
        <v>15635</v>
      </c>
      <c r="L2174" s="8" t="s">
        <v>15273</v>
      </c>
      <c r="M2174" s="9" t="s">
        <v>36</v>
      </c>
      <c r="N2174" s="9" t="s">
        <v>37</v>
      </c>
      <c r="O2174" s="9">
        <f>HYPERLINK("https://www.google.com/maps/search/?api=1&amp;query=43.17966046,-2.05436252", "https://www.google.com/maps/search/?api=1&amp;query=43.17966046,-2.05436252")</f>
      </c>
      <c r="P2174" s="9" t="s">
        <v>14423</v>
      </c>
      <c r="Q2174" s="9" t="s">
        <v>10247</v>
      </c>
    </row>
    <row r="2175" spans="1:17" x14ac:dyDescent="0.25">
      <c r="A2175" s="8" t="s">
        <v>15636</v>
      </c>
      <c r="B2175" s="8" t="s">
        <v>15637</v>
      </c>
      <c r="C2175" s="9" t="s">
        <v>15638</v>
      </c>
      <c r="D2175" s="9" t="s">
        <v>488</v>
      </c>
      <c r="E2175" s="9" t="s">
        <v>11087</v>
      </c>
      <c r="F2175" s="10">
        <v>1.514</v>
      </c>
      <c r="G2175" s="10">
        <v>1.665</v>
      </c>
      <c r="H2175" s="10"/>
      <c r="I2175" s="9" t="s">
        <v>45</v>
      </c>
      <c r="J2175" s="9" t="s">
        <v>15639</v>
      </c>
      <c r="K2175" s="9" t="s">
        <v>15640</v>
      </c>
      <c r="L2175" s="8" t="s">
        <v>11090</v>
      </c>
      <c r="M2175" s="9" t="s">
        <v>49</v>
      </c>
      <c r="N2175" s="9" t="s">
        <v>645</v>
      </c>
      <c r="O2175" s="9">
        <f>HYPERLINK("https://www.google.com/maps/search/?api=1&amp;query=38.01627785,-3.36380418", "https://www.google.com/maps/search/?api=1&amp;query=38.01627785,-3.36380418")</f>
      </c>
      <c r="P2175" s="9" t="s">
        <v>1423</v>
      </c>
      <c r="Q2175" s="9" t="s">
        <v>1982</v>
      </c>
    </row>
    <row r="2176" spans="1:17" x14ac:dyDescent="0.25">
      <c r="A2176" s="8" t="s">
        <v>15641</v>
      </c>
      <c r="B2176" s="8" t="s">
        <v>15642</v>
      </c>
      <c r="C2176" s="9" t="s">
        <v>15643</v>
      </c>
      <c r="D2176" s="9" t="s">
        <v>398</v>
      </c>
      <c r="E2176" s="9" t="s">
        <v>15644</v>
      </c>
      <c r="F2176" s="10">
        <v>1.514</v>
      </c>
      <c r="G2176" s="10">
        <v>1.665</v>
      </c>
      <c r="H2176" s="10"/>
      <c r="I2176" s="9" t="s">
        <v>400</v>
      </c>
      <c r="J2176" s="9" t="s">
        <v>15645</v>
      </c>
      <c r="K2176" s="9" t="s">
        <v>15646</v>
      </c>
      <c r="L2176" s="8" t="s">
        <v>15647</v>
      </c>
      <c r="M2176" s="9" t="s">
        <v>49</v>
      </c>
      <c r="N2176" s="9" t="s">
        <v>1695</v>
      </c>
      <c r="O2176" s="9">
        <f>HYPERLINK("https://www.google.com/maps/search/?api=1&amp;query=38.76805244,0.09860681", "https://www.google.com/maps/search/?api=1&amp;query=38.76805244,0.09860681")</f>
      </c>
      <c r="P2176" s="9" t="s">
        <v>15648</v>
      </c>
      <c r="Q2176" s="9" t="s">
        <v>15649</v>
      </c>
    </row>
    <row r="2177" spans="1:17" x14ac:dyDescent="0.25">
      <c r="A2177" s="8" t="s">
        <v>15650</v>
      </c>
      <c r="B2177" s="8" t="s">
        <v>15651</v>
      </c>
      <c r="C2177" s="9" t="s">
        <v>15652</v>
      </c>
      <c r="D2177" s="9" t="s">
        <v>106</v>
      </c>
      <c r="E2177" s="9" t="s">
        <v>15066</v>
      </c>
      <c r="F2177" s="10">
        <v>1.514</v>
      </c>
      <c r="G2177" s="10">
        <v>1.665</v>
      </c>
      <c r="H2177" s="10"/>
      <c r="I2177" s="9" t="s">
        <v>106</v>
      </c>
      <c r="J2177" s="9" t="s">
        <v>15653</v>
      </c>
      <c r="K2177" s="9" t="s">
        <v>15654</v>
      </c>
      <c r="L2177" s="8" t="s">
        <v>15069</v>
      </c>
      <c r="M2177" s="9" t="s">
        <v>36</v>
      </c>
      <c r="N2177" s="9" t="s">
        <v>12110</v>
      </c>
      <c r="O2177" s="9">
        <f>HYPERLINK("https://www.google.com/maps/search/?api=1&amp;query=38.04653534,-1.20905148", "https://www.google.com/maps/search/?api=1&amp;query=38.04653534,-1.20905148")</f>
      </c>
      <c r="P2177" s="9" t="s">
        <v>3165</v>
      </c>
      <c r="Q2177" s="9" t="s">
        <v>12402</v>
      </c>
    </row>
    <row r="2178" spans="1:17" x14ac:dyDescent="0.25">
      <c r="A2178" s="8" t="s">
        <v>15655</v>
      </c>
      <c r="B2178" s="8" t="s">
        <v>15656</v>
      </c>
      <c r="C2178" s="9" t="s">
        <v>15657</v>
      </c>
      <c r="D2178" s="9" t="s">
        <v>1192</v>
      </c>
      <c r="E2178" s="9" t="s">
        <v>15658</v>
      </c>
      <c r="F2178" s="10">
        <v>1.514</v>
      </c>
      <c r="G2178" s="10">
        <v>1.665</v>
      </c>
      <c r="H2178" s="10"/>
      <c r="I2178" s="9" t="s">
        <v>168</v>
      </c>
      <c r="J2178" s="9" t="s">
        <v>15659</v>
      </c>
      <c r="K2178" s="9" t="s">
        <v>15660</v>
      </c>
      <c r="L2178" s="8" t="s">
        <v>15661</v>
      </c>
      <c r="M2178" s="9" t="s">
        <v>49</v>
      </c>
      <c r="N2178" s="9" t="s">
        <v>211</v>
      </c>
      <c r="O2178" s="9">
        <f>HYPERLINK("https://www.google.com/maps/search/?api=1&amp;query=38.71196818,-4.1687845", "https://www.google.com/maps/search/?api=1&amp;query=38.71196818,-4.1687845")</f>
      </c>
      <c r="P2178" s="9" t="s">
        <v>3400</v>
      </c>
      <c r="Q2178" s="9" t="s">
        <v>15662</v>
      </c>
    </row>
    <row r="2179" spans="1:17" x14ac:dyDescent="0.25">
      <c r="A2179" s="8" t="s">
        <v>15663</v>
      </c>
      <c r="B2179" s="8" t="s">
        <v>15664</v>
      </c>
      <c r="C2179" s="9" t="s">
        <v>15665</v>
      </c>
      <c r="D2179" s="9" t="s">
        <v>1192</v>
      </c>
      <c r="E2179" s="9" t="s">
        <v>2493</v>
      </c>
      <c r="F2179" s="10">
        <v>1.514</v>
      </c>
      <c r="G2179" s="10">
        <v>1.665</v>
      </c>
      <c r="H2179" s="10"/>
      <c r="I2179" s="9" t="s">
        <v>168</v>
      </c>
      <c r="J2179" s="9" t="s">
        <v>15666</v>
      </c>
      <c r="K2179" s="9" t="s">
        <v>15667</v>
      </c>
      <c r="L2179" s="8" t="s">
        <v>15668</v>
      </c>
      <c r="M2179" s="9" t="s">
        <v>49</v>
      </c>
      <c r="N2179" s="9" t="s">
        <v>1695</v>
      </c>
      <c r="O2179" s="9">
        <f>HYPERLINK("https://www.google.com/maps/search/?api=1&amp;query=39.2180639,-4.2840049", "https://www.google.com/maps/search/?api=1&amp;query=39.2180639,-4.2840049")</f>
      </c>
      <c r="P2179" s="9" t="s">
        <v>2786</v>
      </c>
      <c r="Q2179" s="9" t="s">
        <v>1742</v>
      </c>
    </row>
    <row r="2180" spans="1:17" x14ac:dyDescent="0.25">
      <c r="A2180" s="8" t="s">
        <v>15669</v>
      </c>
      <c r="B2180" s="8" t="s">
        <v>15670</v>
      </c>
      <c r="C2180" s="9" t="s">
        <v>15671</v>
      </c>
      <c r="D2180" s="9" t="s">
        <v>138</v>
      </c>
      <c r="E2180" s="9" t="s">
        <v>2163</v>
      </c>
      <c r="F2180" s="10">
        <v>1.514</v>
      </c>
      <c r="G2180" s="10">
        <v>1.665</v>
      </c>
      <c r="H2180" s="10"/>
      <c r="I2180" s="9" t="s">
        <v>140</v>
      </c>
      <c r="J2180" s="9" t="s">
        <v>15672</v>
      </c>
      <c r="K2180" s="9" t="s">
        <v>15673</v>
      </c>
      <c r="L2180" s="8" t="s">
        <v>15674</v>
      </c>
      <c r="M2180" s="9" t="s">
        <v>49</v>
      </c>
      <c r="N2180" s="9" t="s">
        <v>15675</v>
      </c>
      <c r="O2180" s="9">
        <f>HYPERLINK("https://www.google.com/maps/search/?api=1&amp;query=42.23841569,-8.71807984", "https://www.google.com/maps/search/?api=1&amp;query=42.23841569,-8.71807984")</f>
      </c>
      <c r="P2180" s="9" t="s">
        <v>1250</v>
      </c>
      <c r="Q2180" s="9" t="s">
        <v>15676</v>
      </c>
    </row>
    <row r="2181" spans="1:17" x14ac:dyDescent="0.25">
      <c r="A2181" s="8" t="s">
        <v>15677</v>
      </c>
      <c r="B2181" s="8" t="s">
        <v>15678</v>
      </c>
      <c r="C2181" s="9" t="s">
        <v>15679</v>
      </c>
      <c r="D2181" s="9" t="s">
        <v>444</v>
      </c>
      <c r="E2181" s="9" t="s">
        <v>15680</v>
      </c>
      <c r="F2181" s="10">
        <v>1.514</v>
      </c>
      <c r="G2181" s="10">
        <v>1.665</v>
      </c>
      <c r="H2181" s="10"/>
      <c r="I2181" s="9" t="s">
        <v>444</v>
      </c>
      <c r="J2181" s="9" t="s">
        <v>15681</v>
      </c>
      <c r="K2181" s="9" t="s">
        <v>15682</v>
      </c>
      <c r="L2181" s="8" t="s">
        <v>9031</v>
      </c>
      <c r="M2181" s="9" t="s">
        <v>100</v>
      </c>
      <c r="N2181" s="9" t="s">
        <v>37</v>
      </c>
      <c r="O2181" s="9">
        <f>HYPERLINK("https://www.google.com/maps/search/?api=1&amp;query=43.39573994,-5.68659854", "https://www.google.com/maps/search/?api=1&amp;query=43.39573994,-5.68659854")</f>
      </c>
      <c r="P2181" s="9" t="s">
        <v>646</v>
      </c>
      <c r="Q2181" s="9" t="s">
        <v>15683</v>
      </c>
    </row>
    <row r="2182" spans="1:17" x14ac:dyDescent="0.25">
      <c r="A2182" s="8" t="s">
        <v>15684</v>
      </c>
      <c r="B2182" s="8" t="s">
        <v>15685</v>
      </c>
      <c r="C2182" s="9" t="s">
        <v>15686</v>
      </c>
      <c r="D2182" s="9" t="s">
        <v>83</v>
      </c>
      <c r="E2182" s="9" t="s">
        <v>83</v>
      </c>
      <c r="F2182" s="10">
        <v>1.514</v>
      </c>
      <c r="G2182" s="10">
        <v>1.665</v>
      </c>
      <c r="H2182" s="10"/>
      <c r="I2182" s="9" t="s">
        <v>83</v>
      </c>
      <c r="J2182" s="9" t="s">
        <v>15687</v>
      </c>
      <c r="K2182" s="9" t="s">
        <v>15688</v>
      </c>
      <c r="L2182" s="8" t="s">
        <v>15689</v>
      </c>
      <c r="M2182" s="9" t="s">
        <v>49</v>
      </c>
      <c r="N2182" s="9" t="s">
        <v>15690</v>
      </c>
      <c r="O2182" s="9">
        <f>HYPERLINK("https://www.google.com/maps/search/?api=1&amp;query=40.45638169,-3.69360207", "https://www.google.com/maps/search/?api=1&amp;query=40.45638169,-3.69360207")</f>
      </c>
      <c r="P2182" s="9" t="s">
        <v>2594</v>
      </c>
      <c r="Q2182" s="9" t="s">
        <v>4404</v>
      </c>
    </row>
    <row r="2183" spans="1:17" x14ac:dyDescent="0.25">
      <c r="A2183" s="8" t="s">
        <v>15691</v>
      </c>
      <c r="B2183" s="8" t="s">
        <v>15692</v>
      </c>
      <c r="C2183" s="9" t="s">
        <v>15693</v>
      </c>
      <c r="D2183" s="9" t="s">
        <v>379</v>
      </c>
      <c r="E2183" s="9" t="s">
        <v>7340</v>
      </c>
      <c r="F2183" s="10">
        <v>1.514</v>
      </c>
      <c r="G2183" s="10">
        <v>1.665</v>
      </c>
      <c r="H2183" s="10"/>
      <c r="I2183" s="9" t="s">
        <v>379</v>
      </c>
      <c r="J2183" s="9" t="s">
        <v>15694</v>
      </c>
      <c r="K2183" s="9" t="s">
        <v>15695</v>
      </c>
      <c r="L2183" s="8" t="s">
        <v>7343</v>
      </c>
      <c r="M2183" s="9" t="s">
        <v>49</v>
      </c>
      <c r="N2183" s="9" t="s">
        <v>122</v>
      </c>
      <c r="O2183" s="9">
        <f>HYPERLINK("https://www.google.com/maps/search/?api=1&amp;query=42.762889,-1.633722", "https://www.google.com/maps/search/?api=1&amp;query=42.762889,-1.633722")</f>
      </c>
      <c r="P2183" s="9" t="s">
        <v>1250</v>
      </c>
      <c r="Q2183" s="9" t="s">
        <v>1742</v>
      </c>
    </row>
    <row r="2184" spans="1:17" x14ac:dyDescent="0.25">
      <c r="A2184" s="8" t="s">
        <v>15696</v>
      </c>
      <c r="B2184" s="8" t="s">
        <v>15697</v>
      </c>
      <c r="C2184" s="9" t="s">
        <v>15698</v>
      </c>
      <c r="D2184" s="9" t="s">
        <v>187</v>
      </c>
      <c r="E2184" s="9" t="s">
        <v>15699</v>
      </c>
      <c r="F2184" s="10">
        <v>1.514</v>
      </c>
      <c r="G2184" s="10">
        <v>1.665</v>
      </c>
      <c r="H2184" s="10"/>
      <c r="I2184" s="9" t="s">
        <v>74</v>
      </c>
      <c r="J2184" s="9" t="s">
        <v>15700</v>
      </c>
      <c r="K2184" s="9" t="s">
        <v>15701</v>
      </c>
      <c r="L2184" s="8" t="s">
        <v>15702</v>
      </c>
      <c r="M2184" s="9" t="s">
        <v>49</v>
      </c>
      <c r="N2184" s="9" t="s">
        <v>7851</v>
      </c>
      <c r="O2184" s="9">
        <f>HYPERLINK("https://www.google.com/maps/search/?api=1&amp;query=42.80921487,-6.51928861", "https://www.google.com/maps/search/?api=1&amp;query=42.80921487,-6.51928861")</f>
      </c>
      <c r="P2184" s="9" t="s">
        <v>1803</v>
      </c>
      <c r="Q2184" s="9" t="s">
        <v>7794</v>
      </c>
    </row>
    <row r="2185" spans="1:17" x14ac:dyDescent="0.25">
      <c r="A2185" s="8" t="s">
        <v>15703</v>
      </c>
      <c r="B2185" s="8" t="s">
        <v>15704</v>
      </c>
      <c r="C2185" s="9" t="s">
        <v>15705</v>
      </c>
      <c r="D2185" s="9" t="s">
        <v>217</v>
      </c>
      <c r="E2185" s="9" t="s">
        <v>15706</v>
      </c>
      <c r="F2185" s="10">
        <v>1.514</v>
      </c>
      <c r="G2185" s="10">
        <v>1.665</v>
      </c>
      <c r="H2185" s="10"/>
      <c r="I2185" s="9" t="s">
        <v>45</v>
      </c>
      <c r="J2185" s="9" t="s">
        <v>15707</v>
      </c>
      <c r="K2185" s="9" t="s">
        <v>15708</v>
      </c>
      <c r="L2185" s="8" t="s">
        <v>15709</v>
      </c>
      <c r="M2185" s="9" t="s">
        <v>49</v>
      </c>
      <c r="N2185" s="9" t="s">
        <v>37</v>
      </c>
      <c r="O2185" s="9">
        <f>HYPERLINK("https://www.google.com/maps/search/?api=1&amp;query=36.66323655,-4.75316289", "https://www.google.com/maps/search/?api=1&amp;query=36.66323655,-4.75316289")</f>
      </c>
      <c r="P2185" s="9" t="s">
        <v>449</v>
      </c>
      <c r="Q2185" s="9" t="s">
        <v>13324</v>
      </c>
    </row>
    <row r="2186" spans="1:17" x14ac:dyDescent="0.25">
      <c r="A2186" s="8" t="s">
        <v>15710</v>
      </c>
      <c r="B2186" s="8" t="s">
        <v>15711</v>
      </c>
      <c r="C2186" s="9" t="s">
        <v>15712</v>
      </c>
      <c r="D2186" s="9" t="s">
        <v>409</v>
      </c>
      <c r="E2186" s="9" t="s">
        <v>409</v>
      </c>
      <c r="F2186" s="10">
        <v>1.514</v>
      </c>
      <c r="G2186" s="10">
        <v>1.665</v>
      </c>
      <c r="H2186" s="10"/>
      <c r="I2186" s="9" t="s">
        <v>292</v>
      </c>
      <c r="J2186" s="9" t="s">
        <v>15713</v>
      </c>
      <c r="K2186" s="9" t="s">
        <v>15714</v>
      </c>
      <c r="L2186" s="8" t="s">
        <v>15715</v>
      </c>
      <c r="M2186" s="9" t="s">
        <v>49</v>
      </c>
      <c r="N2186" s="9" t="s">
        <v>15716</v>
      </c>
      <c r="O2186" s="9">
        <f>HYPERLINK("https://www.google.com/maps/search/?api=1&amp;query=41.64076235,-0.89459813", "https://www.google.com/maps/search/?api=1&amp;query=41.64076235,-0.89459813")</f>
      </c>
      <c r="P2186" s="9" t="s">
        <v>1439</v>
      </c>
      <c r="Q2186" s="9" t="s">
        <v>1131</v>
      </c>
    </row>
    <row r="2187" spans="1:17" x14ac:dyDescent="0.25">
      <c r="A2187" s="8" t="s">
        <v>15717</v>
      </c>
      <c r="B2187" s="8" t="s">
        <v>15718</v>
      </c>
      <c r="C2187" s="9" t="s">
        <v>15719</v>
      </c>
      <c r="D2187" s="9" t="s">
        <v>434</v>
      </c>
      <c r="E2187" s="9" t="s">
        <v>15720</v>
      </c>
      <c r="F2187" s="10">
        <v>1.514</v>
      </c>
      <c r="G2187" s="10">
        <v>1.665</v>
      </c>
      <c r="H2187" s="10"/>
      <c r="I2187" s="9" t="s">
        <v>96</v>
      </c>
      <c r="J2187" s="9" t="s">
        <v>15721</v>
      </c>
      <c r="K2187" s="9" t="s">
        <v>15722</v>
      </c>
      <c r="L2187" s="8" t="s">
        <v>15723</v>
      </c>
      <c r="M2187" s="9" t="s">
        <v>49</v>
      </c>
      <c r="N2187" s="9" t="s">
        <v>37</v>
      </c>
      <c r="O2187" s="9">
        <f>HYPERLINK("https://www.google.com/maps/search/?api=1&amp;query=42.1972217,2.1907143", "https://www.google.com/maps/search/?api=1&amp;query=42.1972217,2.1907143")</f>
      </c>
      <c r="P2187" s="9" t="s">
        <v>789</v>
      </c>
      <c r="Q2187" s="9" t="s">
        <v>2998</v>
      </c>
    </row>
    <row r="2188" spans="1:17" x14ac:dyDescent="0.25">
      <c r="A2188" s="8" t="s">
        <v>15724</v>
      </c>
      <c r="B2188" s="8" t="s">
        <v>15725</v>
      </c>
      <c r="C2188" s="9" t="s">
        <v>15726</v>
      </c>
      <c r="D2188" s="9" t="s">
        <v>83</v>
      </c>
      <c r="E2188" s="9" t="s">
        <v>15727</v>
      </c>
      <c r="F2188" s="10">
        <v>1.514</v>
      </c>
      <c r="G2188" s="10">
        <v>1.665</v>
      </c>
      <c r="H2188" s="10"/>
      <c r="I2188" s="9" t="s">
        <v>83</v>
      </c>
      <c r="J2188" s="9" t="s">
        <v>15728</v>
      </c>
      <c r="K2188" s="9" t="s">
        <v>15729</v>
      </c>
      <c r="L2188" s="8" t="s">
        <v>15730</v>
      </c>
      <c r="M2188" s="9" t="s">
        <v>49</v>
      </c>
      <c r="N2188" s="9" t="s">
        <v>15731</v>
      </c>
      <c r="O2188" s="9">
        <f>HYPERLINK("https://www.google.com/maps/search/?api=1&amp;query=40.51565467,-3.65089071", "https://www.google.com/maps/search/?api=1&amp;query=40.51565467,-3.65089071")</f>
      </c>
      <c r="P2188" s="9" t="s">
        <v>1439</v>
      </c>
      <c r="Q2188" s="9" t="s">
        <v>1131</v>
      </c>
    </row>
    <row r="2189" spans="1:17" x14ac:dyDescent="0.25">
      <c r="A2189" s="8" t="s">
        <v>15732</v>
      </c>
      <c r="B2189" s="8" t="s">
        <v>15733</v>
      </c>
      <c r="C2189" s="9" t="s">
        <v>15734</v>
      </c>
      <c r="D2189" s="9" t="s">
        <v>94</v>
      </c>
      <c r="E2189" s="9" t="s">
        <v>15735</v>
      </c>
      <c r="F2189" s="10">
        <v>1.514</v>
      </c>
      <c r="G2189" s="10">
        <v>1.665</v>
      </c>
      <c r="H2189" s="10"/>
      <c r="I2189" s="9" t="s">
        <v>96</v>
      </c>
      <c r="J2189" s="9" t="s">
        <v>15736</v>
      </c>
      <c r="K2189" s="9" t="s">
        <v>15737</v>
      </c>
      <c r="L2189" s="8" t="s">
        <v>15738</v>
      </c>
      <c r="M2189" s="9" t="s">
        <v>49</v>
      </c>
      <c r="N2189" s="9" t="s">
        <v>88</v>
      </c>
      <c r="O2189" s="9">
        <f>HYPERLINK("https://www.google.com/maps/search/?api=1&amp;query=41.61839044,1.5100543", "https://www.google.com/maps/search/?api=1&amp;query=41.61839044,1.5100543")</f>
      </c>
      <c r="P2189" s="9" t="s">
        <v>38</v>
      </c>
      <c r="Q2189" s="9" t="s">
        <v>2827</v>
      </c>
    </row>
    <row r="2190" spans="1:17" x14ac:dyDescent="0.25">
      <c r="A2190" s="8" t="s">
        <v>15739</v>
      </c>
      <c r="B2190" s="8" t="s">
        <v>15740</v>
      </c>
      <c r="C2190" s="9" t="s">
        <v>15741</v>
      </c>
      <c r="D2190" s="9" t="s">
        <v>280</v>
      </c>
      <c r="E2190" s="9" t="s">
        <v>13477</v>
      </c>
      <c r="F2190" s="10">
        <v>1.514</v>
      </c>
      <c r="G2190" s="10">
        <v>1.665</v>
      </c>
      <c r="H2190" s="10"/>
      <c r="I2190" s="9" t="s">
        <v>118</v>
      </c>
      <c r="J2190" s="9" t="s">
        <v>15742</v>
      </c>
      <c r="K2190" s="9" t="s">
        <v>15743</v>
      </c>
      <c r="L2190" s="8" t="s">
        <v>13480</v>
      </c>
      <c r="M2190" s="9" t="s">
        <v>36</v>
      </c>
      <c r="N2190" s="9" t="s">
        <v>37</v>
      </c>
      <c r="O2190" s="9">
        <f>HYPERLINK("https://www.google.com/maps/search/?api=1&amp;query=43.28479113,-2.15887261", "https://www.google.com/maps/search/?api=1&amp;query=43.28479113,-2.15887261")</f>
      </c>
      <c r="P2190" s="9" t="s">
        <v>1250</v>
      </c>
      <c r="Q2190" s="9" t="s">
        <v>11642</v>
      </c>
    </row>
    <row r="2191" spans="1:17" x14ac:dyDescent="0.25">
      <c r="A2191" s="8" t="s">
        <v>15744</v>
      </c>
      <c r="B2191" s="8" t="s">
        <v>15745</v>
      </c>
      <c r="C2191" s="9" t="s">
        <v>15746</v>
      </c>
      <c r="D2191" s="9" t="s">
        <v>488</v>
      </c>
      <c r="E2191" s="9" t="s">
        <v>15747</v>
      </c>
      <c r="F2191" s="10">
        <v>1.514</v>
      </c>
      <c r="G2191" s="10">
        <v>1.665</v>
      </c>
      <c r="H2191" s="10"/>
      <c r="I2191" s="9" t="s">
        <v>45</v>
      </c>
      <c r="J2191" s="9" t="s">
        <v>15748</v>
      </c>
      <c r="K2191" s="9" t="s">
        <v>15749</v>
      </c>
      <c r="L2191" s="8" t="s">
        <v>15750</v>
      </c>
      <c r="M2191" s="9" t="s">
        <v>100</v>
      </c>
      <c r="N2191" s="9" t="s">
        <v>9045</v>
      </c>
      <c r="O2191" s="9">
        <f>HYPERLINK("https://www.google.com/maps/search/?api=1&amp;query=38.07128561,-3.57825818", "https://www.google.com/maps/search/?api=1&amp;query=38.07128561,-3.57825818")</f>
      </c>
      <c r="P2191" s="9" t="s">
        <v>4191</v>
      </c>
      <c r="Q2191" s="9" t="s">
        <v>14313</v>
      </c>
    </row>
    <row r="2192" spans="1:17" x14ac:dyDescent="0.25">
      <c r="A2192" s="8" t="s">
        <v>15751</v>
      </c>
      <c r="B2192" s="8" t="s">
        <v>15752</v>
      </c>
      <c r="C2192" s="9" t="s">
        <v>15753</v>
      </c>
      <c r="D2192" s="9" t="s">
        <v>379</v>
      </c>
      <c r="E2192" s="9" t="s">
        <v>15754</v>
      </c>
      <c r="F2192" s="10">
        <v>1.514</v>
      </c>
      <c r="G2192" s="10">
        <v>1.665</v>
      </c>
      <c r="H2192" s="10"/>
      <c r="I2192" s="9" t="s">
        <v>379</v>
      </c>
      <c r="J2192" s="9" t="s">
        <v>15755</v>
      </c>
      <c r="K2192" s="9" t="s">
        <v>15756</v>
      </c>
      <c r="L2192" s="8" t="s">
        <v>15757</v>
      </c>
      <c r="M2192" s="9" t="s">
        <v>36</v>
      </c>
      <c r="N2192" s="9" t="s">
        <v>7531</v>
      </c>
      <c r="O2192" s="9">
        <f>HYPERLINK("https://www.google.com/maps/search/?api=1&amp;query=42.51243283,-2.37365522", "https://www.google.com/maps/search/?api=1&amp;query=42.51243283,-2.37365522")</f>
      </c>
      <c r="P2192" s="9" t="s">
        <v>493</v>
      </c>
      <c r="Q2192" s="9" t="s">
        <v>7480</v>
      </c>
    </row>
    <row r="2193" spans="1:17" x14ac:dyDescent="0.25">
      <c r="A2193" s="8" t="s">
        <v>15758</v>
      </c>
      <c r="B2193" s="8" t="s">
        <v>15759</v>
      </c>
      <c r="C2193" s="9" t="s">
        <v>15760</v>
      </c>
      <c r="D2193" s="9" t="s">
        <v>155</v>
      </c>
      <c r="E2193" s="9" t="s">
        <v>15761</v>
      </c>
      <c r="F2193" s="10">
        <v>1.514</v>
      </c>
      <c r="G2193" s="10">
        <v>1.665</v>
      </c>
      <c r="H2193" s="10"/>
      <c r="I2193" s="9" t="s">
        <v>157</v>
      </c>
      <c r="J2193" s="9" t="s">
        <v>15762</v>
      </c>
      <c r="K2193" s="9" t="s">
        <v>15763</v>
      </c>
      <c r="L2193" s="8" t="s">
        <v>15764</v>
      </c>
      <c r="M2193" s="9" t="s">
        <v>36</v>
      </c>
      <c r="N2193" s="9" t="s">
        <v>12301</v>
      </c>
      <c r="O2193" s="9">
        <f>HYPERLINK("https://www.google.com/maps/search/?api=1&amp;query=38.70851045,1.44541007", "https://www.google.com/maps/search/?api=1&amp;query=38.70851045,1.44541007")</f>
      </c>
      <c r="P2193" s="9" t="s">
        <v>1439</v>
      </c>
      <c r="Q2193" s="9" t="s">
        <v>1131</v>
      </c>
    </row>
    <row r="2194" spans="1:17" x14ac:dyDescent="0.25">
      <c r="A2194" s="8" t="s">
        <v>15765</v>
      </c>
      <c r="B2194" s="8" t="s">
        <v>15766</v>
      </c>
      <c r="C2194" s="9" t="s">
        <v>15767</v>
      </c>
      <c r="D2194" s="9" t="s">
        <v>253</v>
      </c>
      <c r="E2194" s="9" t="s">
        <v>2097</v>
      </c>
      <c r="F2194" s="10">
        <v>1.514</v>
      </c>
      <c r="G2194" s="10">
        <v>1.665</v>
      </c>
      <c r="H2194" s="10"/>
      <c r="I2194" s="9" t="s">
        <v>96</v>
      </c>
      <c r="J2194" s="9" t="s">
        <v>15768</v>
      </c>
      <c r="K2194" s="9" t="s">
        <v>15769</v>
      </c>
      <c r="L2194" s="8" t="s">
        <v>2100</v>
      </c>
      <c r="M2194" s="9" t="s">
        <v>49</v>
      </c>
      <c r="N2194" s="9" t="s">
        <v>88</v>
      </c>
      <c r="O2194" s="9">
        <f>HYPERLINK("https://www.google.com/maps/search/?api=1&amp;query=41.2885332,1.24943184", "https://www.google.com/maps/search/?api=1&amp;query=41.2885332,1.24943184")</f>
      </c>
      <c r="P2194" s="9" t="s">
        <v>880</v>
      </c>
      <c r="Q2194" s="9" t="s">
        <v>7303</v>
      </c>
    </row>
    <row r="2195" spans="1:17" x14ac:dyDescent="0.25">
      <c r="A2195" s="8" t="s">
        <v>15770</v>
      </c>
      <c r="B2195" s="8" t="s">
        <v>15771</v>
      </c>
      <c r="C2195" s="9" t="s">
        <v>15772</v>
      </c>
      <c r="D2195" s="9" t="s">
        <v>30</v>
      </c>
      <c r="E2195" s="9" t="s">
        <v>15773</v>
      </c>
      <c r="F2195" s="10">
        <v>1.514</v>
      </c>
      <c r="G2195" s="10">
        <v>1.665</v>
      </c>
      <c r="H2195" s="10"/>
      <c r="I2195" s="9" t="s">
        <v>32</v>
      </c>
      <c r="J2195" s="9" t="s">
        <v>15774</v>
      </c>
      <c r="K2195" s="9" t="s">
        <v>15775</v>
      </c>
      <c r="L2195" s="8" t="s">
        <v>15776</v>
      </c>
      <c r="M2195" s="9" t="s">
        <v>36</v>
      </c>
      <c r="N2195" s="9" t="s">
        <v>7863</v>
      </c>
      <c r="O2195" s="9">
        <f>HYPERLINK("https://www.google.com/maps/search/?api=1&amp;query=39.11026377,-5.50530862", "https://www.google.com/maps/search/?api=1&amp;query=39.11026377,-5.50530862")</f>
      </c>
      <c r="P2195" s="9" t="s">
        <v>12610</v>
      </c>
      <c r="Q2195" s="9" t="s">
        <v>1131</v>
      </c>
    </row>
    <row r="2196" spans="1:17" x14ac:dyDescent="0.25">
      <c r="A2196" s="8" t="s">
        <v>15777</v>
      </c>
      <c r="B2196" s="8" t="s">
        <v>15778</v>
      </c>
      <c r="C2196" s="9" t="s">
        <v>15779</v>
      </c>
      <c r="D2196" s="9" t="s">
        <v>116</v>
      </c>
      <c r="E2196" s="9" t="s">
        <v>15780</v>
      </c>
      <c r="F2196" s="10">
        <v>1.514</v>
      </c>
      <c r="G2196" s="10">
        <v>1.665</v>
      </c>
      <c r="H2196" s="10"/>
      <c r="I2196" s="9" t="s">
        <v>118</v>
      </c>
      <c r="J2196" s="9" t="s">
        <v>15781</v>
      </c>
      <c r="K2196" s="9" t="s">
        <v>15782</v>
      </c>
      <c r="L2196" s="8" t="s">
        <v>15783</v>
      </c>
      <c r="M2196" s="9" t="s">
        <v>100</v>
      </c>
      <c r="N2196" s="9" t="s">
        <v>15784</v>
      </c>
      <c r="O2196" s="9">
        <f>HYPERLINK("https://www.google.com/maps/search/?api=1&amp;query=43.36103924,-3.00615018", "https://www.google.com/maps/search/?api=1&amp;query=43.36103924,-3.00615018")</f>
      </c>
      <c r="P2196" s="9" t="s">
        <v>15785</v>
      </c>
      <c r="Q2196" s="9" t="s">
        <v>15786</v>
      </c>
    </row>
    <row r="2197" spans="1:17" x14ac:dyDescent="0.25">
      <c r="A2197" s="8" t="s">
        <v>15787</v>
      </c>
      <c r="B2197" s="8" t="s">
        <v>15788</v>
      </c>
      <c r="C2197" s="9" t="s">
        <v>15789</v>
      </c>
      <c r="D2197" s="9" t="s">
        <v>2050</v>
      </c>
      <c r="E2197" s="9" t="s">
        <v>15790</v>
      </c>
      <c r="F2197" s="10">
        <v>1.514</v>
      </c>
      <c r="G2197" s="10">
        <v>1.665</v>
      </c>
      <c r="H2197" s="10"/>
      <c r="I2197" s="9" t="s">
        <v>140</v>
      </c>
      <c r="J2197" s="9" t="s">
        <v>15791</v>
      </c>
      <c r="K2197" s="9" t="s">
        <v>15792</v>
      </c>
      <c r="L2197" s="8" t="s">
        <v>15793</v>
      </c>
      <c r="M2197" s="9" t="s">
        <v>36</v>
      </c>
      <c r="N2197" s="9" t="s">
        <v>15794</v>
      </c>
      <c r="O2197" s="9">
        <f>HYPERLINK("https://www.google.com/maps/search/?api=1&amp;query=42.34049977,-7.26031729", "https://www.google.com/maps/search/?api=1&amp;query=42.34049977,-7.26031729")</f>
      </c>
      <c r="P2197" s="9" t="s">
        <v>1927</v>
      </c>
      <c r="Q2197" s="9" t="s">
        <v>1170</v>
      </c>
    </row>
    <row r="2198" spans="1:17" x14ac:dyDescent="0.25">
      <c r="A2198" s="8" t="s">
        <v>15795</v>
      </c>
      <c r="B2198" s="8" t="s">
        <v>15796</v>
      </c>
      <c r="C2198" s="9" t="s">
        <v>15797</v>
      </c>
      <c r="D2198" s="9" t="s">
        <v>166</v>
      </c>
      <c r="E2198" s="9" t="s">
        <v>15798</v>
      </c>
      <c r="F2198" s="10">
        <v>1.514</v>
      </c>
      <c r="G2198" s="10">
        <v>1.665</v>
      </c>
      <c r="H2198" s="10"/>
      <c r="I2198" s="9" t="s">
        <v>168</v>
      </c>
      <c r="J2198" s="9" t="s">
        <v>15799</v>
      </c>
      <c r="K2198" s="9" t="s">
        <v>15800</v>
      </c>
      <c r="L2198" s="8" t="s">
        <v>15801</v>
      </c>
      <c r="M2198" s="9" t="s">
        <v>36</v>
      </c>
      <c r="N2198" s="9" t="s">
        <v>1130</v>
      </c>
      <c r="O2198" s="9">
        <f>HYPERLINK("https://www.google.com/maps/search/?api=1&amp;query=40.55143739,-2.85661047", "https://www.google.com/maps/search/?api=1&amp;query=40.55143739,-2.85661047")</f>
      </c>
      <c r="P2198" s="9" t="s">
        <v>321</v>
      </c>
      <c r="Q2198" s="9" t="s">
        <v>15802</v>
      </c>
    </row>
    <row r="2199" spans="1:17" x14ac:dyDescent="0.25">
      <c r="A2199" s="8" t="s">
        <v>15803</v>
      </c>
      <c r="B2199" s="8" t="s">
        <v>15804</v>
      </c>
      <c r="C2199" s="9" t="s">
        <v>7378</v>
      </c>
      <c r="D2199" s="9" t="s">
        <v>116</v>
      </c>
      <c r="E2199" s="9" t="s">
        <v>15805</v>
      </c>
      <c r="F2199" s="10">
        <v>1.514</v>
      </c>
      <c r="G2199" s="10">
        <v>1.665</v>
      </c>
      <c r="H2199" s="10"/>
      <c r="I2199" s="9" t="s">
        <v>118</v>
      </c>
      <c r="J2199" s="9" t="s">
        <v>15806</v>
      </c>
      <c r="K2199" s="9" t="s">
        <v>15807</v>
      </c>
      <c r="L2199" s="8" t="s">
        <v>15808</v>
      </c>
      <c r="M2199" s="9" t="s">
        <v>49</v>
      </c>
      <c r="N2199" s="9" t="s">
        <v>1130</v>
      </c>
      <c r="O2199" s="9">
        <f>HYPERLINK("https://www.google.com/maps/search/?api=1&amp;query=43.37066983,-2.80543063", "https://www.google.com/maps/search/?api=1&amp;query=43.37066983,-2.80543063")</f>
      </c>
      <c r="P2199" s="9" t="s">
        <v>172</v>
      </c>
      <c r="Q2199" s="9" t="s">
        <v>15809</v>
      </c>
    </row>
    <row r="2200" spans="1:17" x14ac:dyDescent="0.25">
      <c r="A2200" s="8" t="s">
        <v>15810</v>
      </c>
      <c r="B2200" s="8" t="s">
        <v>15811</v>
      </c>
      <c r="C2200" s="9" t="s">
        <v>15812</v>
      </c>
      <c r="D2200" s="9" t="s">
        <v>187</v>
      </c>
      <c r="E2200" s="9" t="s">
        <v>15813</v>
      </c>
      <c r="F2200" s="10">
        <v>1.514</v>
      </c>
      <c r="G2200" s="10">
        <v>1.665</v>
      </c>
      <c r="H2200" s="10"/>
      <c r="I2200" s="9" t="s">
        <v>74</v>
      </c>
      <c r="J2200" s="9" t="s">
        <v>15814</v>
      </c>
      <c r="K2200" s="9" t="s">
        <v>15815</v>
      </c>
      <c r="L2200" s="8" t="s">
        <v>15816</v>
      </c>
      <c r="M2200" s="9" t="s">
        <v>36</v>
      </c>
      <c r="N2200" s="9" t="s">
        <v>9206</v>
      </c>
      <c r="O2200" s="9">
        <f>HYPERLINK("https://www.google.com/maps/search/?api=1&amp;query=42.35767362,-5.32848507", "https://www.google.com/maps/search/?api=1&amp;query=42.35767362,-5.32848507")</f>
      </c>
      <c r="P2200" s="9" t="s">
        <v>880</v>
      </c>
      <c r="Q2200" s="9" t="s">
        <v>15817</v>
      </c>
    </row>
    <row r="2201" spans="1:17" x14ac:dyDescent="0.25">
      <c r="A2201" s="8" t="s">
        <v>15818</v>
      </c>
      <c r="B2201" s="8" t="s">
        <v>15819</v>
      </c>
      <c r="C2201" s="9" t="s">
        <v>15820</v>
      </c>
      <c r="D2201" s="9" t="s">
        <v>808</v>
      </c>
      <c r="E2201" s="9" t="s">
        <v>15821</v>
      </c>
      <c r="F2201" s="10">
        <v>1.514</v>
      </c>
      <c r="G2201" s="10">
        <v>1.665</v>
      </c>
      <c r="H2201" s="10"/>
      <c r="I2201" s="9" t="s">
        <v>808</v>
      </c>
      <c r="J2201" s="9" t="s">
        <v>15822</v>
      </c>
      <c r="K2201" s="9" t="s">
        <v>15823</v>
      </c>
      <c r="L2201" s="8" t="s">
        <v>2003</v>
      </c>
      <c r="M2201" s="9" t="s">
        <v>49</v>
      </c>
      <c r="N2201" s="9" t="s">
        <v>88</v>
      </c>
      <c r="O2201" s="9">
        <f>HYPERLINK("https://www.google.com/maps/search/?api=1&amp;query=43.42069029,-3.85835398", "https://www.google.com/maps/search/?api=1&amp;query=43.42069029,-3.85835398")</f>
      </c>
      <c r="P2201" s="9" t="s">
        <v>880</v>
      </c>
      <c r="Q2201" s="9" t="s">
        <v>15824</v>
      </c>
    </row>
    <row r="2202" spans="1:17" x14ac:dyDescent="0.25">
      <c r="A2202" s="8" t="s">
        <v>15825</v>
      </c>
      <c r="B2202" s="8" t="s">
        <v>15826</v>
      </c>
      <c r="C2202" s="9" t="s">
        <v>8185</v>
      </c>
      <c r="D2202" s="9" t="s">
        <v>94</v>
      </c>
      <c r="E2202" s="9" t="s">
        <v>15827</v>
      </c>
      <c r="F2202" s="10">
        <v>1.514</v>
      </c>
      <c r="G2202" s="10">
        <v>1.665</v>
      </c>
      <c r="H2202" s="10"/>
      <c r="I2202" s="9" t="s">
        <v>96</v>
      </c>
      <c r="J2202" s="9" t="s">
        <v>15828</v>
      </c>
      <c r="K2202" s="9" t="s">
        <v>15829</v>
      </c>
      <c r="L2202" s="8" t="s">
        <v>15830</v>
      </c>
      <c r="M2202" s="9" t="s">
        <v>49</v>
      </c>
      <c r="N2202" s="9" t="s">
        <v>88</v>
      </c>
      <c r="O2202" s="9">
        <f>HYPERLINK("https://www.google.com/maps/search/?api=1&amp;query=41.51650065,2.11252182", "https://www.google.com/maps/search/?api=1&amp;query=41.51650065,2.11252182")</f>
      </c>
      <c r="P2202" s="9" t="s">
        <v>258</v>
      </c>
      <c r="Q2202" s="9" t="s">
        <v>6634</v>
      </c>
    </row>
    <row r="2203" spans="1:17" x14ac:dyDescent="0.25">
      <c r="A2203" s="8" t="s">
        <v>15831</v>
      </c>
      <c r="B2203" s="8" t="s">
        <v>15832</v>
      </c>
      <c r="C2203" s="9" t="s">
        <v>15833</v>
      </c>
      <c r="D2203" s="9" t="s">
        <v>217</v>
      </c>
      <c r="E2203" s="9" t="s">
        <v>271</v>
      </c>
      <c r="F2203" s="10">
        <v>1.514</v>
      </c>
      <c r="G2203" s="10">
        <v>1.665</v>
      </c>
      <c r="H2203" s="10"/>
      <c r="I2203" s="9" t="s">
        <v>45</v>
      </c>
      <c r="J2203" s="9" t="s">
        <v>15834</v>
      </c>
      <c r="K2203" s="9" t="s">
        <v>15835</v>
      </c>
      <c r="L2203" s="8" t="s">
        <v>15836</v>
      </c>
      <c r="M2203" s="9" t="s">
        <v>49</v>
      </c>
      <c r="N2203" s="9" t="s">
        <v>37</v>
      </c>
      <c r="O2203" s="9">
        <f>HYPERLINK("https://www.google.com/maps/search/?api=1&amp;query=36.70805499,-4.43330979", "https://www.google.com/maps/search/?api=1&amp;query=36.70805499,-4.43330979")</f>
      </c>
      <c r="P2203" s="9" t="s">
        <v>13544</v>
      </c>
      <c r="Q2203" s="9" t="s">
        <v>15837</v>
      </c>
    </row>
    <row r="2204" spans="1:17" x14ac:dyDescent="0.25">
      <c r="A2204" s="8" t="s">
        <v>15838</v>
      </c>
      <c r="B2204" s="8" t="s">
        <v>15839</v>
      </c>
      <c r="C2204" s="9" t="s">
        <v>15840</v>
      </c>
      <c r="D2204" s="9" t="s">
        <v>197</v>
      </c>
      <c r="E2204" s="9" t="s">
        <v>5080</v>
      </c>
      <c r="F2204" s="10">
        <v>1.514</v>
      </c>
      <c r="G2204" s="10">
        <v>1.665</v>
      </c>
      <c r="H2204" s="10"/>
      <c r="I2204" s="9" t="s">
        <v>168</v>
      </c>
      <c r="J2204" s="9" t="s">
        <v>15841</v>
      </c>
      <c r="K2204" s="9" t="s">
        <v>15842</v>
      </c>
      <c r="L2204" s="8" t="s">
        <v>5083</v>
      </c>
      <c r="M2204" s="9" t="s">
        <v>49</v>
      </c>
      <c r="N2204" s="9" t="s">
        <v>88</v>
      </c>
      <c r="O2204" s="9">
        <f>HYPERLINK("https://www.google.com/maps/search/?api=1&amp;query=39.91357291,-4.00894624", "https://www.google.com/maps/search/?api=1&amp;query=39.91357291,-4.00894624")</f>
      </c>
      <c r="P2204" s="9" t="s">
        <v>172</v>
      </c>
      <c r="Q2204" s="9" t="s">
        <v>1131</v>
      </c>
    </row>
    <row r="2205" spans="1:17" x14ac:dyDescent="0.25">
      <c r="A2205" s="8" t="s">
        <v>8622</v>
      </c>
      <c r="B2205" s="8" t="s">
        <v>15843</v>
      </c>
      <c r="C2205" s="9" t="s">
        <v>15844</v>
      </c>
      <c r="D2205" s="9" t="s">
        <v>469</v>
      </c>
      <c r="E2205" s="9" t="s">
        <v>15845</v>
      </c>
      <c r="F2205" s="10">
        <v>1.514</v>
      </c>
      <c r="G2205" s="10">
        <v>1.665</v>
      </c>
      <c r="H2205" s="10"/>
      <c r="I2205" s="9" t="s">
        <v>74</v>
      </c>
      <c r="J2205" s="9" t="s">
        <v>15846</v>
      </c>
      <c r="K2205" s="9" t="s">
        <v>15847</v>
      </c>
      <c r="L2205" s="8" t="s">
        <v>15848</v>
      </c>
      <c r="M2205" s="9" t="s">
        <v>49</v>
      </c>
      <c r="N2205" s="9" t="s">
        <v>15849</v>
      </c>
      <c r="O2205" s="9">
        <f>HYPERLINK("https://www.google.com/maps/search/?api=1&amp;query=40.83055233,-5.27982281", "https://www.google.com/maps/search/?api=1&amp;query=40.83055233,-5.27982281")</f>
      </c>
      <c r="P2205" s="9" t="s">
        <v>880</v>
      </c>
      <c r="Q2205" s="9" t="s">
        <v>2998</v>
      </c>
    </row>
    <row r="2206" spans="1:17" x14ac:dyDescent="0.25">
      <c r="A2206" s="8" t="s">
        <v>15850</v>
      </c>
      <c r="B2206" s="8" t="s">
        <v>15851</v>
      </c>
      <c r="C2206" s="9" t="s">
        <v>15852</v>
      </c>
      <c r="D2206" s="9" t="s">
        <v>94</v>
      </c>
      <c r="E2206" s="9" t="s">
        <v>3986</v>
      </c>
      <c r="F2206" s="10">
        <v>1.514</v>
      </c>
      <c r="G2206" s="10">
        <v>1.665</v>
      </c>
      <c r="H2206" s="10"/>
      <c r="I2206" s="9" t="s">
        <v>96</v>
      </c>
      <c r="J2206" s="9" t="s">
        <v>15853</v>
      </c>
      <c r="K2206" s="9" t="s">
        <v>15854</v>
      </c>
      <c r="L2206" s="8" t="s">
        <v>11583</v>
      </c>
      <c r="M2206" s="9" t="s">
        <v>49</v>
      </c>
      <c r="N2206" s="9" t="s">
        <v>88</v>
      </c>
      <c r="O2206" s="9">
        <f>HYPERLINK("https://www.google.com/maps/search/?api=1&amp;query=41.36746986,2.13021782", "https://www.google.com/maps/search/?api=1&amp;query=41.36746986,2.13021782")</f>
      </c>
      <c r="P2206" s="9" t="s">
        <v>705</v>
      </c>
      <c r="Q2206" s="9" t="s">
        <v>2175</v>
      </c>
    </row>
    <row r="2207" spans="1:17" x14ac:dyDescent="0.25">
      <c r="A2207" s="8" t="s">
        <v>15855</v>
      </c>
      <c r="B2207" s="8" t="s">
        <v>15856</v>
      </c>
      <c r="C2207" s="9" t="s">
        <v>15857</v>
      </c>
      <c r="D2207" s="9" t="s">
        <v>94</v>
      </c>
      <c r="E2207" s="9" t="s">
        <v>15858</v>
      </c>
      <c r="F2207" s="10">
        <v>1.514</v>
      </c>
      <c r="G2207" s="10">
        <v>1.665</v>
      </c>
      <c r="H2207" s="10"/>
      <c r="I2207" s="9" t="s">
        <v>96</v>
      </c>
      <c r="J2207" s="9" t="s">
        <v>15859</v>
      </c>
      <c r="K2207" s="9" t="s">
        <v>15860</v>
      </c>
      <c r="L2207" s="8" t="s">
        <v>15861</v>
      </c>
      <c r="M2207" s="9" t="s">
        <v>49</v>
      </c>
      <c r="N2207" s="9" t="s">
        <v>873</v>
      </c>
      <c r="O2207" s="9">
        <f>HYPERLINK("https://www.google.com/maps/search/?api=1&amp;query=41.367639,2.065917", "https://www.google.com/maps/search/?api=1&amp;query=41.367639,2.065917")</f>
      </c>
      <c r="P2207" s="9" t="s">
        <v>1203</v>
      </c>
      <c r="Q2207" s="9" t="s">
        <v>15862</v>
      </c>
    </row>
    <row r="2208" spans="1:17" x14ac:dyDescent="0.25">
      <c r="A2208" s="8" t="s">
        <v>15863</v>
      </c>
      <c r="B2208" s="8" t="s">
        <v>15864</v>
      </c>
      <c r="C2208" s="9" t="s">
        <v>15865</v>
      </c>
      <c r="D2208" s="9" t="s">
        <v>155</v>
      </c>
      <c r="E2208" s="9" t="s">
        <v>15866</v>
      </c>
      <c r="F2208" s="10">
        <v>1.514</v>
      </c>
      <c r="G2208" s="10">
        <v>1.665</v>
      </c>
      <c r="H2208" s="10"/>
      <c r="I2208" s="9" t="s">
        <v>157</v>
      </c>
      <c r="J2208" s="9" t="s">
        <v>15867</v>
      </c>
      <c r="K2208" s="9" t="s">
        <v>15868</v>
      </c>
      <c r="L2208" s="8" t="s">
        <v>15869</v>
      </c>
      <c r="M2208" s="9" t="s">
        <v>36</v>
      </c>
      <c r="N2208" s="9" t="s">
        <v>88</v>
      </c>
      <c r="O2208" s="9">
        <f>HYPERLINK("https://www.google.com/maps/search/?api=1&amp;query=39.64829903,2.75674728", "https://www.google.com/maps/search/?api=1&amp;query=39.64829903,2.75674728")</f>
      </c>
      <c r="P2208" s="9" t="s">
        <v>15870</v>
      </c>
      <c r="Q2208" s="9" t="s">
        <v>8804</v>
      </c>
    </row>
    <row r="2209" spans="1:17" x14ac:dyDescent="0.25">
      <c r="A2209" s="8" t="s">
        <v>15871</v>
      </c>
      <c r="B2209" s="8" t="s">
        <v>15872</v>
      </c>
      <c r="C2209" s="9" t="s">
        <v>15873</v>
      </c>
      <c r="D2209" s="9" t="s">
        <v>398</v>
      </c>
      <c r="E2209" s="9" t="s">
        <v>398</v>
      </c>
      <c r="F2209" s="10">
        <v>1.514</v>
      </c>
      <c r="G2209" s="10">
        <v>1.665</v>
      </c>
      <c r="H2209" s="10"/>
      <c r="I2209" s="9" t="s">
        <v>400</v>
      </c>
      <c r="J2209" s="9" t="s">
        <v>15874</v>
      </c>
      <c r="K2209" s="9" t="s">
        <v>15875</v>
      </c>
      <c r="L2209" s="8" t="s">
        <v>15876</v>
      </c>
      <c r="M2209" s="9" t="s">
        <v>49</v>
      </c>
      <c r="N2209" s="9" t="s">
        <v>13809</v>
      </c>
      <c r="O2209" s="9">
        <f>HYPERLINK("https://www.google.com/maps/search/?api=1&amp;query=38.35842861,-0.48401657", "https://www.google.com/maps/search/?api=1&amp;query=38.35842861,-0.48401657")</f>
      </c>
      <c r="P2209" s="9" t="s">
        <v>4183</v>
      </c>
      <c r="Q2209" s="9" t="s">
        <v>1131</v>
      </c>
    </row>
    <row r="2210" spans="1:17" x14ac:dyDescent="0.25">
      <c r="A2210" s="8" t="s">
        <v>15877</v>
      </c>
      <c r="B2210" s="8" t="s">
        <v>15878</v>
      </c>
      <c r="C2210" s="9" t="s">
        <v>15879</v>
      </c>
      <c r="D2210" s="9" t="s">
        <v>94</v>
      </c>
      <c r="E2210" s="9" t="s">
        <v>15880</v>
      </c>
      <c r="F2210" s="10">
        <v>1.514</v>
      </c>
      <c r="G2210" s="10">
        <v>1.665</v>
      </c>
      <c r="H2210" s="10"/>
      <c r="I2210" s="9" t="s">
        <v>96</v>
      </c>
      <c r="J2210" s="9" t="s">
        <v>15881</v>
      </c>
      <c r="K2210" s="9" t="s">
        <v>15882</v>
      </c>
      <c r="L2210" s="8" t="s">
        <v>15883</v>
      </c>
      <c r="M2210" s="9" t="s">
        <v>36</v>
      </c>
      <c r="N2210" s="9" t="s">
        <v>88</v>
      </c>
      <c r="O2210" s="9">
        <f>HYPERLINK("https://www.google.com/maps/search/?api=1&amp;query=41.66859582,1.8540919", "https://www.google.com/maps/search/?api=1&amp;query=41.66859582,1.8540919")</f>
      </c>
      <c r="P2210" s="9" t="s">
        <v>15884</v>
      </c>
      <c r="Q2210" s="9" t="s">
        <v>15885</v>
      </c>
    </row>
    <row r="2211" spans="1:17" x14ac:dyDescent="0.25">
      <c r="A2211" s="8" t="s">
        <v>15886</v>
      </c>
      <c r="B2211" s="8" t="s">
        <v>15887</v>
      </c>
      <c r="C2211" s="9" t="s">
        <v>15888</v>
      </c>
      <c r="D2211" s="9" t="s">
        <v>94</v>
      </c>
      <c r="E2211" s="9" t="s">
        <v>7051</v>
      </c>
      <c r="F2211" s="10">
        <v>1.514</v>
      </c>
      <c r="G2211" s="10">
        <v>1.665</v>
      </c>
      <c r="H2211" s="10"/>
      <c r="I2211" s="9" t="s">
        <v>96</v>
      </c>
      <c r="J2211" s="9" t="s">
        <v>15889</v>
      </c>
      <c r="K2211" s="9" t="s">
        <v>15890</v>
      </c>
      <c r="L2211" s="8" t="s">
        <v>7054</v>
      </c>
      <c r="M2211" s="9" t="s">
        <v>49</v>
      </c>
      <c r="N2211" s="9" t="s">
        <v>357</v>
      </c>
      <c r="O2211" s="9">
        <f>HYPERLINK("https://www.google.com/maps/search/?api=1&amp;query=41.72167351,1.82035957", "https://www.google.com/maps/search/?api=1&amp;query=41.72167351,1.82035957")</f>
      </c>
      <c r="P2211" s="9" t="s">
        <v>172</v>
      </c>
      <c r="Q2211" s="9" t="s">
        <v>1131</v>
      </c>
    </row>
    <row r="2212" spans="1:17" x14ac:dyDescent="0.25">
      <c r="A2212" s="8" t="s">
        <v>15891</v>
      </c>
      <c r="B2212" s="8" t="s">
        <v>15892</v>
      </c>
      <c r="C2212" s="9" t="s">
        <v>15893</v>
      </c>
      <c r="D2212" s="9" t="s">
        <v>166</v>
      </c>
      <c r="E2212" s="9" t="s">
        <v>15894</v>
      </c>
      <c r="F2212" s="10">
        <v>1.514</v>
      </c>
      <c r="G2212" s="10">
        <v>1.665</v>
      </c>
      <c r="H2212" s="10"/>
      <c r="I2212" s="9" t="s">
        <v>168</v>
      </c>
      <c r="J2212" s="9" t="s">
        <v>15895</v>
      </c>
      <c r="K2212" s="9" t="s">
        <v>15896</v>
      </c>
      <c r="L2212" s="8" t="s">
        <v>15897</v>
      </c>
      <c r="M2212" s="9" t="s">
        <v>49</v>
      </c>
      <c r="N2212" s="9" t="s">
        <v>8757</v>
      </c>
      <c r="O2212" s="9">
        <f>HYPERLINK("https://www.google.com/maps/search/?api=1&amp;query=40.85539549,-1.91207226", "https://www.google.com/maps/search/?api=1&amp;query=40.85539549,-1.91207226")</f>
      </c>
      <c r="P2212" s="9" t="s">
        <v>15898</v>
      </c>
      <c r="Q2212" s="9" t="s">
        <v>15899</v>
      </c>
    </row>
    <row r="2213" spans="1:17" x14ac:dyDescent="0.25">
      <c r="A2213" s="8" t="s">
        <v>15900</v>
      </c>
      <c r="B2213" s="8" t="s">
        <v>15901</v>
      </c>
      <c r="C2213" s="9" t="s">
        <v>15902</v>
      </c>
      <c r="D2213" s="9" t="s">
        <v>94</v>
      </c>
      <c r="E2213" s="9" t="s">
        <v>236</v>
      </c>
      <c r="F2213" s="10">
        <v>1.514</v>
      </c>
      <c r="G2213" s="10">
        <v>1.665</v>
      </c>
      <c r="H2213" s="10"/>
      <c r="I2213" s="9" t="s">
        <v>96</v>
      </c>
      <c r="J2213" s="9" t="s">
        <v>237</v>
      </c>
      <c r="K2213" s="9" t="s">
        <v>238</v>
      </c>
      <c r="L2213" s="8" t="s">
        <v>239</v>
      </c>
      <c r="M2213" s="9" t="s">
        <v>49</v>
      </c>
      <c r="N2213" s="9" t="s">
        <v>88</v>
      </c>
      <c r="O2213" s="9">
        <f>HYPERLINK("https://www.google.com/maps/search/?api=1&amp;query=41.20694351,1.67053681", "https://www.google.com/maps/search/?api=1&amp;query=41.20694351,1.67053681")</f>
      </c>
      <c r="P2213" s="9" t="s">
        <v>880</v>
      </c>
      <c r="Q2213" s="9" t="s">
        <v>15903</v>
      </c>
    </row>
    <row r="2214" spans="1:17" x14ac:dyDescent="0.25">
      <c r="A2214" s="8" t="s">
        <v>15904</v>
      </c>
      <c r="B2214" s="8" t="s">
        <v>15905</v>
      </c>
      <c r="C2214" s="9" t="s">
        <v>15906</v>
      </c>
      <c r="D2214" s="9" t="s">
        <v>344</v>
      </c>
      <c r="E2214" s="9" t="s">
        <v>15907</v>
      </c>
      <c r="F2214" s="10">
        <v>1.514</v>
      </c>
      <c r="G2214" s="10">
        <v>1.665</v>
      </c>
      <c r="H2214" s="10"/>
      <c r="I2214" s="9" t="s">
        <v>140</v>
      </c>
      <c r="J2214" s="9" t="s">
        <v>15908</v>
      </c>
      <c r="K2214" s="9" t="s">
        <v>15909</v>
      </c>
      <c r="L2214" s="8" t="s">
        <v>15910</v>
      </c>
      <c r="M2214" s="9" t="s">
        <v>49</v>
      </c>
      <c r="N2214" s="9" t="s">
        <v>211</v>
      </c>
      <c r="O2214" s="9">
        <f>HYPERLINK("https://www.google.com/maps/search/?api=1&amp;query=42.96605061,-9.19363718", "https://www.google.com/maps/search/?api=1&amp;query=42.96605061,-9.19363718")</f>
      </c>
      <c r="P2214" s="9" t="s">
        <v>15911</v>
      </c>
      <c r="Q2214" s="9" t="s">
        <v>15912</v>
      </c>
    </row>
    <row r="2215" spans="1:17" x14ac:dyDescent="0.25">
      <c r="A2215" s="8" t="s">
        <v>15913</v>
      </c>
      <c r="B2215" s="8" t="s">
        <v>15914</v>
      </c>
      <c r="C2215" s="9" t="s">
        <v>15915</v>
      </c>
      <c r="D2215" s="9" t="s">
        <v>398</v>
      </c>
      <c r="E2215" s="9" t="s">
        <v>15916</v>
      </c>
      <c r="F2215" s="10">
        <v>1.514</v>
      </c>
      <c r="G2215" s="10">
        <v>1.665</v>
      </c>
      <c r="H2215" s="10"/>
      <c r="I2215" s="9" t="s">
        <v>400</v>
      </c>
      <c r="J2215" s="9" t="s">
        <v>15917</v>
      </c>
      <c r="K2215" s="9" t="s">
        <v>15918</v>
      </c>
      <c r="L2215" s="8" t="s">
        <v>12797</v>
      </c>
      <c r="M2215" s="9" t="s">
        <v>49</v>
      </c>
      <c r="N2215" s="9" t="s">
        <v>770</v>
      </c>
      <c r="O2215" s="9">
        <f>HYPERLINK("https://www.google.com/maps/search/?api=1&amp;query=38.42463803,-0.4062318", "https://www.google.com/maps/search/?api=1&amp;query=38.42463803,-0.4062318")</f>
      </c>
      <c r="P2215" s="9" t="s">
        <v>15919</v>
      </c>
      <c r="Q2215" s="9" t="s">
        <v>112</v>
      </c>
    </row>
    <row r="2216" spans="1:17" x14ac:dyDescent="0.25">
      <c r="A2216" s="8" t="s">
        <v>15920</v>
      </c>
      <c r="B2216" s="8" t="s">
        <v>15921</v>
      </c>
      <c r="C2216" s="9" t="s">
        <v>15922</v>
      </c>
      <c r="D2216" s="9" t="s">
        <v>398</v>
      </c>
      <c r="E2216" s="9" t="s">
        <v>15923</v>
      </c>
      <c r="F2216" s="10">
        <v>1.514</v>
      </c>
      <c r="G2216" s="10">
        <v>1.665</v>
      </c>
      <c r="H2216" s="10"/>
      <c r="I2216" s="9" t="s">
        <v>400</v>
      </c>
      <c r="J2216" s="9" t="s">
        <v>15924</v>
      </c>
      <c r="K2216" s="9" t="s">
        <v>15925</v>
      </c>
      <c r="L2216" s="8" t="s">
        <v>15926</v>
      </c>
      <c r="M2216" s="9" t="s">
        <v>36</v>
      </c>
      <c r="N2216" s="9" t="s">
        <v>88</v>
      </c>
      <c r="O2216" s="9">
        <f>HYPERLINK("https://www.google.com/maps/search/?api=1&amp;query=38.07719006,-0.84320327", "https://www.google.com/maps/search/?api=1&amp;query=38.07719006,-0.84320327")</f>
      </c>
      <c r="P2216" s="9" t="s">
        <v>10610</v>
      </c>
      <c r="Q2216" s="9" t="s">
        <v>12006</v>
      </c>
    </row>
    <row r="2217" spans="1:17" x14ac:dyDescent="0.25">
      <c r="A2217" s="8" t="s">
        <v>15927</v>
      </c>
      <c r="B2217" s="8" t="s">
        <v>15928</v>
      </c>
      <c r="C2217" s="9" t="s">
        <v>15929</v>
      </c>
      <c r="D2217" s="9" t="s">
        <v>1483</v>
      </c>
      <c r="E2217" s="9" t="s">
        <v>15930</v>
      </c>
      <c r="F2217" s="10">
        <v>1.514</v>
      </c>
      <c r="G2217" s="10">
        <v>1.665</v>
      </c>
      <c r="H2217" s="10"/>
      <c r="I2217" s="9" t="s">
        <v>74</v>
      </c>
      <c r="J2217" s="9" t="s">
        <v>15931</v>
      </c>
      <c r="K2217" s="9" t="s">
        <v>15932</v>
      </c>
      <c r="L2217" s="8" t="s">
        <v>15933</v>
      </c>
      <c r="M2217" s="9" t="s">
        <v>49</v>
      </c>
      <c r="N2217" s="9" t="s">
        <v>15934</v>
      </c>
      <c r="O2217" s="9">
        <f>HYPERLINK("https://www.google.com/maps/search/?api=1&amp;query=41.83505301,-3.34591236", "https://www.google.com/maps/search/?api=1&amp;query=41.83505301,-3.34591236")</f>
      </c>
      <c r="P2217" s="9" t="s">
        <v>8200</v>
      </c>
      <c r="Q2217" s="9" t="s">
        <v>1131</v>
      </c>
    </row>
    <row r="2218" spans="1:17" x14ac:dyDescent="0.25">
      <c r="A2218" s="8" t="s">
        <v>15935</v>
      </c>
      <c r="B2218" s="8" t="s">
        <v>15936</v>
      </c>
      <c r="C2218" s="9" t="s">
        <v>15937</v>
      </c>
      <c r="D2218" s="9" t="s">
        <v>444</v>
      </c>
      <c r="E2218" s="9" t="s">
        <v>15938</v>
      </c>
      <c r="F2218" s="10">
        <v>1.514</v>
      </c>
      <c r="G2218" s="10">
        <v>1.665</v>
      </c>
      <c r="H2218" s="10"/>
      <c r="I2218" s="9" t="s">
        <v>444</v>
      </c>
      <c r="J2218" s="9" t="s">
        <v>15939</v>
      </c>
      <c r="K2218" s="9" t="s">
        <v>15940</v>
      </c>
      <c r="L2218" s="8" t="s">
        <v>3943</v>
      </c>
      <c r="M2218" s="9" t="s">
        <v>100</v>
      </c>
      <c r="N2218" s="9" t="s">
        <v>88</v>
      </c>
      <c r="O2218" s="9">
        <f>HYPERLINK("https://www.google.com/maps/search/?api=1&amp;query=43.32787932,-5.7135979", "https://www.google.com/maps/search/?api=1&amp;query=43.32787932,-5.7135979")</f>
      </c>
      <c r="P2218" s="9" t="s">
        <v>521</v>
      </c>
      <c r="Q2218" s="9" t="s">
        <v>2554</v>
      </c>
    </row>
    <row r="2219" spans="1:17" x14ac:dyDescent="0.25">
      <c r="A2219" s="8" t="s">
        <v>15941</v>
      </c>
      <c r="B2219" s="8" t="s">
        <v>15942</v>
      </c>
      <c r="C2219" s="9" t="s">
        <v>15943</v>
      </c>
      <c r="D2219" s="9" t="s">
        <v>166</v>
      </c>
      <c r="E2219" s="9" t="s">
        <v>15944</v>
      </c>
      <c r="F2219" s="10">
        <v>1.514</v>
      </c>
      <c r="G2219" s="10">
        <v>1.665</v>
      </c>
      <c r="H2219" s="10"/>
      <c r="I2219" s="9" t="s">
        <v>168</v>
      </c>
      <c r="J2219" s="9" t="s">
        <v>15945</v>
      </c>
      <c r="K2219" s="9" t="s">
        <v>15946</v>
      </c>
      <c r="L2219" s="8" t="s">
        <v>15947</v>
      </c>
      <c r="M2219" s="9" t="s">
        <v>49</v>
      </c>
      <c r="N2219" s="9" t="s">
        <v>7222</v>
      </c>
      <c r="O2219" s="9">
        <f>HYPERLINK("https://www.google.com/maps/search/?api=1&amp;query=40.75013191,-3.16680285", "https://www.google.com/maps/search/?api=1&amp;query=40.75013191,-3.16680285")</f>
      </c>
      <c r="P2219" s="9" t="s">
        <v>493</v>
      </c>
      <c r="Q2219" s="9" t="s">
        <v>1204</v>
      </c>
    </row>
    <row r="2220" spans="1:17" x14ac:dyDescent="0.25">
      <c r="A2220" s="8" t="s">
        <v>15948</v>
      </c>
      <c r="B2220" s="8" t="s">
        <v>15949</v>
      </c>
      <c r="C2220" s="9" t="s">
        <v>15950</v>
      </c>
      <c r="D2220" s="9" t="s">
        <v>658</v>
      </c>
      <c r="E2220" s="9" t="s">
        <v>5821</v>
      </c>
      <c r="F2220" s="10">
        <v>1.514</v>
      </c>
      <c r="G2220" s="10">
        <v>1.665</v>
      </c>
      <c r="H2220" s="10"/>
      <c r="I2220" s="9" t="s">
        <v>45</v>
      </c>
      <c r="J2220" s="9" t="s">
        <v>15951</v>
      </c>
      <c r="K2220" s="9" t="s">
        <v>15952</v>
      </c>
      <c r="L2220" s="8" t="s">
        <v>5824</v>
      </c>
      <c r="M2220" s="9" t="s">
        <v>100</v>
      </c>
      <c r="N2220" s="9" t="s">
        <v>592</v>
      </c>
      <c r="O2220" s="9">
        <f>HYPERLINK("https://www.google.com/maps/search/?api=1&amp;query=36.79874528,-2.60212789", "https://www.google.com/maps/search/?api=1&amp;query=36.79874528,-2.60212789")</f>
      </c>
      <c r="P2220" s="9" t="s">
        <v>266</v>
      </c>
      <c r="Q2220" s="9" t="s">
        <v>6009</v>
      </c>
    </row>
    <row r="2221" spans="1:17" x14ac:dyDescent="0.25">
      <c r="A2221" s="8" t="s">
        <v>15953</v>
      </c>
      <c r="B2221" s="8" t="s">
        <v>15954</v>
      </c>
      <c r="C2221" s="9" t="s">
        <v>15955</v>
      </c>
      <c r="D2221" s="9" t="s">
        <v>658</v>
      </c>
      <c r="E2221" s="9" t="s">
        <v>15956</v>
      </c>
      <c r="F2221" s="10">
        <v>1.514</v>
      </c>
      <c r="G2221" s="10">
        <v>1.665</v>
      </c>
      <c r="H2221" s="10"/>
      <c r="I2221" s="9" t="s">
        <v>45</v>
      </c>
      <c r="J2221" s="9" t="s">
        <v>15957</v>
      </c>
      <c r="K2221" s="9" t="s">
        <v>15958</v>
      </c>
      <c r="L2221" s="8" t="s">
        <v>5989</v>
      </c>
      <c r="M2221" s="9" t="s">
        <v>36</v>
      </c>
      <c r="N2221" s="9" t="s">
        <v>37</v>
      </c>
      <c r="O2221" s="9">
        <f>HYPERLINK("https://www.google.com/maps/search/?api=1&amp;query=36.95590592,-2.12774811", "https://www.google.com/maps/search/?api=1&amp;query=36.95590592,-2.12774811")</f>
      </c>
      <c r="P2221" s="9" t="s">
        <v>15959</v>
      </c>
      <c r="Q2221" s="9" t="s">
        <v>11912</v>
      </c>
    </row>
    <row r="2222" spans="1:17" x14ac:dyDescent="0.25">
      <c r="A2222" s="8" t="s">
        <v>15960</v>
      </c>
      <c r="B2222" s="8" t="s">
        <v>15961</v>
      </c>
      <c r="C2222" s="9" t="s">
        <v>15962</v>
      </c>
      <c r="D2222" s="9" t="s">
        <v>1192</v>
      </c>
      <c r="E2222" s="9" t="s">
        <v>15963</v>
      </c>
      <c r="F2222" s="10">
        <v>1.514</v>
      </c>
      <c r="G2222" s="10">
        <v>1.665</v>
      </c>
      <c r="H2222" s="10"/>
      <c r="I2222" s="9" t="s">
        <v>168</v>
      </c>
      <c r="J2222" s="9" t="s">
        <v>15964</v>
      </c>
      <c r="K2222" s="9" t="s">
        <v>15965</v>
      </c>
      <c r="L2222" s="8" t="s">
        <v>15966</v>
      </c>
      <c r="M2222" s="9" t="s">
        <v>49</v>
      </c>
      <c r="N2222" s="9" t="s">
        <v>1695</v>
      </c>
      <c r="O2222" s="9">
        <f>HYPERLINK("https://www.google.com/maps/search/?api=1&amp;query=38.66223877,-4.29868294", "https://www.google.com/maps/search/?api=1&amp;query=38.66223877,-4.29868294")</f>
      </c>
      <c r="P2222" s="9" t="s">
        <v>2158</v>
      </c>
      <c r="Q2222" s="9" t="s">
        <v>15967</v>
      </c>
    </row>
    <row r="2223" spans="1:17" x14ac:dyDescent="0.25">
      <c r="A2223" s="8" t="s">
        <v>15968</v>
      </c>
      <c r="B2223" s="8" t="s">
        <v>15969</v>
      </c>
      <c r="C2223" s="9" t="s">
        <v>15970</v>
      </c>
      <c r="D2223" s="9" t="s">
        <v>128</v>
      </c>
      <c r="E2223" s="9" t="s">
        <v>15971</v>
      </c>
      <c r="F2223" s="10">
        <v>1.514</v>
      </c>
      <c r="G2223" s="10">
        <v>1.665</v>
      </c>
      <c r="H2223" s="10"/>
      <c r="I2223" s="9" t="s">
        <v>45</v>
      </c>
      <c r="J2223" s="9" t="s">
        <v>15972</v>
      </c>
      <c r="K2223" s="9" t="s">
        <v>15973</v>
      </c>
      <c r="L2223" s="8" t="s">
        <v>15974</v>
      </c>
      <c r="M2223" s="9" t="s">
        <v>49</v>
      </c>
      <c r="N2223" s="9" t="s">
        <v>66</v>
      </c>
      <c r="O2223" s="9">
        <f>HYPERLINK("https://www.google.com/maps/search/?api=1&amp;query=36.87167944,-6.17184764", "https://www.google.com/maps/search/?api=1&amp;query=36.87167944,-6.17184764")</f>
      </c>
      <c r="P2223" s="9" t="s">
        <v>449</v>
      </c>
      <c r="Q2223" s="9" t="s">
        <v>4729</v>
      </c>
    </row>
    <row r="2224" spans="1:17" x14ac:dyDescent="0.25">
      <c r="A2224" s="8" t="s">
        <v>15975</v>
      </c>
      <c r="B2224" s="8" t="s">
        <v>15976</v>
      </c>
      <c r="C2224" s="9" t="s">
        <v>15977</v>
      </c>
      <c r="D2224" s="9" t="s">
        <v>2050</v>
      </c>
      <c r="E2224" s="9" t="s">
        <v>15978</v>
      </c>
      <c r="F2224" s="10">
        <v>1.514</v>
      </c>
      <c r="G2224" s="10">
        <v>1.665</v>
      </c>
      <c r="H2224" s="10"/>
      <c r="I2224" s="9" t="s">
        <v>140</v>
      </c>
      <c r="J2224" s="9" t="s">
        <v>15979</v>
      </c>
      <c r="K2224" s="9" t="s">
        <v>15980</v>
      </c>
      <c r="L2224" s="8" t="s">
        <v>15981</v>
      </c>
      <c r="M2224" s="9" t="s">
        <v>49</v>
      </c>
      <c r="N2224" s="9" t="s">
        <v>66</v>
      </c>
      <c r="O2224" s="9">
        <f>HYPERLINK("https://www.google.com/maps/search/?api=1&amp;query=42.31300894,-7.86534634", "https://www.google.com/maps/search/?api=1&amp;query=42.31300894,-7.86534634")</f>
      </c>
      <c r="P2224" s="9" t="s">
        <v>374</v>
      </c>
      <c r="Q2224" s="9" t="s">
        <v>15982</v>
      </c>
    </row>
    <row r="2225" spans="1:17" x14ac:dyDescent="0.25">
      <c r="A2225" s="8" t="s">
        <v>15983</v>
      </c>
      <c r="B2225" s="8" t="s">
        <v>15984</v>
      </c>
      <c r="C2225" s="9" t="s">
        <v>15985</v>
      </c>
      <c r="D2225" s="9" t="s">
        <v>398</v>
      </c>
      <c r="E2225" s="9" t="s">
        <v>15986</v>
      </c>
      <c r="F2225" s="10">
        <v>1.514</v>
      </c>
      <c r="G2225" s="10">
        <v>1.665</v>
      </c>
      <c r="H2225" s="10"/>
      <c r="I2225" s="9" t="s">
        <v>400</v>
      </c>
      <c r="J2225" s="9" t="s">
        <v>15987</v>
      </c>
      <c r="K2225" s="9" t="s">
        <v>15988</v>
      </c>
      <c r="L2225" s="8" t="s">
        <v>15989</v>
      </c>
      <c r="M2225" s="9" t="s">
        <v>49</v>
      </c>
      <c r="N2225" s="9" t="s">
        <v>5450</v>
      </c>
      <c r="O2225" s="9">
        <f>HYPERLINK("https://www.google.com/maps/search/?api=1&amp;query=38.31019955,-0.8495708", "https://www.google.com/maps/search/?api=1&amp;query=38.31019955,-0.8495708")</f>
      </c>
      <c r="P2225" s="9" t="s">
        <v>1373</v>
      </c>
      <c r="Q2225" s="9" t="s">
        <v>9506</v>
      </c>
    </row>
    <row r="2226" spans="1:17" x14ac:dyDescent="0.25">
      <c r="A2226" s="8" t="s">
        <v>15990</v>
      </c>
      <c r="B2226" s="8" t="s">
        <v>15991</v>
      </c>
      <c r="C2226" s="9" t="s">
        <v>15992</v>
      </c>
      <c r="D2226" s="9" t="s">
        <v>2288</v>
      </c>
      <c r="E2226" s="9" t="s">
        <v>15993</v>
      </c>
      <c r="F2226" s="10">
        <v>1.514</v>
      </c>
      <c r="G2226" s="10">
        <v>1.665</v>
      </c>
      <c r="H2226" s="10"/>
      <c r="I2226" s="9" t="s">
        <v>168</v>
      </c>
      <c r="J2226" s="9" t="s">
        <v>15994</v>
      </c>
      <c r="K2226" s="9" t="s">
        <v>15995</v>
      </c>
      <c r="L2226" s="8" t="s">
        <v>15996</v>
      </c>
      <c r="M2226" s="9" t="s">
        <v>36</v>
      </c>
      <c r="N2226" s="9" t="s">
        <v>211</v>
      </c>
      <c r="O2226" s="9">
        <f>HYPERLINK("https://www.google.com/maps/search/?api=1&amp;query=39.25961004,-1.91130884", "https://www.google.com/maps/search/?api=1&amp;query=39.25961004,-1.91130884")</f>
      </c>
      <c r="P2226" s="9" t="s">
        <v>15407</v>
      </c>
      <c r="Q2226" s="9" t="s">
        <v>15997</v>
      </c>
    </row>
    <row r="2227" spans="1:17" x14ac:dyDescent="0.25">
      <c r="A2227" s="8" t="s">
        <v>15998</v>
      </c>
      <c r="B2227" s="8" t="s">
        <v>15999</v>
      </c>
      <c r="C2227" s="9" t="s">
        <v>16000</v>
      </c>
      <c r="D2227" s="9" t="s">
        <v>197</v>
      </c>
      <c r="E2227" s="9" t="s">
        <v>16001</v>
      </c>
      <c r="F2227" s="10">
        <v>1.514</v>
      </c>
      <c r="G2227" s="10">
        <v>1.665</v>
      </c>
      <c r="H2227" s="10"/>
      <c r="I2227" s="9" t="s">
        <v>168</v>
      </c>
      <c r="J2227" s="9" t="s">
        <v>16002</v>
      </c>
      <c r="K2227" s="9" t="s">
        <v>16003</v>
      </c>
      <c r="L2227" s="8" t="s">
        <v>16004</v>
      </c>
      <c r="M2227" s="9" t="s">
        <v>49</v>
      </c>
      <c r="N2227" s="9" t="s">
        <v>12012</v>
      </c>
      <c r="O2227" s="9">
        <f>HYPERLINK("https://www.google.com/maps/search/?api=1&amp;query=39.97583498,-3.18012627", "https://www.google.com/maps/search/?api=1&amp;query=39.97583498,-3.18012627")</f>
      </c>
      <c r="P2227" s="9" t="s">
        <v>3140</v>
      </c>
      <c r="Q2227" s="9" t="s">
        <v>16005</v>
      </c>
    </row>
    <row r="2228" spans="1:17" x14ac:dyDescent="0.25">
      <c r="A2228" s="8" t="s">
        <v>16006</v>
      </c>
      <c r="B2228" s="8" t="s">
        <v>16007</v>
      </c>
      <c r="C2228" s="9" t="s">
        <v>16008</v>
      </c>
      <c r="D2228" s="9" t="s">
        <v>469</v>
      </c>
      <c r="E2228" s="9" t="s">
        <v>16009</v>
      </c>
      <c r="F2228" s="10">
        <v>1.514</v>
      </c>
      <c r="G2228" s="10">
        <v>1.665</v>
      </c>
      <c r="H2228" s="10"/>
      <c r="I2228" s="9" t="s">
        <v>74</v>
      </c>
      <c r="J2228" s="9" t="s">
        <v>16010</v>
      </c>
      <c r="K2228" s="9" t="s">
        <v>16011</v>
      </c>
      <c r="L2228" s="8" t="s">
        <v>16012</v>
      </c>
      <c r="M2228" s="9" t="s">
        <v>49</v>
      </c>
      <c r="N2228" s="9" t="s">
        <v>211</v>
      </c>
      <c r="O2228" s="9">
        <f>HYPERLINK("https://www.google.com/maps/search/?api=1&amp;query=40.65973489,-6.11406962", "https://www.google.com/maps/search/?api=1&amp;query=40.65973489,-6.11406962")</f>
      </c>
      <c r="P2228" s="9" t="s">
        <v>1423</v>
      </c>
      <c r="Q2228" s="9" t="s">
        <v>12006</v>
      </c>
    </row>
    <row r="2229" spans="1:17" x14ac:dyDescent="0.25">
      <c r="A2229" s="8" t="s">
        <v>16013</v>
      </c>
      <c r="B2229" s="8" t="s">
        <v>16014</v>
      </c>
      <c r="C2229" s="9" t="s">
        <v>16015</v>
      </c>
      <c r="D2229" s="9" t="s">
        <v>116</v>
      </c>
      <c r="E2229" s="9" t="s">
        <v>16016</v>
      </c>
      <c r="F2229" s="10">
        <v>1.514</v>
      </c>
      <c r="G2229" s="10">
        <v>1.665</v>
      </c>
      <c r="H2229" s="10"/>
      <c r="I2229" s="9" t="s">
        <v>118</v>
      </c>
      <c r="J2229" s="9" t="s">
        <v>16017</v>
      </c>
      <c r="K2229" s="9" t="s">
        <v>16018</v>
      </c>
      <c r="L2229" s="8" t="s">
        <v>16019</v>
      </c>
      <c r="M2229" s="9" t="s">
        <v>49</v>
      </c>
      <c r="N2229" s="9" t="s">
        <v>8958</v>
      </c>
      <c r="O2229" s="9">
        <f>HYPERLINK("https://www.google.com/maps/search/?api=1&amp;query=43.2383029,-3.35558185", "https://www.google.com/maps/search/?api=1&amp;query=43.2383029,-3.35558185")</f>
      </c>
      <c r="P2229" s="9" t="s">
        <v>12730</v>
      </c>
      <c r="Q2229" s="9" t="s">
        <v>1733</v>
      </c>
    </row>
    <row r="2230" spans="1:17" x14ac:dyDescent="0.25">
      <c r="A2230" s="8" t="s">
        <v>16020</v>
      </c>
      <c r="B2230" s="8" t="s">
        <v>16021</v>
      </c>
      <c r="C2230" s="9" t="s">
        <v>16022</v>
      </c>
      <c r="D2230" s="9" t="s">
        <v>187</v>
      </c>
      <c r="E2230" s="9" t="s">
        <v>16023</v>
      </c>
      <c r="F2230" s="10">
        <v>1.514</v>
      </c>
      <c r="G2230" s="10">
        <v>1.665</v>
      </c>
      <c r="H2230" s="10"/>
      <c r="I2230" s="9" t="s">
        <v>74</v>
      </c>
      <c r="J2230" s="9" t="s">
        <v>16024</v>
      </c>
      <c r="K2230" s="9" t="s">
        <v>16025</v>
      </c>
      <c r="L2230" s="8" t="s">
        <v>16026</v>
      </c>
      <c r="M2230" s="9" t="s">
        <v>49</v>
      </c>
      <c r="N2230" s="9" t="s">
        <v>211</v>
      </c>
      <c r="O2230" s="9">
        <f>HYPERLINK("https://www.google.com/maps/search/?api=1&amp;query=42.76251201,-6.63158608", "https://www.google.com/maps/search/?api=1&amp;query=42.76251201,-6.63158608")</f>
      </c>
      <c r="P2230" s="9" t="s">
        <v>2213</v>
      </c>
      <c r="Q2230" s="9" t="s">
        <v>2056</v>
      </c>
    </row>
    <row r="2231" spans="1:17" x14ac:dyDescent="0.25">
      <c r="A2231" s="8" t="s">
        <v>16027</v>
      </c>
      <c r="B2231" s="8" t="s">
        <v>16028</v>
      </c>
      <c r="C2231" s="9" t="s">
        <v>16029</v>
      </c>
      <c r="D2231" s="9" t="s">
        <v>400</v>
      </c>
      <c r="E2231" s="9" t="s">
        <v>16030</v>
      </c>
      <c r="F2231" s="10">
        <v>1.514</v>
      </c>
      <c r="G2231" s="10">
        <v>1.665</v>
      </c>
      <c r="H2231" s="10"/>
      <c r="I2231" s="9" t="s">
        <v>400</v>
      </c>
      <c r="J2231" s="9" t="s">
        <v>16031</v>
      </c>
      <c r="K2231" s="9" t="s">
        <v>16032</v>
      </c>
      <c r="L2231" s="8" t="s">
        <v>16033</v>
      </c>
      <c r="M2231" s="9" t="s">
        <v>49</v>
      </c>
      <c r="N2231" s="9" t="s">
        <v>556</v>
      </c>
      <c r="O2231" s="9">
        <f>HYPERLINK("https://www.google.com/maps/search/?api=1&amp;query=39.41074697,-0.40747946", "https://www.google.com/maps/search/?api=1&amp;query=39.41074697,-0.40747946")</f>
      </c>
      <c r="P2231" s="9" t="s">
        <v>2213</v>
      </c>
      <c r="Q2231" s="9" t="s">
        <v>16034</v>
      </c>
    </row>
    <row r="2232" spans="1:17" x14ac:dyDescent="0.25">
      <c r="A2232" s="8" t="s">
        <v>16035</v>
      </c>
      <c r="B2232" s="8" t="s">
        <v>16036</v>
      </c>
      <c r="C2232" s="9" t="s">
        <v>16037</v>
      </c>
      <c r="D2232" s="9" t="s">
        <v>30</v>
      </c>
      <c r="E2232" s="9" t="s">
        <v>16038</v>
      </c>
      <c r="F2232" s="10">
        <v>1.514</v>
      </c>
      <c r="G2232" s="10">
        <v>1.665</v>
      </c>
      <c r="H2232" s="10"/>
      <c r="I2232" s="9" t="s">
        <v>32</v>
      </c>
      <c r="J2232" s="9" t="s">
        <v>16039</v>
      </c>
      <c r="K2232" s="9" t="s">
        <v>16040</v>
      </c>
      <c r="L2232" s="8" t="s">
        <v>16041</v>
      </c>
      <c r="M2232" s="9" t="s">
        <v>49</v>
      </c>
      <c r="N2232" s="9" t="s">
        <v>16042</v>
      </c>
      <c r="O2232" s="9">
        <f>HYPERLINK("https://www.google.com/maps/search/?api=1&amp;query=38.43829366,-6.9749933", "https://www.google.com/maps/search/?api=1&amp;query=38.43829366,-6.9749933")</f>
      </c>
      <c r="P2232" s="9" t="s">
        <v>8200</v>
      </c>
      <c r="Q2232" s="9" t="s">
        <v>8447</v>
      </c>
    </row>
    <row r="2233" spans="1:17" x14ac:dyDescent="0.25">
      <c r="A2233" s="8" t="s">
        <v>16043</v>
      </c>
      <c r="B2233" s="8" t="s">
        <v>16044</v>
      </c>
      <c r="C2233" s="9" t="s">
        <v>16045</v>
      </c>
      <c r="D2233" s="9" t="s">
        <v>187</v>
      </c>
      <c r="E2233" s="9" t="s">
        <v>16046</v>
      </c>
      <c r="F2233" s="10">
        <v>1.514</v>
      </c>
      <c r="G2233" s="10">
        <v>1.665</v>
      </c>
      <c r="H2233" s="10"/>
      <c r="I2233" s="9" t="s">
        <v>74</v>
      </c>
      <c r="J2233" s="9" t="s">
        <v>16047</v>
      </c>
      <c r="K2233" s="9" t="s">
        <v>16048</v>
      </c>
      <c r="L2233" s="8" t="s">
        <v>16049</v>
      </c>
      <c r="M2233" s="9" t="s">
        <v>49</v>
      </c>
      <c r="N2233" s="9" t="s">
        <v>211</v>
      </c>
      <c r="O2233" s="9">
        <f>HYPERLINK("https://www.google.com/maps/search/?api=1&amp;query=42.79215217,-5.62853553", "https://www.google.com/maps/search/?api=1&amp;query=42.79215217,-5.62853553")</f>
      </c>
      <c r="P2233" s="9" t="s">
        <v>646</v>
      </c>
      <c r="Q2233" s="9" t="s">
        <v>16050</v>
      </c>
    </row>
    <row r="2234" spans="1:17" x14ac:dyDescent="0.25">
      <c r="A2234" s="8" t="s">
        <v>16051</v>
      </c>
      <c r="B2234" s="8" t="s">
        <v>16052</v>
      </c>
      <c r="C2234" s="9" t="s">
        <v>16053</v>
      </c>
      <c r="D2234" s="9" t="s">
        <v>1282</v>
      </c>
      <c r="E2234" s="9" t="s">
        <v>16054</v>
      </c>
      <c r="F2234" s="10">
        <v>1.514</v>
      </c>
      <c r="G2234" s="10">
        <v>1.665</v>
      </c>
      <c r="H2234" s="10"/>
      <c r="I2234" s="9" t="s">
        <v>45</v>
      </c>
      <c r="J2234" s="9" t="s">
        <v>16055</v>
      </c>
      <c r="K2234" s="9" t="s">
        <v>16056</v>
      </c>
      <c r="L2234" s="8" t="s">
        <v>16057</v>
      </c>
      <c r="M2234" s="9" t="s">
        <v>49</v>
      </c>
      <c r="N2234" s="9" t="s">
        <v>88</v>
      </c>
      <c r="O2234" s="9">
        <f>HYPERLINK("https://www.google.com/maps/search/?api=1&amp;query=37.00912798,-3.58692655", "https://www.google.com/maps/search/?api=1&amp;query=37.00912798,-3.58692655")</f>
      </c>
      <c r="P2234" s="9" t="s">
        <v>906</v>
      </c>
      <c r="Q2234" s="9" t="s">
        <v>14408</v>
      </c>
    </row>
    <row r="2235" spans="1:17" x14ac:dyDescent="0.25">
      <c r="A2235" s="8" t="s">
        <v>16058</v>
      </c>
      <c r="B2235" s="8" t="s">
        <v>16059</v>
      </c>
      <c r="C2235" s="9" t="s">
        <v>16060</v>
      </c>
      <c r="D2235" s="9" t="s">
        <v>30</v>
      </c>
      <c r="E2235" s="9" t="s">
        <v>16061</v>
      </c>
      <c r="F2235" s="10">
        <v>1.514</v>
      </c>
      <c r="G2235" s="10">
        <v>1.665</v>
      </c>
      <c r="H2235" s="10"/>
      <c r="I2235" s="9" t="s">
        <v>32</v>
      </c>
      <c r="J2235" s="9" t="s">
        <v>16062</v>
      </c>
      <c r="K2235" s="9" t="s">
        <v>16063</v>
      </c>
      <c r="L2235" s="8" t="s">
        <v>16064</v>
      </c>
      <c r="M2235" s="9" t="s">
        <v>36</v>
      </c>
      <c r="N2235" s="9" t="s">
        <v>88</v>
      </c>
      <c r="O2235" s="9">
        <f>HYPERLINK("https://www.google.com/maps/search/?api=1&amp;query=38.523944,-6.622139", "https://www.google.com/maps/search/?api=1&amp;query=38.523944,-6.622139")</f>
      </c>
      <c r="P2235" s="9" t="s">
        <v>1803</v>
      </c>
      <c r="Q2235" s="9" t="s">
        <v>9992</v>
      </c>
    </row>
    <row r="2236" spans="1:17" x14ac:dyDescent="0.25">
      <c r="A2236" s="8" t="s">
        <v>16065</v>
      </c>
      <c r="B2236" s="8" t="s">
        <v>16066</v>
      </c>
      <c r="C2236" s="9" t="s">
        <v>16067</v>
      </c>
      <c r="D2236" s="9" t="s">
        <v>2288</v>
      </c>
      <c r="E2236" s="9" t="s">
        <v>16068</v>
      </c>
      <c r="F2236" s="10">
        <v>1.514</v>
      </c>
      <c r="G2236" s="10">
        <v>1.665</v>
      </c>
      <c r="H2236" s="10"/>
      <c r="I2236" s="9" t="s">
        <v>168</v>
      </c>
      <c r="J2236" s="9" t="s">
        <v>16069</v>
      </c>
      <c r="K2236" s="9" t="s">
        <v>16070</v>
      </c>
      <c r="L2236" s="8" t="s">
        <v>16071</v>
      </c>
      <c r="M2236" s="9" t="s">
        <v>49</v>
      </c>
      <c r="N2236" s="9" t="s">
        <v>1695</v>
      </c>
      <c r="O2236" s="9">
        <f>HYPERLINK("https://www.google.com/maps/search/?api=1&amp;query=38.58174274,-2.62570212", "https://www.google.com/maps/search/?api=1&amp;query=38.58174274,-2.62570212")</f>
      </c>
      <c r="P2236" s="9" t="s">
        <v>172</v>
      </c>
      <c r="Q2236" s="9" t="s">
        <v>16072</v>
      </c>
    </row>
    <row r="2237" spans="1:17" x14ac:dyDescent="0.25">
      <c r="A2237" s="8" t="s">
        <v>16073</v>
      </c>
      <c r="B2237" s="8" t="s">
        <v>16074</v>
      </c>
      <c r="C2237" s="9" t="s">
        <v>16075</v>
      </c>
      <c r="D2237" s="9" t="s">
        <v>2050</v>
      </c>
      <c r="E2237" s="9" t="s">
        <v>16076</v>
      </c>
      <c r="F2237" s="10">
        <v>1.514</v>
      </c>
      <c r="G2237" s="10">
        <v>1.665</v>
      </c>
      <c r="H2237" s="10"/>
      <c r="I2237" s="9" t="s">
        <v>140</v>
      </c>
      <c r="J2237" s="9" t="s">
        <v>16077</v>
      </c>
      <c r="K2237" s="9" t="s">
        <v>16078</v>
      </c>
      <c r="L2237" s="8" t="s">
        <v>16079</v>
      </c>
      <c r="M2237" s="9" t="s">
        <v>100</v>
      </c>
      <c r="N2237" s="9" t="s">
        <v>37</v>
      </c>
      <c r="O2237" s="9">
        <f>HYPERLINK("https://www.google.com/maps/search/?api=1&amp;query=42.34430716,-7.98133157", "https://www.google.com/maps/search/?api=1&amp;query=42.34430716,-7.98133157")</f>
      </c>
      <c r="P2237" s="9" t="s">
        <v>965</v>
      </c>
      <c r="Q2237" s="9" t="s">
        <v>14388</v>
      </c>
    </row>
    <row r="2238" spans="1:17" x14ac:dyDescent="0.25">
      <c r="A2238" s="8" t="s">
        <v>16080</v>
      </c>
      <c r="B2238" s="8" t="s">
        <v>16081</v>
      </c>
      <c r="C2238" s="9" t="s">
        <v>16082</v>
      </c>
      <c r="D2238" s="9" t="s">
        <v>398</v>
      </c>
      <c r="E2238" s="9" t="s">
        <v>4488</v>
      </c>
      <c r="F2238" s="10">
        <v>1.514</v>
      </c>
      <c r="G2238" s="10">
        <v>1.665</v>
      </c>
      <c r="H2238" s="10"/>
      <c r="I2238" s="9" t="s">
        <v>400</v>
      </c>
      <c r="J2238" s="9" t="s">
        <v>16083</v>
      </c>
      <c r="K2238" s="9" t="s">
        <v>16084</v>
      </c>
      <c r="L2238" s="8" t="s">
        <v>4491</v>
      </c>
      <c r="M2238" s="9" t="s">
        <v>49</v>
      </c>
      <c r="N2238" s="9" t="s">
        <v>88</v>
      </c>
      <c r="O2238" s="9">
        <f>HYPERLINK("https://www.google.com/maps/search/?api=1&amp;query=38.0993653,-0.66447504", "https://www.google.com/maps/search/?api=1&amp;query=38.0993653,-0.66447504")</f>
      </c>
      <c r="P2238" s="9" t="s">
        <v>1894</v>
      </c>
      <c r="Q2238" s="9" t="s">
        <v>8447</v>
      </c>
    </row>
    <row r="2239" spans="1:17" x14ac:dyDescent="0.25">
      <c r="A2239" s="8" t="s">
        <v>16085</v>
      </c>
      <c r="B2239" s="8" t="s">
        <v>16086</v>
      </c>
      <c r="C2239" s="9" t="s">
        <v>16087</v>
      </c>
      <c r="D2239" s="9" t="s">
        <v>488</v>
      </c>
      <c r="E2239" s="9" t="s">
        <v>16088</v>
      </c>
      <c r="F2239" s="10">
        <v>1.514</v>
      </c>
      <c r="G2239" s="10">
        <v>1.665</v>
      </c>
      <c r="H2239" s="10"/>
      <c r="I2239" s="9" t="s">
        <v>45</v>
      </c>
      <c r="J2239" s="9" t="s">
        <v>16089</v>
      </c>
      <c r="K2239" s="9" t="s">
        <v>16090</v>
      </c>
      <c r="L2239" s="8" t="s">
        <v>16091</v>
      </c>
      <c r="M2239" s="9" t="s">
        <v>49</v>
      </c>
      <c r="N2239" s="9" t="s">
        <v>88</v>
      </c>
      <c r="O2239" s="9">
        <f>HYPERLINK("https://www.google.com/maps/search/?api=1&amp;query=37.82892776,-3.35443296", "https://www.google.com/maps/search/?api=1&amp;query=37.82892776,-3.35443296")</f>
      </c>
      <c r="P2239" s="9" t="s">
        <v>16092</v>
      </c>
      <c r="Q2239" s="9" t="s">
        <v>7502</v>
      </c>
    </row>
    <row r="2240" spans="1:17" x14ac:dyDescent="0.25">
      <c r="A2240" s="8" t="s">
        <v>16093</v>
      </c>
      <c r="B2240" s="8" t="s">
        <v>16094</v>
      </c>
      <c r="C2240" s="9" t="s">
        <v>16095</v>
      </c>
      <c r="D2240" s="9" t="s">
        <v>217</v>
      </c>
      <c r="E2240" s="9" t="s">
        <v>1144</v>
      </c>
      <c r="F2240" s="10">
        <v>1.514</v>
      </c>
      <c r="G2240" s="10">
        <v>1.665</v>
      </c>
      <c r="H2240" s="10"/>
      <c r="I2240" s="9" t="s">
        <v>45</v>
      </c>
      <c r="J2240" s="9" t="s">
        <v>16096</v>
      </c>
      <c r="K2240" s="9" t="s">
        <v>16097</v>
      </c>
      <c r="L2240" s="8" t="s">
        <v>1147</v>
      </c>
      <c r="M2240" s="9" t="s">
        <v>49</v>
      </c>
      <c r="N2240" s="9" t="s">
        <v>37</v>
      </c>
      <c r="O2240" s="9">
        <f>HYPERLINK("https://www.google.com/maps/search/?api=1&amp;query=36.7763572,-4.1004643", "https://www.google.com/maps/search/?api=1&amp;query=36.7763572,-4.1004643")</f>
      </c>
      <c r="P2240" s="9" t="s">
        <v>3165</v>
      </c>
      <c r="Q2240" s="9" t="s">
        <v>8215</v>
      </c>
    </row>
    <row r="2241" spans="1:17" x14ac:dyDescent="0.25">
      <c r="A2241" s="8" t="s">
        <v>16098</v>
      </c>
      <c r="B2241" s="8" t="s">
        <v>16099</v>
      </c>
      <c r="C2241" s="9" t="s">
        <v>16100</v>
      </c>
      <c r="D2241" s="9" t="s">
        <v>398</v>
      </c>
      <c r="E2241" s="9" t="s">
        <v>9185</v>
      </c>
      <c r="F2241" s="10">
        <v>1.514</v>
      </c>
      <c r="G2241" s="10">
        <v>1.665</v>
      </c>
      <c r="H2241" s="10"/>
      <c r="I2241" s="9" t="s">
        <v>400</v>
      </c>
      <c r="J2241" s="9" t="s">
        <v>16101</v>
      </c>
      <c r="K2241" s="9" t="s">
        <v>16102</v>
      </c>
      <c r="L2241" s="8" t="s">
        <v>9188</v>
      </c>
      <c r="M2241" s="9" t="s">
        <v>49</v>
      </c>
      <c r="N2241" s="9" t="s">
        <v>88</v>
      </c>
      <c r="O2241" s="9">
        <f>HYPERLINK("https://www.google.com/maps/search/?api=1&amp;query=38.62966518,-0.85671179", "https://www.google.com/maps/search/?api=1&amp;query=38.62966518,-0.85671179")</f>
      </c>
      <c r="P2241" s="9" t="s">
        <v>16103</v>
      </c>
      <c r="Q2241" s="9" t="s">
        <v>8649</v>
      </c>
    </row>
    <row r="2242" spans="1:17" x14ac:dyDescent="0.25">
      <c r="A2242" s="8" t="s">
        <v>16104</v>
      </c>
      <c r="B2242" s="8" t="s">
        <v>16105</v>
      </c>
      <c r="C2242" s="9" t="s">
        <v>16106</v>
      </c>
      <c r="D2242" s="9" t="s">
        <v>488</v>
      </c>
      <c r="E2242" s="9" t="s">
        <v>5565</v>
      </c>
      <c r="F2242" s="10">
        <v>1.514</v>
      </c>
      <c r="G2242" s="10">
        <v>1.665</v>
      </c>
      <c r="H2242" s="10"/>
      <c r="I2242" s="9" t="s">
        <v>45</v>
      </c>
      <c r="J2242" s="9" t="s">
        <v>16107</v>
      </c>
      <c r="K2242" s="9" t="s">
        <v>16108</v>
      </c>
      <c r="L2242" s="8" t="s">
        <v>5568</v>
      </c>
      <c r="M2242" s="9" t="s">
        <v>49</v>
      </c>
      <c r="N2242" s="9" t="s">
        <v>66</v>
      </c>
      <c r="O2242" s="9">
        <f>HYPERLINK("https://www.google.com/maps/search/?api=1&amp;query=38.09283409,-3.64448067", "https://www.google.com/maps/search/?api=1&amp;query=38.09283409,-3.64448067")</f>
      </c>
      <c r="P2242" s="9" t="s">
        <v>7403</v>
      </c>
      <c r="Q2242" s="9" t="s">
        <v>1131</v>
      </c>
    </row>
    <row r="2243" spans="1:17" x14ac:dyDescent="0.25">
      <c r="A2243" s="8" t="s">
        <v>16109</v>
      </c>
      <c r="B2243" s="8" t="s">
        <v>16110</v>
      </c>
      <c r="C2243" s="9" t="s">
        <v>16111</v>
      </c>
      <c r="D2243" s="9" t="s">
        <v>30</v>
      </c>
      <c r="E2243" s="9" t="s">
        <v>16112</v>
      </c>
      <c r="F2243" s="10">
        <v>1.514</v>
      </c>
      <c r="G2243" s="10">
        <v>1.665</v>
      </c>
      <c r="H2243" s="10"/>
      <c r="I2243" s="9" t="s">
        <v>32</v>
      </c>
      <c r="J2243" s="9" t="s">
        <v>16113</v>
      </c>
      <c r="K2243" s="9" t="s">
        <v>16114</v>
      </c>
      <c r="L2243" s="8" t="s">
        <v>16115</v>
      </c>
      <c r="M2243" s="9" t="s">
        <v>49</v>
      </c>
      <c r="N2243" s="9" t="s">
        <v>211</v>
      </c>
      <c r="O2243" s="9">
        <f>HYPERLINK("https://www.google.com/maps/search/?api=1&amp;query=39.20262523,-6.99671953", "https://www.google.com/maps/search/?api=1&amp;query=39.20262523,-6.99671953")</f>
      </c>
      <c r="P2243" s="9" t="s">
        <v>8524</v>
      </c>
      <c r="Q2243" s="9" t="s">
        <v>10756</v>
      </c>
    </row>
    <row r="2244" spans="1:17" x14ac:dyDescent="0.25">
      <c r="A2244" s="8" t="s">
        <v>16116</v>
      </c>
      <c r="B2244" s="8" t="s">
        <v>16117</v>
      </c>
      <c r="C2244" s="9" t="s">
        <v>16118</v>
      </c>
      <c r="D2244" s="9" t="s">
        <v>400</v>
      </c>
      <c r="E2244" s="9" t="s">
        <v>16119</v>
      </c>
      <c r="F2244" s="10">
        <v>1.514</v>
      </c>
      <c r="G2244" s="10">
        <v>1.665</v>
      </c>
      <c r="H2244" s="10"/>
      <c r="I2244" s="9" t="s">
        <v>400</v>
      </c>
      <c r="J2244" s="9" t="s">
        <v>16120</v>
      </c>
      <c r="K2244" s="9" t="s">
        <v>16121</v>
      </c>
      <c r="L2244" s="8" t="s">
        <v>16122</v>
      </c>
      <c r="M2244" s="9" t="s">
        <v>49</v>
      </c>
      <c r="N2244" s="9" t="s">
        <v>37</v>
      </c>
      <c r="O2244" s="9">
        <f>HYPERLINK("https://www.google.com/maps/search/?api=1&amp;query=39.62250333,-0.30496375", "https://www.google.com/maps/search/?api=1&amp;query=39.62250333,-0.30496375")</f>
      </c>
      <c r="P2244" s="9" t="s">
        <v>16123</v>
      </c>
      <c r="Q2244" s="9" t="s">
        <v>16124</v>
      </c>
    </row>
    <row r="2245" spans="1:17" x14ac:dyDescent="0.25">
      <c r="A2245" s="8" t="s">
        <v>16125</v>
      </c>
      <c r="B2245" s="8" t="s">
        <v>16126</v>
      </c>
      <c r="C2245" s="9" t="s">
        <v>16127</v>
      </c>
      <c r="D2245" s="9" t="s">
        <v>166</v>
      </c>
      <c r="E2245" s="9" t="s">
        <v>16128</v>
      </c>
      <c r="F2245" s="10">
        <v>1.514</v>
      </c>
      <c r="G2245" s="10">
        <v>1.665</v>
      </c>
      <c r="H2245" s="10"/>
      <c r="I2245" s="9" t="s">
        <v>168</v>
      </c>
      <c r="J2245" s="9" t="s">
        <v>16129</v>
      </c>
      <c r="K2245" s="9" t="s">
        <v>16130</v>
      </c>
      <c r="L2245" s="8" t="s">
        <v>16131</v>
      </c>
      <c r="M2245" s="9" t="s">
        <v>36</v>
      </c>
      <c r="N2245" s="9" t="s">
        <v>122</v>
      </c>
      <c r="O2245" s="9">
        <f>HYPERLINK("https://www.google.com/maps/search/?api=1&amp;query=41.06522854,-2.64745531", "https://www.google.com/maps/search/?api=1&amp;query=41.06522854,-2.64745531")</f>
      </c>
      <c r="P2245" s="9" t="s">
        <v>2594</v>
      </c>
      <c r="Q2245" s="9" t="s">
        <v>1131</v>
      </c>
    </row>
    <row r="2246" spans="1:17" x14ac:dyDescent="0.25">
      <c r="A2246" s="8" t="s">
        <v>16132</v>
      </c>
      <c r="B2246" s="8" t="s">
        <v>16133</v>
      </c>
      <c r="C2246" s="9" t="s">
        <v>16134</v>
      </c>
      <c r="D2246" s="9" t="s">
        <v>488</v>
      </c>
      <c r="E2246" s="9" t="s">
        <v>16135</v>
      </c>
      <c r="F2246" s="10">
        <v>1.514</v>
      </c>
      <c r="G2246" s="10">
        <v>1.665</v>
      </c>
      <c r="H2246" s="10"/>
      <c r="I2246" s="9" t="s">
        <v>45</v>
      </c>
      <c r="J2246" s="9" t="s">
        <v>16136</v>
      </c>
      <c r="K2246" s="9" t="s">
        <v>16137</v>
      </c>
      <c r="L2246" s="8" t="s">
        <v>16138</v>
      </c>
      <c r="M2246" s="9" t="s">
        <v>49</v>
      </c>
      <c r="N2246" s="9" t="s">
        <v>1130</v>
      </c>
      <c r="O2246" s="9">
        <f>HYPERLINK("https://www.google.com/maps/search/?api=1&amp;query=38.10971504,-2.55696612", "https://www.google.com/maps/search/?api=1&amp;query=38.10971504,-2.55696612")</f>
      </c>
      <c r="P2246" s="9" t="s">
        <v>3474</v>
      </c>
      <c r="Q2246" s="9" t="s">
        <v>16139</v>
      </c>
    </row>
    <row r="2247" spans="1:17" x14ac:dyDescent="0.25">
      <c r="A2247" s="8" t="s">
        <v>16140</v>
      </c>
      <c r="B2247" s="8" t="s">
        <v>16141</v>
      </c>
      <c r="C2247" s="9" t="s">
        <v>16142</v>
      </c>
      <c r="D2247" s="9" t="s">
        <v>409</v>
      </c>
      <c r="E2247" s="9" t="s">
        <v>409</v>
      </c>
      <c r="F2247" s="10">
        <v>1.514</v>
      </c>
      <c r="G2247" s="10">
        <v>1.665</v>
      </c>
      <c r="H2247" s="10"/>
      <c r="I2247" s="9" t="s">
        <v>292</v>
      </c>
      <c r="J2247" s="9" t="s">
        <v>16143</v>
      </c>
      <c r="K2247" s="9" t="s">
        <v>16144</v>
      </c>
      <c r="L2247" s="8" t="s">
        <v>8901</v>
      </c>
      <c r="M2247" s="9" t="s">
        <v>49</v>
      </c>
      <c r="N2247" s="9" t="s">
        <v>37</v>
      </c>
      <c r="O2247" s="9">
        <f>HYPERLINK("https://www.google.com/maps/search/?api=1&amp;query=41.66072321,-0.92568656", "https://www.google.com/maps/search/?api=1&amp;query=41.66072321,-0.92568656")</f>
      </c>
      <c r="P2247" s="9" t="s">
        <v>955</v>
      </c>
      <c r="Q2247" s="9" t="s">
        <v>16145</v>
      </c>
    </row>
    <row r="2248" spans="1:17" x14ac:dyDescent="0.25">
      <c r="A2248" s="8" t="s">
        <v>16146</v>
      </c>
      <c r="B2248" s="8" t="s">
        <v>16147</v>
      </c>
      <c r="C2248" s="9" t="s">
        <v>16148</v>
      </c>
      <c r="D2248" s="9" t="s">
        <v>177</v>
      </c>
      <c r="E2248" s="9" t="s">
        <v>16149</v>
      </c>
      <c r="F2248" s="10">
        <v>1.514</v>
      </c>
      <c r="G2248" s="10">
        <v>1.665</v>
      </c>
      <c r="H2248" s="10"/>
      <c r="I2248" s="9" t="s">
        <v>74</v>
      </c>
      <c r="J2248" s="9" t="s">
        <v>16150</v>
      </c>
      <c r="K2248" s="9" t="s">
        <v>16151</v>
      </c>
      <c r="L2248" s="8" t="s">
        <v>16152</v>
      </c>
      <c r="M2248" s="9" t="s">
        <v>36</v>
      </c>
      <c r="N2248" s="9" t="s">
        <v>122</v>
      </c>
      <c r="O2248" s="9">
        <f>HYPERLINK("https://www.google.com/maps/search/?api=1&amp;query=41.46125928,-4.86068261", "https://www.google.com/maps/search/?api=1&amp;query=41.46125928,-4.86068261")</f>
      </c>
      <c r="P2248" s="9" t="s">
        <v>1203</v>
      </c>
      <c r="Q2248" s="9" t="s">
        <v>8341</v>
      </c>
    </row>
    <row r="2249" spans="1:17" x14ac:dyDescent="0.25">
      <c r="A2249" s="8" t="s">
        <v>16153</v>
      </c>
      <c r="B2249" s="8" t="s">
        <v>16154</v>
      </c>
      <c r="C2249" s="9" t="s">
        <v>16155</v>
      </c>
      <c r="D2249" s="9" t="s">
        <v>2050</v>
      </c>
      <c r="E2249" s="9" t="s">
        <v>16156</v>
      </c>
      <c r="F2249" s="10">
        <v>1.514</v>
      </c>
      <c r="G2249" s="10">
        <v>1.665</v>
      </c>
      <c r="H2249" s="10"/>
      <c r="I2249" s="9" t="s">
        <v>140</v>
      </c>
      <c r="J2249" s="9" t="s">
        <v>16157</v>
      </c>
      <c r="K2249" s="9" t="s">
        <v>16158</v>
      </c>
      <c r="L2249" s="8" t="s">
        <v>16159</v>
      </c>
      <c r="M2249" s="9" t="s">
        <v>49</v>
      </c>
      <c r="N2249" s="9" t="s">
        <v>16160</v>
      </c>
      <c r="O2249" s="9">
        <f>HYPERLINK("https://www.google.com/maps/search/?api=1&amp;query=42.41679083,-7.87300796", "https://www.google.com/maps/search/?api=1&amp;query=42.41679083,-7.87300796")</f>
      </c>
      <c r="P2249" s="9" t="s">
        <v>2213</v>
      </c>
      <c r="Q2249" s="9" t="s">
        <v>522</v>
      </c>
    </row>
    <row r="2250" spans="1:17" x14ac:dyDescent="0.25">
      <c r="A2250" s="8" t="s">
        <v>16161</v>
      </c>
      <c r="B2250" s="8" t="s">
        <v>16162</v>
      </c>
      <c r="C2250" s="9" t="s">
        <v>16163</v>
      </c>
      <c r="D2250" s="9" t="s">
        <v>155</v>
      </c>
      <c r="E2250" s="9" t="s">
        <v>16164</v>
      </c>
      <c r="F2250" s="10">
        <v>1.514</v>
      </c>
      <c r="G2250" s="10">
        <v>1.665</v>
      </c>
      <c r="H2250" s="10"/>
      <c r="I2250" s="9" t="s">
        <v>157</v>
      </c>
      <c r="J2250" s="9" t="s">
        <v>16165</v>
      </c>
      <c r="K2250" s="9" t="s">
        <v>16166</v>
      </c>
      <c r="L2250" s="8" t="s">
        <v>16167</v>
      </c>
      <c r="M2250" s="9" t="s">
        <v>49</v>
      </c>
      <c r="N2250" s="9" t="s">
        <v>13318</v>
      </c>
      <c r="O2250" s="9">
        <f>HYPERLINK("https://www.google.com/maps/search/?api=1&amp;query=39.37880024,3.22721593", "https://www.google.com/maps/search/?api=1&amp;query=39.37880024,3.22721593")</f>
      </c>
      <c r="P2250" s="9" t="s">
        <v>1439</v>
      </c>
      <c r="Q2250" s="9" t="s">
        <v>16168</v>
      </c>
    </row>
    <row r="2251" spans="1:17" x14ac:dyDescent="0.25">
      <c r="A2251" s="8" t="s">
        <v>16169</v>
      </c>
      <c r="B2251" s="8" t="s">
        <v>16170</v>
      </c>
      <c r="C2251" s="9" t="s">
        <v>9486</v>
      </c>
      <c r="D2251" s="9" t="s">
        <v>197</v>
      </c>
      <c r="E2251" s="9" t="s">
        <v>16171</v>
      </c>
      <c r="F2251" s="10">
        <v>1.514</v>
      </c>
      <c r="G2251" s="10">
        <v>1.665</v>
      </c>
      <c r="H2251" s="10"/>
      <c r="I2251" s="9" t="s">
        <v>168</v>
      </c>
      <c r="J2251" s="9" t="s">
        <v>16172</v>
      </c>
      <c r="K2251" s="9" t="s">
        <v>16173</v>
      </c>
      <c r="L2251" s="8" t="s">
        <v>16174</v>
      </c>
      <c r="M2251" s="9" t="s">
        <v>36</v>
      </c>
      <c r="N2251" s="9" t="s">
        <v>645</v>
      </c>
      <c r="O2251" s="9">
        <f>HYPERLINK("https://www.google.com/maps/search/?api=1&amp;query=39.97505751,-3.44717127", "https://www.google.com/maps/search/?api=1&amp;query=39.97505751,-3.44717127")</f>
      </c>
      <c r="P2251" s="9" t="s">
        <v>3400</v>
      </c>
      <c r="Q2251" s="9" t="s">
        <v>16175</v>
      </c>
    </row>
    <row r="2252" spans="1:17" x14ac:dyDescent="0.25">
      <c r="A2252" s="8" t="s">
        <v>16176</v>
      </c>
      <c r="B2252" s="8" t="s">
        <v>16177</v>
      </c>
      <c r="C2252" s="9" t="s">
        <v>16178</v>
      </c>
      <c r="D2252" s="9" t="s">
        <v>808</v>
      </c>
      <c r="E2252" s="9" t="s">
        <v>2330</v>
      </c>
      <c r="F2252" s="10">
        <v>1.514</v>
      </c>
      <c r="G2252" s="10">
        <v>1.665</v>
      </c>
      <c r="H2252" s="10"/>
      <c r="I2252" s="9" t="s">
        <v>808</v>
      </c>
      <c r="J2252" s="9" t="s">
        <v>16179</v>
      </c>
      <c r="K2252" s="9" t="s">
        <v>16180</v>
      </c>
      <c r="L2252" s="8" t="s">
        <v>2333</v>
      </c>
      <c r="M2252" s="9" t="s">
        <v>49</v>
      </c>
      <c r="N2252" s="9" t="s">
        <v>88</v>
      </c>
      <c r="O2252" s="9">
        <f>HYPERLINK("https://www.google.com/maps/search/?api=1&amp;query=43.4591042,-3.84108534", "https://www.google.com/maps/search/?api=1&amp;query=43.4591042,-3.84108534")</f>
      </c>
      <c r="P2252" s="9" t="s">
        <v>1479</v>
      </c>
      <c r="Q2252" s="9" t="s">
        <v>3559</v>
      </c>
    </row>
    <row r="2253" spans="1:17" x14ac:dyDescent="0.25">
      <c r="A2253" s="8" t="s">
        <v>16181</v>
      </c>
      <c r="B2253" s="8" t="s">
        <v>16182</v>
      </c>
      <c r="C2253" s="9" t="s">
        <v>16183</v>
      </c>
      <c r="D2253" s="9" t="s">
        <v>1192</v>
      </c>
      <c r="E2253" s="9" t="s">
        <v>12548</v>
      </c>
      <c r="F2253" s="10">
        <v>1.514</v>
      </c>
      <c r="G2253" s="10">
        <v>1.665</v>
      </c>
      <c r="H2253" s="10"/>
      <c r="I2253" s="9" t="s">
        <v>168</v>
      </c>
      <c r="J2253" s="9" t="s">
        <v>16184</v>
      </c>
      <c r="K2253" s="9" t="s">
        <v>16185</v>
      </c>
      <c r="L2253" s="8" t="s">
        <v>12551</v>
      </c>
      <c r="M2253" s="9" t="s">
        <v>49</v>
      </c>
      <c r="N2253" s="9" t="s">
        <v>16186</v>
      </c>
      <c r="O2253" s="9">
        <f>HYPERLINK("https://www.google.com/maps/search/?api=1&amp;query=39.28982622,-2.79569913", "https://www.google.com/maps/search/?api=1&amp;query=39.28982622,-2.79569913")</f>
      </c>
      <c r="P2253" s="9" t="s">
        <v>992</v>
      </c>
      <c r="Q2253" s="9" t="s">
        <v>1131</v>
      </c>
    </row>
    <row r="2254" spans="1:17" x14ac:dyDescent="0.25">
      <c r="A2254" s="8" t="s">
        <v>16187</v>
      </c>
      <c r="B2254" s="8" t="s">
        <v>16188</v>
      </c>
      <c r="C2254" s="9" t="s">
        <v>16189</v>
      </c>
      <c r="D2254" s="9" t="s">
        <v>94</v>
      </c>
      <c r="E2254" s="9" t="s">
        <v>8029</v>
      </c>
      <c r="F2254" s="10">
        <v>1.514</v>
      </c>
      <c r="G2254" s="10">
        <v>1.665</v>
      </c>
      <c r="H2254" s="10"/>
      <c r="I2254" s="9" t="s">
        <v>96</v>
      </c>
      <c r="J2254" s="9" t="s">
        <v>16190</v>
      </c>
      <c r="K2254" s="9" t="s">
        <v>16191</v>
      </c>
      <c r="L2254" s="8" t="s">
        <v>8032</v>
      </c>
      <c r="M2254" s="9" t="s">
        <v>49</v>
      </c>
      <c r="N2254" s="9" t="s">
        <v>122</v>
      </c>
      <c r="O2254" s="9">
        <f>HYPERLINK("https://www.google.com/maps/search/?api=1&amp;query=41.59582728,1.63176268", "https://www.google.com/maps/search/?api=1&amp;query=41.59582728,1.63176268")</f>
      </c>
      <c r="P2254" s="9" t="s">
        <v>1067</v>
      </c>
      <c r="Q2254" s="9" t="s">
        <v>16192</v>
      </c>
    </row>
    <row r="2255" spans="1:17" x14ac:dyDescent="0.25">
      <c r="A2255" s="8" t="s">
        <v>16193</v>
      </c>
      <c r="B2255" s="8" t="s">
        <v>16194</v>
      </c>
      <c r="C2255" s="9" t="s">
        <v>16195</v>
      </c>
      <c r="D2255" s="9" t="s">
        <v>253</v>
      </c>
      <c r="E2255" s="9" t="s">
        <v>943</v>
      </c>
      <c r="F2255" s="10">
        <v>1.514</v>
      </c>
      <c r="G2255" s="10">
        <v>1.665</v>
      </c>
      <c r="H2255" s="10"/>
      <c r="I2255" s="9" t="s">
        <v>96</v>
      </c>
      <c r="J2255" s="9" t="s">
        <v>16196</v>
      </c>
      <c r="K2255" s="9" t="s">
        <v>16197</v>
      </c>
      <c r="L2255" s="8" t="s">
        <v>16198</v>
      </c>
      <c r="M2255" s="9" t="s">
        <v>36</v>
      </c>
      <c r="N2255" s="9" t="s">
        <v>88</v>
      </c>
      <c r="O2255" s="9">
        <f>HYPERLINK("https://www.google.com/maps/search/?api=1&amp;query=41.1495619,1.12437637", "https://www.google.com/maps/search/?api=1&amp;query=41.1495619,1.12437637")</f>
      </c>
      <c r="P2255" s="9" t="s">
        <v>6218</v>
      </c>
      <c r="Q2255" s="9" t="s">
        <v>1131</v>
      </c>
    </row>
    <row r="2256" spans="1:17" x14ac:dyDescent="0.25">
      <c r="A2256" s="8" t="s">
        <v>16199</v>
      </c>
      <c r="B2256" s="8" t="s">
        <v>16200</v>
      </c>
      <c r="C2256" s="9" t="s">
        <v>16201</v>
      </c>
      <c r="D2256" s="9" t="s">
        <v>1847</v>
      </c>
      <c r="E2256" s="9" t="s">
        <v>16202</v>
      </c>
      <c r="F2256" s="10">
        <v>1.514</v>
      </c>
      <c r="G2256" s="10">
        <v>1.665</v>
      </c>
      <c r="H2256" s="10"/>
      <c r="I2256" s="9" t="s">
        <v>74</v>
      </c>
      <c r="J2256" s="9" t="s">
        <v>16203</v>
      </c>
      <c r="K2256" s="9" t="s">
        <v>16204</v>
      </c>
      <c r="L2256" s="8" t="s">
        <v>16205</v>
      </c>
      <c r="M2256" s="9" t="s">
        <v>36</v>
      </c>
      <c r="N2256" s="9" t="s">
        <v>8966</v>
      </c>
      <c r="O2256" s="9">
        <f>HYPERLINK("https://www.google.com/maps/search/?api=1&amp;query=41.14304671,-4.1917169", "https://www.google.com/maps/search/?api=1&amp;query=41.14304671,-4.1917169")</f>
      </c>
      <c r="P2256" s="9" t="s">
        <v>1423</v>
      </c>
      <c r="Q2256" s="9" t="s">
        <v>1742</v>
      </c>
    </row>
    <row r="2257" spans="1:17" x14ac:dyDescent="0.25">
      <c r="A2257" s="8" t="s">
        <v>16206</v>
      </c>
      <c r="B2257" s="8" t="s">
        <v>16207</v>
      </c>
      <c r="C2257" s="9" t="s">
        <v>16208</v>
      </c>
      <c r="D2257" s="9" t="s">
        <v>94</v>
      </c>
      <c r="E2257" s="9" t="s">
        <v>4660</v>
      </c>
      <c r="F2257" s="10">
        <v>1.514</v>
      </c>
      <c r="G2257" s="10">
        <v>1.665</v>
      </c>
      <c r="H2257" s="10"/>
      <c r="I2257" s="9" t="s">
        <v>96</v>
      </c>
      <c r="J2257" s="9" t="s">
        <v>16209</v>
      </c>
      <c r="K2257" s="9" t="s">
        <v>16210</v>
      </c>
      <c r="L2257" s="8" t="s">
        <v>4663</v>
      </c>
      <c r="M2257" s="9" t="s">
        <v>36</v>
      </c>
      <c r="N2257" s="9" t="s">
        <v>11584</v>
      </c>
      <c r="O2257" s="9">
        <f>HYPERLINK("https://www.google.com/maps/search/?api=1&amp;query=41.49025335,1.91304795", "https://www.google.com/maps/search/?api=1&amp;query=41.49025335,1.91304795")</f>
      </c>
      <c r="P2257" s="9" t="s">
        <v>321</v>
      </c>
      <c r="Q2257" s="9" t="s">
        <v>16211</v>
      </c>
    </row>
    <row r="2258" spans="1:17" x14ac:dyDescent="0.25">
      <c r="A2258" s="8" t="s">
        <v>16212</v>
      </c>
      <c r="B2258" s="8" t="s">
        <v>16213</v>
      </c>
      <c r="C2258" s="9" t="s">
        <v>16214</v>
      </c>
      <c r="D2258" s="9" t="s">
        <v>1560</v>
      </c>
      <c r="E2258" s="9" t="s">
        <v>16215</v>
      </c>
      <c r="F2258" s="10">
        <v>1.514</v>
      </c>
      <c r="G2258" s="10">
        <v>1.665</v>
      </c>
      <c r="H2258" s="10"/>
      <c r="I2258" s="9" t="s">
        <v>400</v>
      </c>
      <c r="J2258" s="9" t="s">
        <v>16216</v>
      </c>
      <c r="K2258" s="9" t="s">
        <v>16217</v>
      </c>
      <c r="L2258" s="8" t="s">
        <v>6326</v>
      </c>
      <c r="M2258" s="9" t="s">
        <v>49</v>
      </c>
      <c r="N2258" s="9" t="s">
        <v>592</v>
      </c>
      <c r="O2258" s="9">
        <f>HYPERLINK("https://www.google.com/maps/search/?api=1&amp;query=39.82405291,-0.21287167", "https://www.google.com/maps/search/?api=1&amp;query=39.82405291,-0.21287167")</f>
      </c>
      <c r="P2258" s="9" t="s">
        <v>4045</v>
      </c>
      <c r="Q2258" s="9" t="s">
        <v>16218</v>
      </c>
    </row>
    <row r="2259" spans="1:17" x14ac:dyDescent="0.25">
      <c r="A2259" s="8" t="s">
        <v>16219</v>
      </c>
      <c r="B2259" s="8" t="s">
        <v>16220</v>
      </c>
      <c r="C2259" s="9" t="s">
        <v>16221</v>
      </c>
      <c r="D2259" s="9" t="s">
        <v>398</v>
      </c>
      <c r="E2259" s="9" t="s">
        <v>2534</v>
      </c>
      <c r="F2259" s="10">
        <v>1.514</v>
      </c>
      <c r="G2259" s="10">
        <v>1.665</v>
      </c>
      <c r="H2259" s="10"/>
      <c r="I2259" s="9" t="s">
        <v>400</v>
      </c>
      <c r="J2259" s="9" t="s">
        <v>16222</v>
      </c>
      <c r="K2259" s="9" t="s">
        <v>16223</v>
      </c>
      <c r="L2259" s="8" t="s">
        <v>2537</v>
      </c>
      <c r="M2259" s="9" t="s">
        <v>49</v>
      </c>
      <c r="N2259" s="9" t="s">
        <v>88</v>
      </c>
      <c r="O2259" s="9">
        <f>HYPERLINK("https://www.google.com/maps/search/?api=1&amp;query=38.69194059,-0.48967887", "https://www.google.com/maps/search/?api=1&amp;query=38.69194059,-0.48967887")</f>
      </c>
      <c r="P2259" s="9" t="s">
        <v>2135</v>
      </c>
      <c r="Q2259" s="9" t="s">
        <v>16224</v>
      </c>
    </row>
    <row r="2260" spans="1:17" x14ac:dyDescent="0.25">
      <c r="A2260" s="8" t="s">
        <v>16225</v>
      </c>
      <c r="B2260" s="8" t="s">
        <v>16226</v>
      </c>
      <c r="C2260" s="9" t="s">
        <v>16227</v>
      </c>
      <c r="D2260" s="9" t="s">
        <v>808</v>
      </c>
      <c r="E2260" s="9" t="s">
        <v>2330</v>
      </c>
      <c r="F2260" s="10">
        <v>1.514</v>
      </c>
      <c r="G2260" s="10">
        <v>1.665</v>
      </c>
      <c r="H2260" s="10"/>
      <c r="I2260" s="9" t="s">
        <v>808</v>
      </c>
      <c r="J2260" s="9" t="s">
        <v>16228</v>
      </c>
      <c r="K2260" s="9" t="s">
        <v>16229</v>
      </c>
      <c r="L2260" s="8" t="s">
        <v>16230</v>
      </c>
      <c r="M2260" s="9" t="s">
        <v>49</v>
      </c>
      <c r="N2260" s="9" t="s">
        <v>16231</v>
      </c>
      <c r="O2260" s="9">
        <f>HYPERLINK("https://www.google.com/maps/search/?api=1&amp;query=43.4626765,-3.79634422", "https://www.google.com/maps/search/?api=1&amp;query=43.4626765,-3.79634422")</f>
      </c>
      <c r="P2260" s="9" t="s">
        <v>1439</v>
      </c>
      <c r="Q2260" s="9" t="s">
        <v>1131</v>
      </c>
    </row>
    <row r="2261" spans="1:17" x14ac:dyDescent="0.25">
      <c r="A2261" s="8" t="s">
        <v>16232</v>
      </c>
      <c r="B2261" s="8" t="s">
        <v>16233</v>
      </c>
      <c r="C2261" s="9" t="s">
        <v>16234</v>
      </c>
      <c r="D2261" s="9" t="s">
        <v>1434</v>
      </c>
      <c r="E2261" s="9" t="s">
        <v>16235</v>
      </c>
      <c r="F2261" s="10">
        <v>1.514</v>
      </c>
      <c r="G2261" s="10">
        <v>1.665</v>
      </c>
      <c r="H2261" s="10"/>
      <c r="I2261" s="9" t="s">
        <v>1434</v>
      </c>
      <c r="J2261" s="9" t="s">
        <v>16236</v>
      </c>
      <c r="K2261" s="9" t="s">
        <v>16237</v>
      </c>
      <c r="L2261" s="8" t="s">
        <v>16238</v>
      </c>
      <c r="M2261" s="9" t="s">
        <v>49</v>
      </c>
      <c r="N2261" s="9" t="s">
        <v>16239</v>
      </c>
      <c r="O2261" s="9">
        <f>HYPERLINK("https://www.google.com/maps/search/?api=1&amp;query=42.01776434,-1.94672578", "https://www.google.com/maps/search/?api=1&amp;query=42.01776434,-1.94672578")</f>
      </c>
      <c r="P2261" s="9" t="s">
        <v>2594</v>
      </c>
      <c r="Q2261" s="9" t="s">
        <v>1131</v>
      </c>
    </row>
    <row r="2262" spans="1:17" x14ac:dyDescent="0.25">
      <c r="A2262" s="8" t="s">
        <v>16240</v>
      </c>
      <c r="B2262" s="8" t="s">
        <v>16241</v>
      </c>
      <c r="C2262" s="9" t="s">
        <v>16242</v>
      </c>
      <c r="D2262" s="9" t="s">
        <v>138</v>
      </c>
      <c r="E2262" s="9" t="s">
        <v>16243</v>
      </c>
      <c r="F2262" s="10">
        <v>1.514</v>
      </c>
      <c r="G2262" s="10">
        <v>1.665</v>
      </c>
      <c r="H2262" s="10"/>
      <c r="I2262" s="9" t="s">
        <v>140</v>
      </c>
      <c r="J2262" s="9" t="s">
        <v>16244</v>
      </c>
      <c r="K2262" s="9" t="s">
        <v>16245</v>
      </c>
      <c r="L2262" s="8" t="s">
        <v>16246</v>
      </c>
      <c r="M2262" s="9" t="s">
        <v>100</v>
      </c>
      <c r="N2262" s="9" t="s">
        <v>5787</v>
      </c>
      <c r="O2262" s="9">
        <f>HYPERLINK("https://www.google.com/maps/search/?api=1&amp;query=42.64140587,-8.74846371", "https://www.google.com/maps/search/?api=1&amp;query=42.64140587,-8.74846371")</f>
      </c>
      <c r="P2262" s="9" t="s">
        <v>617</v>
      </c>
      <c r="Q2262" s="9" t="s">
        <v>7937</v>
      </c>
    </row>
    <row r="2263" spans="1:17" x14ac:dyDescent="0.25">
      <c r="A2263" s="8" t="s">
        <v>16247</v>
      </c>
      <c r="B2263" s="8" t="s">
        <v>16248</v>
      </c>
      <c r="C2263" s="9" t="s">
        <v>16249</v>
      </c>
      <c r="D2263" s="9" t="s">
        <v>434</v>
      </c>
      <c r="E2263" s="9" t="s">
        <v>16250</v>
      </c>
      <c r="F2263" s="10">
        <v>1.514</v>
      </c>
      <c r="G2263" s="10">
        <v>1.665</v>
      </c>
      <c r="H2263" s="10"/>
      <c r="I2263" s="9" t="s">
        <v>96</v>
      </c>
      <c r="J2263" s="9" t="s">
        <v>16251</v>
      </c>
      <c r="K2263" s="9" t="s">
        <v>16252</v>
      </c>
      <c r="L2263" s="8" t="s">
        <v>16253</v>
      </c>
      <c r="M2263" s="9" t="s">
        <v>49</v>
      </c>
      <c r="N2263" s="9" t="s">
        <v>88</v>
      </c>
      <c r="O2263" s="9">
        <f>HYPERLINK("https://www.google.com/maps/search/?api=1&amp;query=41.81767081,2.52012196", "https://www.google.com/maps/search/?api=1&amp;query=41.81767081,2.52012196")</f>
      </c>
      <c r="P2263" s="9" t="s">
        <v>2442</v>
      </c>
      <c r="Q2263" s="9" t="s">
        <v>12544</v>
      </c>
    </row>
    <row r="2264" spans="1:17" x14ac:dyDescent="0.25">
      <c r="A2264" s="8" t="s">
        <v>16254</v>
      </c>
      <c r="B2264" s="8" t="s">
        <v>16255</v>
      </c>
      <c r="C2264" s="9" t="s">
        <v>8873</v>
      </c>
      <c r="D2264" s="9" t="s">
        <v>400</v>
      </c>
      <c r="E2264" s="9" t="s">
        <v>16256</v>
      </c>
      <c r="F2264" s="10">
        <v>1.514</v>
      </c>
      <c r="G2264" s="10">
        <v>1.665</v>
      </c>
      <c r="H2264" s="10"/>
      <c r="I2264" s="9" t="s">
        <v>400</v>
      </c>
      <c r="J2264" s="9" t="s">
        <v>16257</v>
      </c>
      <c r="K2264" s="9" t="s">
        <v>16258</v>
      </c>
      <c r="L2264" s="8" t="s">
        <v>16259</v>
      </c>
      <c r="M2264" s="9" t="s">
        <v>36</v>
      </c>
      <c r="N2264" s="9" t="s">
        <v>88</v>
      </c>
      <c r="O2264" s="9">
        <f>HYPERLINK("https://www.google.com/maps/search/?api=1&amp;query=39.14076404,-0.42481252", "https://www.google.com/maps/search/?api=1&amp;query=39.14076404,-0.42481252")</f>
      </c>
      <c r="P2264" s="9" t="s">
        <v>2233</v>
      </c>
      <c r="Q2264" s="9" t="s">
        <v>1982</v>
      </c>
    </row>
    <row r="2265" spans="1:17" x14ac:dyDescent="0.25">
      <c r="A2265" s="8" t="s">
        <v>16260</v>
      </c>
      <c r="B2265" s="8" t="s">
        <v>16261</v>
      </c>
      <c r="C2265" s="9" t="s">
        <v>16262</v>
      </c>
      <c r="D2265" s="9" t="s">
        <v>658</v>
      </c>
      <c r="E2265" s="9" t="s">
        <v>11899</v>
      </c>
      <c r="F2265" s="10">
        <v>1.514</v>
      </c>
      <c r="G2265" s="10">
        <v>1.665</v>
      </c>
      <c r="H2265" s="10"/>
      <c r="I2265" s="9" t="s">
        <v>45</v>
      </c>
      <c r="J2265" s="9" t="s">
        <v>16263</v>
      </c>
      <c r="K2265" s="9" t="s">
        <v>16264</v>
      </c>
      <c r="L2265" s="8" t="s">
        <v>11902</v>
      </c>
      <c r="M2265" s="9" t="s">
        <v>49</v>
      </c>
      <c r="N2265" s="9" t="s">
        <v>592</v>
      </c>
      <c r="O2265" s="9">
        <f>HYPERLINK("https://www.google.com/maps/search/?api=1&amp;query=36.74798361,-3.00405941", "https://www.google.com/maps/search/?api=1&amp;query=36.74798361,-3.00405941")</f>
      </c>
      <c r="P2265" s="9" t="s">
        <v>3165</v>
      </c>
      <c r="Q2265" s="9" t="s">
        <v>1742</v>
      </c>
    </row>
    <row r="2266" spans="1:17" x14ac:dyDescent="0.25">
      <c r="A2266" s="8" t="s">
        <v>16265</v>
      </c>
      <c r="B2266" s="8" t="s">
        <v>16266</v>
      </c>
      <c r="C2266" s="9" t="s">
        <v>16267</v>
      </c>
      <c r="D2266" s="9" t="s">
        <v>155</v>
      </c>
      <c r="E2266" s="9" t="s">
        <v>16268</v>
      </c>
      <c r="F2266" s="10">
        <v>1.514</v>
      </c>
      <c r="G2266" s="10">
        <v>1.665</v>
      </c>
      <c r="H2266" s="10"/>
      <c r="I2266" s="9" t="s">
        <v>157</v>
      </c>
      <c r="J2266" s="9" t="s">
        <v>16269</v>
      </c>
      <c r="K2266" s="9" t="s">
        <v>16270</v>
      </c>
      <c r="L2266" s="8" t="s">
        <v>16271</v>
      </c>
      <c r="M2266" s="9" t="s">
        <v>36</v>
      </c>
      <c r="N2266" s="9" t="s">
        <v>1695</v>
      </c>
      <c r="O2266" s="9">
        <f>HYPERLINK("https://www.google.com/maps/search/?api=1&amp;query=39.58042685,3.36165422", "https://www.google.com/maps/search/?api=1&amp;query=39.58042685,3.36165422")</f>
      </c>
      <c r="P2266" s="9" t="s">
        <v>172</v>
      </c>
      <c r="Q2266" s="9" t="s">
        <v>14408</v>
      </c>
    </row>
    <row r="2267" spans="1:17" x14ac:dyDescent="0.25">
      <c r="A2267" s="8" t="s">
        <v>16272</v>
      </c>
      <c r="B2267" s="8" t="s">
        <v>16273</v>
      </c>
      <c r="C2267" s="9" t="s">
        <v>16274</v>
      </c>
      <c r="D2267" s="9" t="s">
        <v>290</v>
      </c>
      <c r="E2267" s="9" t="s">
        <v>16275</v>
      </c>
      <c r="F2267" s="10">
        <v>1.514</v>
      </c>
      <c r="G2267" s="10">
        <v>1.665</v>
      </c>
      <c r="H2267" s="10"/>
      <c r="I2267" s="9" t="s">
        <v>292</v>
      </c>
      <c r="J2267" s="9" t="s">
        <v>16276</v>
      </c>
      <c r="K2267" s="9" t="s">
        <v>16277</v>
      </c>
      <c r="L2267" s="8" t="s">
        <v>16278</v>
      </c>
      <c r="M2267" s="9" t="s">
        <v>36</v>
      </c>
      <c r="N2267" s="9" t="s">
        <v>483</v>
      </c>
      <c r="O2267" s="9">
        <f>HYPERLINK("https://www.google.com/maps/search/?api=1&amp;query=41.21411715,-0.46832846", "https://www.google.com/maps/search/?api=1&amp;query=41.21411715,-0.46832846")</f>
      </c>
      <c r="P2267" s="9" t="s">
        <v>296</v>
      </c>
      <c r="Q2267" s="9" t="s">
        <v>16279</v>
      </c>
    </row>
    <row r="2268" spans="1:17" x14ac:dyDescent="0.25">
      <c r="A2268" s="8" t="s">
        <v>16280</v>
      </c>
      <c r="B2268" s="8" t="s">
        <v>16281</v>
      </c>
      <c r="C2268" s="9" t="s">
        <v>16282</v>
      </c>
      <c r="D2268" s="9" t="s">
        <v>30</v>
      </c>
      <c r="E2268" s="9" t="s">
        <v>16283</v>
      </c>
      <c r="F2268" s="10">
        <v>1.514</v>
      </c>
      <c r="G2268" s="10">
        <v>1.665</v>
      </c>
      <c r="H2268" s="10"/>
      <c r="I2268" s="9" t="s">
        <v>32</v>
      </c>
      <c r="J2268" s="9" t="s">
        <v>16284</v>
      </c>
      <c r="K2268" s="9" t="s">
        <v>16285</v>
      </c>
      <c r="L2268" s="8" t="s">
        <v>16286</v>
      </c>
      <c r="M2268" s="9" t="s">
        <v>36</v>
      </c>
      <c r="N2268" s="9" t="s">
        <v>16287</v>
      </c>
      <c r="O2268" s="9">
        <f>HYPERLINK("https://www.google.com/maps/search/?api=1&amp;query=38.29075561,-6.21929", "https://www.google.com/maps/search/?api=1&amp;query=38.29075561,-6.21929")</f>
      </c>
      <c r="P2268" s="9" t="s">
        <v>7311</v>
      </c>
      <c r="Q2268" s="9" t="s">
        <v>14408</v>
      </c>
    </row>
    <row r="2269" spans="1:17" x14ac:dyDescent="0.25">
      <c r="A2269" s="8" t="s">
        <v>16288</v>
      </c>
      <c r="B2269" s="8" t="s">
        <v>16289</v>
      </c>
      <c r="C2269" s="9" t="s">
        <v>16290</v>
      </c>
      <c r="D2269" s="9" t="s">
        <v>1847</v>
      </c>
      <c r="E2269" s="9" t="s">
        <v>16291</v>
      </c>
      <c r="F2269" s="10">
        <v>1.514</v>
      </c>
      <c r="G2269" s="10">
        <v>1.665</v>
      </c>
      <c r="H2269" s="10"/>
      <c r="I2269" s="9" t="s">
        <v>74</v>
      </c>
      <c r="J2269" s="9" t="s">
        <v>16292</v>
      </c>
      <c r="K2269" s="9" t="s">
        <v>16293</v>
      </c>
      <c r="L2269" s="8" t="s">
        <v>16294</v>
      </c>
      <c r="M2269" s="9" t="s">
        <v>49</v>
      </c>
      <c r="N2269" s="9" t="s">
        <v>13233</v>
      </c>
      <c r="O2269" s="9">
        <f>HYPERLINK("https://www.google.com/maps/search/?api=1&amp;query=41.15348985,-4.0075692", "https://www.google.com/maps/search/?api=1&amp;query=41.15348985,-4.0075692")</f>
      </c>
      <c r="P2269" s="9" t="s">
        <v>880</v>
      </c>
      <c r="Q2269" s="9" t="s">
        <v>1742</v>
      </c>
    </row>
    <row r="2270" spans="1:17" x14ac:dyDescent="0.25">
      <c r="A2270" s="8" t="s">
        <v>16295</v>
      </c>
      <c r="B2270" s="8" t="s">
        <v>16296</v>
      </c>
      <c r="C2270" s="9" t="s">
        <v>16297</v>
      </c>
      <c r="D2270" s="9" t="s">
        <v>631</v>
      </c>
      <c r="E2270" s="9" t="s">
        <v>16298</v>
      </c>
      <c r="F2270" s="10">
        <v>1.514</v>
      </c>
      <c r="G2270" s="10">
        <v>1.665</v>
      </c>
      <c r="H2270" s="10"/>
      <c r="I2270" s="9" t="s">
        <v>45</v>
      </c>
      <c r="J2270" s="9" t="s">
        <v>16299</v>
      </c>
      <c r="K2270" s="9" t="s">
        <v>16300</v>
      </c>
      <c r="L2270" s="8" t="s">
        <v>16301</v>
      </c>
      <c r="M2270" s="9" t="s">
        <v>49</v>
      </c>
      <c r="N2270" s="9" t="s">
        <v>9072</v>
      </c>
      <c r="O2270" s="9">
        <f>HYPERLINK("https://www.google.com/maps/search/?api=1&amp;query=37.58763009,-4.74249398", "https://www.google.com/maps/search/?api=1&amp;query=37.58763009,-4.74249398")</f>
      </c>
      <c r="P2270" s="9" t="s">
        <v>2727</v>
      </c>
      <c r="Q2270" s="9" t="s">
        <v>16302</v>
      </c>
    </row>
    <row r="2271" spans="1:17" x14ac:dyDescent="0.25">
      <c r="A2271" s="8" t="s">
        <v>16303</v>
      </c>
      <c r="B2271" s="8" t="s">
        <v>16304</v>
      </c>
      <c r="C2271" s="9" t="s">
        <v>16305</v>
      </c>
      <c r="D2271" s="9" t="s">
        <v>1483</v>
      </c>
      <c r="E2271" s="9" t="s">
        <v>1483</v>
      </c>
      <c r="F2271" s="10">
        <v>1.514</v>
      </c>
      <c r="G2271" s="10">
        <v>1.665</v>
      </c>
      <c r="H2271" s="10"/>
      <c r="I2271" s="9" t="s">
        <v>74</v>
      </c>
      <c r="J2271" s="9" t="s">
        <v>16306</v>
      </c>
      <c r="K2271" s="9" t="s">
        <v>16307</v>
      </c>
      <c r="L2271" s="8" t="s">
        <v>16308</v>
      </c>
      <c r="M2271" s="9" t="s">
        <v>49</v>
      </c>
      <c r="N2271" s="9" t="s">
        <v>37</v>
      </c>
      <c r="O2271" s="9">
        <f>HYPERLINK("https://www.google.com/maps/search/?api=1&amp;query=42.33746527,-3.71187853", "https://www.google.com/maps/search/?api=1&amp;query=42.33746527,-3.71187853")</f>
      </c>
      <c r="P2271" s="9" t="s">
        <v>1479</v>
      </c>
      <c r="Q2271" s="9" t="s">
        <v>6634</v>
      </c>
    </row>
    <row r="2272" spans="1:17" x14ac:dyDescent="0.25">
      <c r="A2272" s="8" t="s">
        <v>16309</v>
      </c>
      <c r="B2272" s="8" t="s">
        <v>16310</v>
      </c>
      <c r="C2272" s="9" t="s">
        <v>16311</v>
      </c>
      <c r="D2272" s="9" t="s">
        <v>400</v>
      </c>
      <c r="E2272" s="9" t="s">
        <v>2131</v>
      </c>
      <c r="F2272" s="10">
        <v>1.514</v>
      </c>
      <c r="G2272" s="10">
        <v>1.665</v>
      </c>
      <c r="H2272" s="10"/>
      <c r="I2272" s="9" t="s">
        <v>400</v>
      </c>
      <c r="J2272" s="9" t="s">
        <v>16312</v>
      </c>
      <c r="K2272" s="9" t="s">
        <v>16313</v>
      </c>
      <c r="L2272" s="8" t="s">
        <v>2134</v>
      </c>
      <c r="M2272" s="9" t="s">
        <v>49</v>
      </c>
      <c r="N2272" s="9" t="s">
        <v>88</v>
      </c>
      <c r="O2272" s="9">
        <f>HYPERLINK("https://www.google.com/maps/search/?api=1&amp;query=39.16740409,-0.25883113", "https://www.google.com/maps/search/?api=1&amp;query=39.16740409,-0.25883113")</f>
      </c>
      <c r="P2272" s="9" t="s">
        <v>16314</v>
      </c>
      <c r="Q2272" s="9" t="s">
        <v>1131</v>
      </c>
    </row>
    <row r="2273" spans="1:17" x14ac:dyDescent="0.25">
      <c r="A2273" s="8" t="s">
        <v>16315</v>
      </c>
      <c r="B2273" s="8" t="s">
        <v>16316</v>
      </c>
      <c r="C2273" s="9" t="s">
        <v>16317</v>
      </c>
      <c r="D2273" s="9" t="s">
        <v>409</v>
      </c>
      <c r="E2273" s="9" t="s">
        <v>409</v>
      </c>
      <c r="F2273" s="10">
        <v>1.514</v>
      </c>
      <c r="G2273" s="10">
        <v>1.665</v>
      </c>
      <c r="H2273" s="10"/>
      <c r="I2273" s="9" t="s">
        <v>292</v>
      </c>
      <c r="J2273" s="9" t="s">
        <v>16318</v>
      </c>
      <c r="K2273" s="9" t="s">
        <v>16319</v>
      </c>
      <c r="L2273" s="8" t="s">
        <v>3899</v>
      </c>
      <c r="M2273" s="9" t="s">
        <v>36</v>
      </c>
      <c r="N2273" s="9" t="s">
        <v>37</v>
      </c>
      <c r="O2273" s="9">
        <f>HYPERLINK("https://www.google.com/maps/search/?api=1&amp;query=41.64707769,-0.93504425", "https://www.google.com/maps/search/?api=1&amp;query=41.64707769,-0.93504425")</f>
      </c>
      <c r="P2273" s="9" t="s">
        <v>5708</v>
      </c>
      <c r="Q2273" s="9" t="s">
        <v>1742</v>
      </c>
    </row>
    <row r="2274" spans="1:17" x14ac:dyDescent="0.25">
      <c r="A2274" s="8" t="s">
        <v>16320</v>
      </c>
      <c r="B2274" s="8" t="s">
        <v>16321</v>
      </c>
      <c r="C2274" s="9" t="s">
        <v>16322</v>
      </c>
      <c r="D2274" s="9" t="s">
        <v>1483</v>
      </c>
      <c r="E2274" s="9" t="s">
        <v>16323</v>
      </c>
      <c r="F2274" s="10">
        <v>1.514</v>
      </c>
      <c r="G2274" s="10">
        <v>1.665</v>
      </c>
      <c r="H2274" s="10"/>
      <c r="I2274" s="9" t="s">
        <v>74</v>
      </c>
      <c r="J2274" s="9" t="s">
        <v>16324</v>
      </c>
      <c r="K2274" s="9" t="s">
        <v>16325</v>
      </c>
      <c r="L2274" s="8" t="s">
        <v>16326</v>
      </c>
      <c r="M2274" s="9" t="s">
        <v>36</v>
      </c>
      <c r="N2274" s="9" t="s">
        <v>122</v>
      </c>
      <c r="O2274" s="9">
        <f>HYPERLINK("https://www.google.com/maps/search/?api=1&amp;query=42.41738231,-3.20656762", "https://www.google.com/maps/search/?api=1&amp;query=42.41738231,-3.20656762")</f>
      </c>
      <c r="P2274" s="9" t="s">
        <v>992</v>
      </c>
      <c r="Q2274" s="9" t="s">
        <v>1733</v>
      </c>
    </row>
    <row r="2275" spans="1:17" x14ac:dyDescent="0.25">
      <c r="A2275" s="8" t="s">
        <v>16327</v>
      </c>
      <c r="B2275" s="8" t="s">
        <v>16328</v>
      </c>
      <c r="C2275" s="9" t="s">
        <v>16329</v>
      </c>
      <c r="D2275" s="9" t="s">
        <v>61</v>
      </c>
      <c r="E2275" s="9" t="s">
        <v>16330</v>
      </c>
      <c r="F2275" s="10">
        <v>1.514</v>
      </c>
      <c r="G2275" s="10">
        <v>1.665</v>
      </c>
      <c r="H2275" s="10"/>
      <c r="I2275" s="9" t="s">
        <v>45</v>
      </c>
      <c r="J2275" s="9" t="s">
        <v>16331</v>
      </c>
      <c r="K2275" s="9" t="s">
        <v>16332</v>
      </c>
      <c r="L2275" s="8" t="s">
        <v>16333</v>
      </c>
      <c r="M2275" s="9" t="s">
        <v>49</v>
      </c>
      <c r="N2275" s="9" t="s">
        <v>592</v>
      </c>
      <c r="O2275" s="9">
        <f>HYPERLINK("https://www.google.com/maps/search/?api=1&amp;query=38.0342453,-5.70842585", "https://www.google.com/maps/search/?api=1&amp;query=38.0342453,-5.70842585")</f>
      </c>
      <c r="P2275" s="9" t="s">
        <v>1927</v>
      </c>
      <c r="Q2275" s="9" t="s">
        <v>16334</v>
      </c>
    </row>
    <row r="2276" spans="1:17" x14ac:dyDescent="0.25">
      <c r="A2276" s="8" t="s">
        <v>16335</v>
      </c>
      <c r="B2276" s="8" t="s">
        <v>16336</v>
      </c>
      <c r="C2276" s="9" t="s">
        <v>16337</v>
      </c>
      <c r="D2276" s="9" t="s">
        <v>2288</v>
      </c>
      <c r="E2276" s="9" t="s">
        <v>2288</v>
      </c>
      <c r="F2276" s="10">
        <v>1.514</v>
      </c>
      <c r="G2276" s="10">
        <v>1.665</v>
      </c>
      <c r="H2276" s="10"/>
      <c r="I2276" s="9" t="s">
        <v>168</v>
      </c>
      <c r="J2276" s="9" t="s">
        <v>16338</v>
      </c>
      <c r="K2276" s="9" t="s">
        <v>16339</v>
      </c>
      <c r="L2276" s="8" t="s">
        <v>4931</v>
      </c>
      <c r="M2276" s="9" t="s">
        <v>49</v>
      </c>
      <c r="N2276" s="9" t="s">
        <v>37</v>
      </c>
      <c r="O2276" s="9">
        <f>HYPERLINK("https://www.google.com/maps/search/?api=1&amp;query=38.9947754,-1.87185611", "https://www.google.com/maps/search/?api=1&amp;query=38.9947754,-1.87185611")</f>
      </c>
      <c r="P2276" s="9" t="s">
        <v>7335</v>
      </c>
      <c r="Q2276" s="9" t="s">
        <v>112</v>
      </c>
    </row>
    <row r="2277" spans="1:17" x14ac:dyDescent="0.25">
      <c r="A2277" s="8" t="s">
        <v>16340</v>
      </c>
      <c r="B2277" s="8" t="s">
        <v>16341</v>
      </c>
      <c r="C2277" s="9" t="s">
        <v>16342</v>
      </c>
      <c r="D2277" s="9" t="s">
        <v>187</v>
      </c>
      <c r="E2277" s="9" t="s">
        <v>16343</v>
      </c>
      <c r="F2277" s="10">
        <v>1.514</v>
      </c>
      <c r="G2277" s="10">
        <v>1.665</v>
      </c>
      <c r="H2277" s="10"/>
      <c r="I2277" s="9" t="s">
        <v>74</v>
      </c>
      <c r="J2277" s="9" t="s">
        <v>16344</v>
      </c>
      <c r="K2277" s="9" t="s">
        <v>16345</v>
      </c>
      <c r="L2277" s="8" t="s">
        <v>16346</v>
      </c>
      <c r="M2277" s="9" t="s">
        <v>36</v>
      </c>
      <c r="N2277" s="9" t="s">
        <v>16347</v>
      </c>
      <c r="O2277" s="9">
        <f>HYPERLINK("https://www.google.com/maps/search/?api=1&amp;query=42.57121207,-5.58251237", "https://www.google.com/maps/search/?api=1&amp;query=42.57121207,-5.58251237")</f>
      </c>
      <c r="P2277" s="9" t="s">
        <v>880</v>
      </c>
      <c r="Q2277" s="9" t="s">
        <v>13038</v>
      </c>
    </row>
    <row r="2278" spans="1:17" x14ac:dyDescent="0.25">
      <c r="A2278" s="8" t="s">
        <v>16348</v>
      </c>
      <c r="B2278" s="8" t="s">
        <v>16349</v>
      </c>
      <c r="C2278" s="9" t="s">
        <v>16350</v>
      </c>
      <c r="D2278" s="9" t="s">
        <v>400</v>
      </c>
      <c r="E2278" s="9" t="s">
        <v>16351</v>
      </c>
      <c r="F2278" s="10">
        <v>1.514</v>
      </c>
      <c r="G2278" s="10">
        <v>1.665</v>
      </c>
      <c r="H2278" s="10"/>
      <c r="I2278" s="9" t="s">
        <v>400</v>
      </c>
      <c r="J2278" s="9" t="s">
        <v>16352</v>
      </c>
      <c r="K2278" s="9" t="s">
        <v>16353</v>
      </c>
      <c r="L2278" s="8" t="s">
        <v>16354</v>
      </c>
      <c r="M2278" s="9" t="s">
        <v>36</v>
      </c>
      <c r="N2278" s="9" t="s">
        <v>88</v>
      </c>
      <c r="O2278" s="9">
        <f>HYPERLINK("https://www.google.com/maps/search/?api=1&amp;query=38.89429688,-0.07274698", "https://www.google.com/maps/search/?api=1&amp;query=38.89429688,-0.07274698")</f>
      </c>
      <c r="P2278" s="9" t="s">
        <v>3134</v>
      </c>
      <c r="Q2278" s="9" t="s">
        <v>2175</v>
      </c>
    </row>
    <row r="2279" spans="1:17" x14ac:dyDescent="0.25">
      <c r="A2279" s="8" t="s">
        <v>16355</v>
      </c>
      <c r="B2279" s="8" t="s">
        <v>16356</v>
      </c>
      <c r="C2279" s="9" t="s">
        <v>16357</v>
      </c>
      <c r="D2279" s="9" t="s">
        <v>280</v>
      </c>
      <c r="E2279" s="9" t="s">
        <v>3541</v>
      </c>
      <c r="F2279" s="10">
        <v>1.514</v>
      </c>
      <c r="G2279" s="10">
        <v>1.665</v>
      </c>
      <c r="H2279" s="10"/>
      <c r="I2279" s="9" t="s">
        <v>118</v>
      </c>
      <c r="J2279" s="9" t="s">
        <v>16358</v>
      </c>
      <c r="K2279" s="9" t="s">
        <v>16359</v>
      </c>
      <c r="L2279" s="8" t="s">
        <v>16360</v>
      </c>
      <c r="M2279" s="9" t="s">
        <v>49</v>
      </c>
      <c r="N2279" s="9" t="s">
        <v>645</v>
      </c>
      <c r="O2279" s="9">
        <f>HYPERLINK("https://www.google.com/maps/search/?api=1&amp;query=43.32169786,-1.94386058", "https://www.google.com/maps/search/?api=1&amp;query=43.32169786,-1.94386058")</f>
      </c>
      <c r="P2279" s="9" t="s">
        <v>13481</v>
      </c>
      <c r="Q2279" s="9" t="s">
        <v>6242</v>
      </c>
    </row>
    <row r="2280" spans="1:17" x14ac:dyDescent="0.25">
      <c r="A2280" s="8" t="s">
        <v>16361</v>
      </c>
      <c r="B2280" s="8" t="s">
        <v>16362</v>
      </c>
      <c r="C2280" s="9" t="s">
        <v>8664</v>
      </c>
      <c r="D2280" s="9" t="s">
        <v>94</v>
      </c>
      <c r="E2280" s="9" t="s">
        <v>16363</v>
      </c>
      <c r="F2280" s="10">
        <v>1.514</v>
      </c>
      <c r="G2280" s="10">
        <v>1.665</v>
      </c>
      <c r="H2280" s="10"/>
      <c r="I2280" s="9" t="s">
        <v>96</v>
      </c>
      <c r="J2280" s="9" t="s">
        <v>16364</v>
      </c>
      <c r="K2280" s="9" t="s">
        <v>16365</v>
      </c>
      <c r="L2280" s="8" t="s">
        <v>16366</v>
      </c>
      <c r="M2280" s="9" t="s">
        <v>36</v>
      </c>
      <c r="N2280" s="9" t="s">
        <v>122</v>
      </c>
      <c r="O2280" s="9">
        <f>HYPERLINK("https://www.google.com/maps/search/?api=1&amp;query=41.60551723,1.84948277", "https://www.google.com/maps/search/?api=1&amp;query=41.60551723,1.84948277")</f>
      </c>
      <c r="P2280" s="9" t="s">
        <v>7657</v>
      </c>
      <c r="Q2280" s="9" t="s">
        <v>4404</v>
      </c>
    </row>
    <row r="2281" spans="1:17" x14ac:dyDescent="0.25">
      <c r="A2281" s="8" t="s">
        <v>16367</v>
      </c>
      <c r="B2281" s="8" t="s">
        <v>16368</v>
      </c>
      <c r="C2281" s="9" t="s">
        <v>16369</v>
      </c>
      <c r="D2281" s="9" t="s">
        <v>577</v>
      </c>
      <c r="E2281" s="9" t="s">
        <v>16370</v>
      </c>
      <c r="F2281" s="10">
        <v>1.514</v>
      </c>
      <c r="G2281" s="10">
        <v>1.665</v>
      </c>
      <c r="H2281" s="10"/>
      <c r="I2281" s="9" t="s">
        <v>74</v>
      </c>
      <c r="J2281" s="9" t="s">
        <v>16371</v>
      </c>
      <c r="K2281" s="9" t="s">
        <v>16372</v>
      </c>
      <c r="L2281" s="8" t="s">
        <v>16373</v>
      </c>
      <c r="M2281" s="9" t="s">
        <v>100</v>
      </c>
      <c r="N2281" s="9" t="s">
        <v>211</v>
      </c>
      <c r="O2281" s="9">
        <f>HYPERLINK("https://www.google.com/maps/search/?api=1&amp;query=41.04234603,-4.84918133", "https://www.google.com/maps/search/?api=1&amp;query=41.04234603,-4.84918133")</f>
      </c>
      <c r="P2281" s="9" t="s">
        <v>16374</v>
      </c>
      <c r="Q2281" s="9" t="s">
        <v>16375</v>
      </c>
    </row>
    <row r="2282" spans="1:17" x14ac:dyDescent="0.25">
      <c r="A2282" s="8" t="s">
        <v>16376</v>
      </c>
      <c r="B2282" s="8" t="s">
        <v>16377</v>
      </c>
      <c r="C2282" s="9" t="s">
        <v>16378</v>
      </c>
      <c r="D2282" s="9" t="s">
        <v>1282</v>
      </c>
      <c r="E2282" s="9" t="s">
        <v>11012</v>
      </c>
      <c r="F2282" s="10">
        <v>1.514</v>
      </c>
      <c r="G2282" s="10">
        <v>1.665</v>
      </c>
      <c r="H2282" s="10"/>
      <c r="I2282" s="9" t="s">
        <v>45</v>
      </c>
      <c r="J2282" s="9" t="s">
        <v>16379</v>
      </c>
      <c r="K2282" s="9" t="s">
        <v>16380</v>
      </c>
      <c r="L2282" s="8" t="s">
        <v>11015</v>
      </c>
      <c r="M2282" s="9" t="s">
        <v>49</v>
      </c>
      <c r="N2282" s="9" t="s">
        <v>645</v>
      </c>
      <c r="O2282" s="9">
        <f>HYPERLINK("https://www.google.com/maps/search/?api=1&amp;query=36.75441464,-3.52261769", "https://www.google.com/maps/search/?api=1&amp;query=36.75441464,-3.52261769")</f>
      </c>
      <c r="P2282" s="9" t="s">
        <v>1203</v>
      </c>
      <c r="Q2282" s="9" t="s">
        <v>10247</v>
      </c>
    </row>
    <row r="2283" spans="1:17" x14ac:dyDescent="0.25">
      <c r="A2283" s="8" t="s">
        <v>16381</v>
      </c>
      <c r="B2283" s="8" t="s">
        <v>16382</v>
      </c>
      <c r="C2283" s="9" t="s">
        <v>16383</v>
      </c>
      <c r="D2283" s="9" t="s">
        <v>488</v>
      </c>
      <c r="E2283" s="9" t="s">
        <v>16384</v>
      </c>
      <c r="F2283" s="10">
        <v>1.514</v>
      </c>
      <c r="G2283" s="10">
        <v>1.665</v>
      </c>
      <c r="H2283" s="10"/>
      <c r="I2283" s="9" t="s">
        <v>45</v>
      </c>
      <c r="J2283" s="9" t="s">
        <v>16385</v>
      </c>
      <c r="K2283" s="9" t="s">
        <v>16386</v>
      </c>
      <c r="L2283" s="8" t="s">
        <v>16387</v>
      </c>
      <c r="M2283" s="9" t="s">
        <v>36</v>
      </c>
      <c r="N2283" s="9" t="s">
        <v>7288</v>
      </c>
      <c r="O2283" s="9">
        <f>HYPERLINK("https://www.google.com/maps/search/?api=1&amp;query=37.70009321,-2.93399334", "https://www.google.com/maps/search/?api=1&amp;query=37.70009321,-2.93399334")</f>
      </c>
      <c r="P2283" s="9" t="s">
        <v>10950</v>
      </c>
      <c r="Q2283" s="9" t="s">
        <v>14408</v>
      </c>
    </row>
    <row r="2284" spans="1:17" x14ac:dyDescent="0.25">
      <c r="A2284" s="8" t="s">
        <v>16388</v>
      </c>
      <c r="B2284" s="8" t="s">
        <v>16389</v>
      </c>
      <c r="C2284" s="9" t="s">
        <v>16390</v>
      </c>
      <c r="D2284" s="9" t="s">
        <v>106</v>
      </c>
      <c r="E2284" s="9" t="s">
        <v>16391</v>
      </c>
      <c r="F2284" s="10">
        <v>1.514</v>
      </c>
      <c r="G2284" s="10">
        <v>1.665</v>
      </c>
      <c r="H2284" s="10"/>
      <c r="I2284" s="9" t="s">
        <v>106</v>
      </c>
      <c r="J2284" s="9" t="s">
        <v>16392</v>
      </c>
      <c r="K2284" s="9" t="s">
        <v>16393</v>
      </c>
      <c r="L2284" s="8" t="s">
        <v>16394</v>
      </c>
      <c r="M2284" s="9" t="s">
        <v>36</v>
      </c>
      <c r="N2284" s="9" t="s">
        <v>7222</v>
      </c>
      <c r="O2284" s="9">
        <f>HYPERLINK("https://www.google.com/maps/search/?api=1&amp;query=38.08489499,-1.27511219", "https://www.google.com/maps/search/?api=1&amp;query=38.08489499,-1.27511219")</f>
      </c>
      <c r="P2284" s="9" t="s">
        <v>12610</v>
      </c>
      <c r="Q2284" s="9" t="s">
        <v>2998</v>
      </c>
    </row>
    <row r="2285" spans="1:17" x14ac:dyDescent="0.25">
      <c r="A2285" s="8" t="s">
        <v>16395</v>
      </c>
      <c r="B2285" s="8" t="s">
        <v>16396</v>
      </c>
      <c r="C2285" s="9" t="s">
        <v>16397</v>
      </c>
      <c r="D2285" s="9" t="s">
        <v>226</v>
      </c>
      <c r="E2285" s="9" t="s">
        <v>16398</v>
      </c>
      <c r="F2285" s="10">
        <v>1.514</v>
      </c>
      <c r="G2285" s="10">
        <v>1.665</v>
      </c>
      <c r="H2285" s="10"/>
      <c r="I2285" s="9" t="s">
        <v>168</v>
      </c>
      <c r="J2285" s="9" t="s">
        <v>16399</v>
      </c>
      <c r="K2285" s="9" t="s">
        <v>16400</v>
      </c>
      <c r="L2285" s="8" t="s">
        <v>16401</v>
      </c>
      <c r="M2285" s="9" t="s">
        <v>49</v>
      </c>
      <c r="N2285" s="9" t="s">
        <v>66</v>
      </c>
      <c r="O2285" s="9">
        <f>HYPERLINK("https://www.google.com/maps/search/?api=1&amp;query=39.44026917,-1.74363529", "https://www.google.com/maps/search/?api=1&amp;query=39.44026917,-1.74363529")</f>
      </c>
      <c r="P2285" s="9" t="s">
        <v>880</v>
      </c>
      <c r="Q2285" s="9" t="s">
        <v>5645</v>
      </c>
    </row>
    <row r="2286" spans="1:17" x14ac:dyDescent="0.25">
      <c r="A2286" s="8" t="s">
        <v>16402</v>
      </c>
      <c r="B2286" s="8" t="s">
        <v>16403</v>
      </c>
      <c r="C2286" s="9" t="s">
        <v>16404</v>
      </c>
      <c r="D2286" s="9" t="s">
        <v>106</v>
      </c>
      <c r="E2286" s="9" t="s">
        <v>16405</v>
      </c>
      <c r="F2286" s="10">
        <v>1.514</v>
      </c>
      <c r="G2286" s="10">
        <v>1.665</v>
      </c>
      <c r="H2286" s="10"/>
      <c r="I2286" s="9" t="s">
        <v>106</v>
      </c>
      <c r="J2286" s="9" t="s">
        <v>16406</v>
      </c>
      <c r="K2286" s="9" t="s">
        <v>16407</v>
      </c>
      <c r="L2286" s="8" t="s">
        <v>16408</v>
      </c>
      <c r="M2286" s="9" t="s">
        <v>49</v>
      </c>
      <c r="N2286" s="9" t="s">
        <v>645</v>
      </c>
      <c r="O2286" s="9">
        <f>HYPERLINK("https://www.google.com/maps/search/?api=1&amp;query=37.96778111,-1.15852106", "https://www.google.com/maps/search/?api=1&amp;query=37.96778111,-1.15852106")</f>
      </c>
      <c r="P2286" s="9" t="s">
        <v>3165</v>
      </c>
      <c r="Q2286" s="9" t="s">
        <v>2554</v>
      </c>
    </row>
    <row r="2287" spans="1:17" x14ac:dyDescent="0.25">
      <c r="A2287" s="8" t="s">
        <v>16409</v>
      </c>
      <c r="B2287" s="8" t="s">
        <v>16410</v>
      </c>
      <c r="C2287" s="9" t="s">
        <v>16411</v>
      </c>
      <c r="D2287" s="9" t="s">
        <v>30</v>
      </c>
      <c r="E2287" s="9" t="s">
        <v>1969</v>
      </c>
      <c r="F2287" s="10">
        <v>1.514</v>
      </c>
      <c r="G2287" s="10">
        <v>1.665</v>
      </c>
      <c r="H2287" s="10"/>
      <c r="I2287" s="9" t="s">
        <v>32</v>
      </c>
      <c r="J2287" s="9" t="s">
        <v>16412</v>
      </c>
      <c r="K2287" s="9" t="s">
        <v>16413</v>
      </c>
      <c r="L2287" s="8" t="s">
        <v>1972</v>
      </c>
      <c r="M2287" s="9" t="s">
        <v>100</v>
      </c>
      <c r="N2287" s="9" t="s">
        <v>88</v>
      </c>
      <c r="O2287" s="9">
        <f>HYPERLINK("https://www.google.com/maps/search/?api=1&amp;query=38.92665262,-6.32232908", "https://www.google.com/maps/search/?api=1&amp;query=38.92665262,-6.32232908")</f>
      </c>
      <c r="P2287" s="9" t="s">
        <v>5708</v>
      </c>
      <c r="Q2287" s="9" t="s">
        <v>11396</v>
      </c>
    </row>
    <row r="2288" spans="1:17" x14ac:dyDescent="0.25">
      <c r="A2288" s="8" t="s">
        <v>16414</v>
      </c>
      <c r="B2288" s="8" t="s">
        <v>16415</v>
      </c>
      <c r="C2288" s="9" t="s">
        <v>16416</v>
      </c>
      <c r="D2288" s="9" t="s">
        <v>197</v>
      </c>
      <c r="E2288" s="9" t="s">
        <v>16417</v>
      </c>
      <c r="F2288" s="10">
        <v>1.514</v>
      </c>
      <c r="G2288" s="10">
        <v>1.665</v>
      </c>
      <c r="H2288" s="10"/>
      <c r="I2288" s="9" t="s">
        <v>168</v>
      </c>
      <c r="J2288" s="9" t="s">
        <v>16418</v>
      </c>
      <c r="K2288" s="9" t="s">
        <v>16419</v>
      </c>
      <c r="L2288" s="8" t="s">
        <v>16420</v>
      </c>
      <c r="M2288" s="9" t="s">
        <v>49</v>
      </c>
      <c r="N2288" s="9" t="s">
        <v>37</v>
      </c>
      <c r="O2288" s="9">
        <f>HYPERLINK("https://www.google.com/maps/search/?api=1&amp;query=39.59426096,-3.08120239", "https://www.google.com/maps/search/?api=1&amp;query=39.59426096,-3.08120239")</f>
      </c>
      <c r="P2288" s="9" t="s">
        <v>7991</v>
      </c>
      <c r="Q2288" s="9" t="s">
        <v>4404</v>
      </c>
    </row>
    <row r="2289" spans="1:17" x14ac:dyDescent="0.25">
      <c r="A2289" s="8" t="s">
        <v>16421</v>
      </c>
      <c r="B2289" s="8" t="s">
        <v>16422</v>
      </c>
      <c r="C2289" s="9" t="s">
        <v>7378</v>
      </c>
      <c r="D2289" s="9" t="s">
        <v>116</v>
      </c>
      <c r="E2289" s="9" t="s">
        <v>3230</v>
      </c>
      <c r="F2289" s="10">
        <v>1.514</v>
      </c>
      <c r="G2289" s="10">
        <v>1.665</v>
      </c>
      <c r="H2289" s="10"/>
      <c r="I2289" s="9" t="s">
        <v>118</v>
      </c>
      <c r="J2289" s="9" t="s">
        <v>16423</v>
      </c>
      <c r="K2289" s="9" t="s">
        <v>16424</v>
      </c>
      <c r="L2289" s="8" t="s">
        <v>3233</v>
      </c>
      <c r="M2289" s="9" t="s">
        <v>49</v>
      </c>
      <c r="N2289" s="9" t="s">
        <v>3034</v>
      </c>
      <c r="O2289" s="9">
        <f>HYPERLINK("https://www.google.com/maps/search/?api=1&amp;query=43.29097736,-2.95989824", "https://www.google.com/maps/search/?api=1&amp;query=43.29097736,-2.95989824")</f>
      </c>
      <c r="P2289" s="9" t="s">
        <v>4492</v>
      </c>
      <c r="Q2289" s="9" t="s">
        <v>2669</v>
      </c>
    </row>
    <row r="2290" spans="1:17" x14ac:dyDescent="0.25">
      <c r="A2290" s="8" t="s">
        <v>16425</v>
      </c>
      <c r="B2290" s="8" t="s">
        <v>16426</v>
      </c>
      <c r="C2290" s="9" t="s">
        <v>16427</v>
      </c>
      <c r="D2290" s="9" t="s">
        <v>83</v>
      </c>
      <c r="E2290" s="9" t="s">
        <v>16428</v>
      </c>
      <c r="F2290" s="10">
        <v>1.514</v>
      </c>
      <c r="G2290" s="10">
        <v>1.665</v>
      </c>
      <c r="H2290" s="10"/>
      <c r="I2290" s="9" t="s">
        <v>83</v>
      </c>
      <c r="J2290" s="9" t="s">
        <v>16429</v>
      </c>
      <c r="K2290" s="9" t="s">
        <v>16430</v>
      </c>
      <c r="L2290" s="8" t="s">
        <v>16431</v>
      </c>
      <c r="M2290" s="9" t="s">
        <v>36</v>
      </c>
      <c r="N2290" s="9" t="s">
        <v>37</v>
      </c>
      <c r="O2290" s="9">
        <f>HYPERLINK("https://www.google.com/maps/search/?api=1&amp;query=40.48496986,-3.97487128", "https://www.google.com/maps/search/?api=1&amp;query=40.48496986,-3.97487128")</f>
      </c>
      <c r="P2290" s="9" t="s">
        <v>2442</v>
      </c>
      <c r="Q2290" s="9" t="s">
        <v>5091</v>
      </c>
    </row>
    <row r="2291" spans="1:17" x14ac:dyDescent="0.25">
      <c r="A2291" s="8" t="s">
        <v>16432</v>
      </c>
      <c r="B2291" s="8" t="s">
        <v>16433</v>
      </c>
      <c r="C2291" s="9" t="s">
        <v>16434</v>
      </c>
      <c r="D2291" s="9" t="s">
        <v>1617</v>
      </c>
      <c r="E2291" s="9" t="s">
        <v>16435</v>
      </c>
      <c r="F2291" s="10">
        <v>1.514</v>
      </c>
      <c r="G2291" s="10">
        <v>1.665</v>
      </c>
      <c r="H2291" s="10"/>
      <c r="I2291" s="9" t="s">
        <v>292</v>
      </c>
      <c r="J2291" s="9" t="s">
        <v>16436</v>
      </c>
      <c r="K2291" s="9" t="s">
        <v>16437</v>
      </c>
      <c r="L2291" s="8" t="s">
        <v>16438</v>
      </c>
      <c r="M2291" s="9" t="s">
        <v>36</v>
      </c>
      <c r="N2291" s="9" t="s">
        <v>16439</v>
      </c>
      <c r="O2291" s="9">
        <f>HYPERLINK("https://www.google.com/maps/search/?api=1&amp;query=41.93959803,-0.36936116", "https://www.google.com/maps/search/?api=1&amp;query=41.93959803,-0.36936116")</f>
      </c>
      <c r="P2291" s="9" t="s">
        <v>493</v>
      </c>
      <c r="Q2291" s="9" t="s">
        <v>1131</v>
      </c>
    </row>
    <row r="2292" spans="1:17" x14ac:dyDescent="0.25">
      <c r="A2292" s="8" t="s">
        <v>16440</v>
      </c>
      <c r="B2292" s="8" t="s">
        <v>16441</v>
      </c>
      <c r="C2292" s="9" t="s">
        <v>16442</v>
      </c>
      <c r="D2292" s="9" t="s">
        <v>253</v>
      </c>
      <c r="E2292" s="9" t="s">
        <v>16443</v>
      </c>
      <c r="F2292" s="10">
        <v>1.514</v>
      </c>
      <c r="G2292" s="10">
        <v>1.665</v>
      </c>
      <c r="H2292" s="10"/>
      <c r="I2292" s="9" t="s">
        <v>96</v>
      </c>
      <c r="J2292" s="9" t="s">
        <v>16444</v>
      </c>
      <c r="K2292" s="9" t="s">
        <v>16445</v>
      </c>
      <c r="L2292" s="8" t="s">
        <v>16446</v>
      </c>
      <c r="M2292" s="9" t="s">
        <v>49</v>
      </c>
      <c r="N2292" s="9" t="s">
        <v>16447</v>
      </c>
      <c r="O2292" s="9">
        <f>HYPERLINK("https://www.google.com/maps/search/?api=1&amp;query=41.31244385,0.98688007", "https://www.google.com/maps/search/?api=1&amp;query=41.31244385,0.98688007")</f>
      </c>
      <c r="P2292" s="9" t="s">
        <v>1423</v>
      </c>
      <c r="Q2292" s="9" t="s">
        <v>16448</v>
      </c>
    </row>
    <row r="2293" spans="1:17" x14ac:dyDescent="0.25">
      <c r="A2293" s="8" t="s">
        <v>16449</v>
      </c>
      <c r="B2293" s="8" t="s">
        <v>16450</v>
      </c>
      <c r="C2293" s="9" t="s">
        <v>16451</v>
      </c>
      <c r="D2293" s="9" t="s">
        <v>61</v>
      </c>
      <c r="E2293" s="9" t="s">
        <v>16452</v>
      </c>
      <c r="F2293" s="10">
        <v>1.514</v>
      </c>
      <c r="G2293" s="10">
        <v>1.665</v>
      </c>
      <c r="H2293" s="10"/>
      <c r="I2293" s="9" t="s">
        <v>45</v>
      </c>
      <c r="J2293" s="9" t="s">
        <v>16453</v>
      </c>
      <c r="K2293" s="9" t="s">
        <v>16454</v>
      </c>
      <c r="L2293" s="8" t="s">
        <v>16455</v>
      </c>
      <c r="M2293" s="9" t="s">
        <v>36</v>
      </c>
      <c r="N2293" s="9" t="s">
        <v>16456</v>
      </c>
      <c r="O2293" s="9">
        <f>HYPERLINK("https://www.google.com/maps/search/?api=1&amp;query=37.58953897,-5.73086593", "https://www.google.com/maps/search/?api=1&amp;query=37.58953897,-5.73086593")</f>
      </c>
      <c r="P2293" s="9" t="s">
        <v>1803</v>
      </c>
      <c r="Q2293" s="9" t="s">
        <v>1131</v>
      </c>
    </row>
    <row r="2294" spans="1:17" x14ac:dyDescent="0.25">
      <c r="A2294" s="8" t="s">
        <v>16457</v>
      </c>
      <c r="B2294" s="8" t="s">
        <v>16458</v>
      </c>
      <c r="C2294" s="9" t="s">
        <v>16459</v>
      </c>
      <c r="D2294" s="9" t="s">
        <v>106</v>
      </c>
      <c r="E2294" s="9" t="s">
        <v>3623</v>
      </c>
      <c r="F2294" s="10">
        <v>1.514</v>
      </c>
      <c r="G2294" s="10">
        <v>1.665</v>
      </c>
      <c r="H2294" s="10"/>
      <c r="I2294" s="9" t="s">
        <v>106</v>
      </c>
      <c r="J2294" s="9" t="s">
        <v>16460</v>
      </c>
      <c r="K2294" s="9" t="s">
        <v>16461</v>
      </c>
      <c r="L2294" s="8" t="s">
        <v>3626</v>
      </c>
      <c r="M2294" s="9" t="s">
        <v>36</v>
      </c>
      <c r="N2294" s="9" t="s">
        <v>16462</v>
      </c>
      <c r="O2294" s="9">
        <f>HYPERLINK("https://www.google.com/maps/search/?api=1&amp;query=38.61881172,-1.04683904", "https://www.google.com/maps/search/?api=1&amp;query=38.61881172,-1.04683904")</f>
      </c>
      <c r="P2294" s="9" t="s">
        <v>3400</v>
      </c>
      <c r="Q2294" s="9" t="s">
        <v>754</v>
      </c>
    </row>
    <row r="2295" spans="1:17" x14ac:dyDescent="0.25">
      <c r="A2295" s="8" t="s">
        <v>16463</v>
      </c>
      <c r="B2295" s="8" t="s">
        <v>16464</v>
      </c>
      <c r="C2295" s="9" t="s">
        <v>16465</v>
      </c>
      <c r="D2295" s="9" t="s">
        <v>83</v>
      </c>
      <c r="E2295" s="9" t="s">
        <v>83</v>
      </c>
      <c r="F2295" s="10">
        <v>1.514</v>
      </c>
      <c r="G2295" s="10">
        <v>1.665</v>
      </c>
      <c r="H2295" s="10"/>
      <c r="I2295" s="9" t="s">
        <v>83</v>
      </c>
      <c r="J2295" s="9" t="s">
        <v>16466</v>
      </c>
      <c r="K2295" s="9" t="s">
        <v>16467</v>
      </c>
      <c r="L2295" s="8" t="s">
        <v>2313</v>
      </c>
      <c r="M2295" s="9" t="s">
        <v>49</v>
      </c>
      <c r="N2295" s="9" t="s">
        <v>12417</v>
      </c>
      <c r="O2295" s="9">
        <f>HYPERLINK("https://www.google.com/maps/search/?api=1&amp;query=40.47264792,-3.67552207", "https://www.google.com/maps/search/?api=1&amp;query=40.47264792,-3.67552207")</f>
      </c>
      <c r="P2295" s="9" t="s">
        <v>1250</v>
      </c>
      <c r="Q2295" s="9" t="s">
        <v>1131</v>
      </c>
    </row>
    <row r="2296" spans="1:17" x14ac:dyDescent="0.25">
      <c r="A2296" s="8" t="s">
        <v>16468</v>
      </c>
      <c r="B2296" s="8" t="s">
        <v>16469</v>
      </c>
      <c r="C2296" s="9" t="s">
        <v>8260</v>
      </c>
      <c r="D2296" s="9" t="s">
        <v>344</v>
      </c>
      <c r="E2296" s="9" t="s">
        <v>16470</v>
      </c>
      <c r="F2296" s="10">
        <v>1.514</v>
      </c>
      <c r="G2296" s="10">
        <v>1.665</v>
      </c>
      <c r="H2296" s="10"/>
      <c r="I2296" s="9" t="s">
        <v>140</v>
      </c>
      <c r="J2296" s="9" t="s">
        <v>16471</v>
      </c>
      <c r="K2296" s="9" t="s">
        <v>16472</v>
      </c>
      <c r="L2296" s="8" t="s">
        <v>13373</v>
      </c>
      <c r="M2296" s="9" t="s">
        <v>36</v>
      </c>
      <c r="N2296" s="9" t="s">
        <v>211</v>
      </c>
      <c r="O2296" s="9">
        <f>HYPERLINK("https://www.google.com/maps/search/?api=1&amp;query=43.5163061,-8.15841721", "https://www.google.com/maps/search/?api=1&amp;query=43.5163061,-8.15841721")</f>
      </c>
      <c r="P2296" s="9" t="s">
        <v>1139</v>
      </c>
      <c r="Q2296" s="9" t="s">
        <v>1131</v>
      </c>
    </row>
    <row r="2297" spans="1:17" x14ac:dyDescent="0.25">
      <c r="A2297" s="8" t="s">
        <v>16473</v>
      </c>
      <c r="B2297" s="8" t="s">
        <v>16474</v>
      </c>
      <c r="C2297" s="9" t="s">
        <v>16475</v>
      </c>
      <c r="D2297" s="9" t="s">
        <v>808</v>
      </c>
      <c r="E2297" s="9" t="s">
        <v>16476</v>
      </c>
      <c r="F2297" s="10">
        <v>1.514</v>
      </c>
      <c r="G2297" s="10">
        <v>1.665</v>
      </c>
      <c r="H2297" s="10"/>
      <c r="I2297" s="9" t="s">
        <v>808</v>
      </c>
      <c r="J2297" s="9" t="s">
        <v>16477</v>
      </c>
      <c r="K2297" s="9" t="s">
        <v>16478</v>
      </c>
      <c r="L2297" s="8" t="s">
        <v>16479</v>
      </c>
      <c r="M2297" s="9" t="s">
        <v>49</v>
      </c>
      <c r="N2297" s="9" t="s">
        <v>1719</v>
      </c>
      <c r="O2297" s="9">
        <f>HYPERLINK("https://www.google.com/maps/search/?api=1&amp;query=43.36867902,-4.08933921", "https://www.google.com/maps/search/?api=1&amp;query=43.36867902,-4.08933921")</f>
      </c>
      <c r="P2297" s="9" t="s">
        <v>15919</v>
      </c>
      <c r="Q2297" s="9" t="s">
        <v>11278</v>
      </c>
    </row>
    <row r="2298" spans="1:17" x14ac:dyDescent="0.25">
      <c r="A2298" s="8" t="s">
        <v>16480</v>
      </c>
      <c r="B2298" s="8" t="s">
        <v>16481</v>
      </c>
      <c r="C2298" s="9" t="s">
        <v>16482</v>
      </c>
      <c r="D2298" s="9" t="s">
        <v>94</v>
      </c>
      <c r="E2298" s="9" t="s">
        <v>236</v>
      </c>
      <c r="F2298" s="10">
        <v>1.514</v>
      </c>
      <c r="G2298" s="10">
        <v>1.665</v>
      </c>
      <c r="H2298" s="10"/>
      <c r="I2298" s="9" t="s">
        <v>96</v>
      </c>
      <c r="J2298" s="9" t="s">
        <v>16483</v>
      </c>
      <c r="K2298" s="9" t="s">
        <v>16484</v>
      </c>
      <c r="L2298" s="8" t="s">
        <v>239</v>
      </c>
      <c r="M2298" s="9" t="s">
        <v>49</v>
      </c>
      <c r="N2298" s="9" t="s">
        <v>37</v>
      </c>
      <c r="O2298" s="9">
        <f>HYPERLINK("https://www.google.com/maps/search/?api=1&amp;query=41.2237632,1.6766499", "https://www.google.com/maps/search/?api=1&amp;query=41.2237632,1.6766499")</f>
      </c>
      <c r="P2298" s="9" t="s">
        <v>1250</v>
      </c>
      <c r="Q2298" s="9" t="s">
        <v>1162</v>
      </c>
    </row>
    <row r="2299" spans="1:17" x14ac:dyDescent="0.25">
      <c r="A2299" s="8" t="s">
        <v>16485</v>
      </c>
      <c r="B2299" s="8" t="s">
        <v>16486</v>
      </c>
      <c r="C2299" s="9" t="s">
        <v>16487</v>
      </c>
      <c r="D2299" s="9" t="s">
        <v>631</v>
      </c>
      <c r="E2299" s="9" t="s">
        <v>16488</v>
      </c>
      <c r="F2299" s="10">
        <v>1.514</v>
      </c>
      <c r="G2299" s="10">
        <v>1.665</v>
      </c>
      <c r="H2299" s="10"/>
      <c r="I2299" s="9" t="s">
        <v>45</v>
      </c>
      <c r="J2299" s="9" t="s">
        <v>16489</v>
      </c>
      <c r="K2299" s="9" t="s">
        <v>16490</v>
      </c>
      <c r="L2299" s="8" t="s">
        <v>16491</v>
      </c>
      <c r="M2299" s="9" t="s">
        <v>49</v>
      </c>
      <c r="N2299" s="9" t="s">
        <v>10282</v>
      </c>
      <c r="O2299" s="9">
        <f>HYPERLINK("https://www.google.com/maps/search/?api=1&amp;query=37.69134883,-4.48607186", "https://www.google.com/maps/search/?api=1&amp;query=37.69134883,-4.48607186")</f>
      </c>
      <c r="P2299" s="9" t="s">
        <v>11083</v>
      </c>
      <c r="Q2299" s="9" t="s">
        <v>112</v>
      </c>
    </row>
    <row r="2300" spans="1:17" x14ac:dyDescent="0.25">
      <c r="A2300" s="8" t="s">
        <v>16492</v>
      </c>
      <c r="B2300" s="8" t="s">
        <v>16493</v>
      </c>
      <c r="C2300" s="9" t="s">
        <v>16494</v>
      </c>
      <c r="D2300" s="9" t="s">
        <v>2288</v>
      </c>
      <c r="E2300" s="9" t="s">
        <v>16495</v>
      </c>
      <c r="F2300" s="10">
        <v>1.514</v>
      </c>
      <c r="G2300" s="10">
        <v>1.665</v>
      </c>
      <c r="H2300" s="10"/>
      <c r="I2300" s="9" t="s">
        <v>168</v>
      </c>
      <c r="J2300" s="9" t="s">
        <v>16496</v>
      </c>
      <c r="K2300" s="9" t="s">
        <v>16497</v>
      </c>
      <c r="L2300" s="8" t="s">
        <v>16498</v>
      </c>
      <c r="M2300" s="9" t="s">
        <v>36</v>
      </c>
      <c r="N2300" s="9" t="s">
        <v>1695</v>
      </c>
      <c r="O2300" s="9">
        <f>HYPERLINK("https://www.google.com/maps/search/?api=1&amp;query=38.62285753,-1.49760397", "https://www.google.com/maps/search/?api=1&amp;query=38.62285753,-1.49760397")</f>
      </c>
      <c r="P2300" s="9" t="s">
        <v>16499</v>
      </c>
      <c r="Q2300" s="9" t="s">
        <v>9506</v>
      </c>
    </row>
    <row r="2301" spans="1:17" x14ac:dyDescent="0.25">
      <c r="A2301" s="8" t="s">
        <v>16500</v>
      </c>
      <c r="B2301" s="8" t="s">
        <v>16501</v>
      </c>
      <c r="C2301" s="9" t="s">
        <v>16502</v>
      </c>
      <c r="D2301" s="9" t="s">
        <v>30</v>
      </c>
      <c r="E2301" s="9" t="s">
        <v>16503</v>
      </c>
      <c r="F2301" s="10">
        <v>1.514</v>
      </c>
      <c r="G2301" s="10">
        <v>1.665</v>
      </c>
      <c r="H2301" s="10"/>
      <c r="I2301" s="9" t="s">
        <v>32</v>
      </c>
      <c r="J2301" s="9" t="s">
        <v>16504</v>
      </c>
      <c r="K2301" s="9" t="s">
        <v>16505</v>
      </c>
      <c r="L2301" s="8" t="s">
        <v>16506</v>
      </c>
      <c r="M2301" s="9" t="s">
        <v>36</v>
      </c>
      <c r="N2301" s="9" t="s">
        <v>16507</v>
      </c>
      <c r="O2301" s="9">
        <f>HYPERLINK("https://www.google.com/maps/search/?api=1&amp;query=38.28291101,-6.91546512", "https://www.google.com/maps/search/?api=1&amp;query=38.28291101,-6.91546512")</f>
      </c>
      <c r="P2301" s="9" t="s">
        <v>1439</v>
      </c>
      <c r="Q2301" s="9" t="s">
        <v>1131</v>
      </c>
    </row>
    <row r="2302" spans="1:17" x14ac:dyDescent="0.25">
      <c r="A2302" s="8" t="s">
        <v>16508</v>
      </c>
      <c r="B2302" s="8" t="s">
        <v>16509</v>
      </c>
      <c r="C2302" s="9" t="s">
        <v>16510</v>
      </c>
      <c r="D2302" s="9" t="s">
        <v>197</v>
      </c>
      <c r="E2302" s="9" t="s">
        <v>16511</v>
      </c>
      <c r="F2302" s="10">
        <v>1.514</v>
      </c>
      <c r="G2302" s="10">
        <v>1.665</v>
      </c>
      <c r="H2302" s="10"/>
      <c r="I2302" s="9" t="s">
        <v>168</v>
      </c>
      <c r="J2302" s="9" t="s">
        <v>16512</v>
      </c>
      <c r="K2302" s="9" t="s">
        <v>16513</v>
      </c>
      <c r="L2302" s="8" t="s">
        <v>16514</v>
      </c>
      <c r="M2302" s="9" t="s">
        <v>49</v>
      </c>
      <c r="N2302" s="9" t="s">
        <v>88</v>
      </c>
      <c r="O2302" s="9">
        <f>HYPERLINK("https://www.google.com/maps/search/?api=1&amp;query=39.90395529,-3.62037038", "https://www.google.com/maps/search/?api=1&amp;query=39.90395529,-3.62037038")</f>
      </c>
      <c r="P2302" s="9" t="s">
        <v>646</v>
      </c>
      <c r="Q2302" s="9" t="s">
        <v>16515</v>
      </c>
    </row>
    <row r="2303" spans="1:17" x14ac:dyDescent="0.25">
      <c r="A2303" s="8" t="s">
        <v>16516</v>
      </c>
      <c r="B2303" s="8" t="s">
        <v>16517</v>
      </c>
      <c r="C2303" s="9" t="s">
        <v>16518</v>
      </c>
      <c r="D2303" s="9" t="s">
        <v>83</v>
      </c>
      <c r="E2303" s="9" t="s">
        <v>11500</v>
      </c>
      <c r="F2303" s="10">
        <v>1.514</v>
      </c>
      <c r="G2303" s="10">
        <v>1.665</v>
      </c>
      <c r="H2303" s="10"/>
      <c r="I2303" s="9" t="s">
        <v>83</v>
      </c>
      <c r="J2303" s="9" t="s">
        <v>16519</v>
      </c>
      <c r="K2303" s="9" t="s">
        <v>16520</v>
      </c>
      <c r="L2303" s="8" t="s">
        <v>11503</v>
      </c>
      <c r="M2303" s="9" t="s">
        <v>49</v>
      </c>
      <c r="N2303" s="9" t="s">
        <v>16521</v>
      </c>
      <c r="O2303" s="9">
        <f>HYPERLINK("https://www.google.com/maps/search/?api=1&amp;query=40.27198482,-3.81908011", "https://www.google.com/maps/search/?api=1&amp;query=40.27198482,-3.81908011")</f>
      </c>
      <c r="P2303" s="9" t="s">
        <v>1803</v>
      </c>
      <c r="Q2303" s="9" t="s">
        <v>1131</v>
      </c>
    </row>
    <row r="2304" spans="1:17" x14ac:dyDescent="0.25">
      <c r="A2304" s="8" t="s">
        <v>16522</v>
      </c>
      <c r="B2304" s="8" t="s">
        <v>16523</v>
      </c>
      <c r="C2304" s="9" t="s">
        <v>16524</v>
      </c>
      <c r="D2304" s="9" t="s">
        <v>398</v>
      </c>
      <c r="E2304" s="9" t="s">
        <v>13766</v>
      </c>
      <c r="F2304" s="10">
        <v>1.514</v>
      </c>
      <c r="G2304" s="10">
        <v>1.665</v>
      </c>
      <c r="H2304" s="10"/>
      <c r="I2304" s="9" t="s">
        <v>400</v>
      </c>
      <c r="J2304" s="9" t="s">
        <v>16525</v>
      </c>
      <c r="K2304" s="9" t="s">
        <v>16526</v>
      </c>
      <c r="L2304" s="8" t="s">
        <v>15129</v>
      </c>
      <c r="M2304" s="9" t="s">
        <v>49</v>
      </c>
      <c r="N2304" s="9" t="s">
        <v>645</v>
      </c>
      <c r="O2304" s="9">
        <f>HYPERLINK("https://www.google.com/maps/search/?api=1&amp;query=38.40643794,-0.43891892", "https://www.google.com/maps/search/?api=1&amp;query=38.40643794,-0.43891892")</f>
      </c>
      <c r="P2304" s="9" t="s">
        <v>521</v>
      </c>
      <c r="Q2304" s="9" t="s">
        <v>16527</v>
      </c>
    </row>
    <row r="2305" spans="1:17" x14ac:dyDescent="0.25">
      <c r="A2305" s="8" t="s">
        <v>16528</v>
      </c>
      <c r="B2305" s="8" t="s">
        <v>16529</v>
      </c>
      <c r="C2305" s="9" t="s">
        <v>16530</v>
      </c>
      <c r="D2305" s="9" t="s">
        <v>94</v>
      </c>
      <c r="E2305" s="9" t="s">
        <v>16531</v>
      </c>
      <c r="F2305" s="10">
        <v>1.514</v>
      </c>
      <c r="G2305" s="10">
        <v>1.665</v>
      </c>
      <c r="H2305" s="10"/>
      <c r="I2305" s="9" t="s">
        <v>96</v>
      </c>
      <c r="J2305" s="9" t="s">
        <v>16532</v>
      </c>
      <c r="K2305" s="9" t="s">
        <v>16533</v>
      </c>
      <c r="L2305" s="8" t="s">
        <v>16534</v>
      </c>
      <c r="M2305" s="9" t="s">
        <v>49</v>
      </c>
      <c r="N2305" s="9" t="s">
        <v>556</v>
      </c>
      <c r="O2305" s="9">
        <f>HYPERLINK("https://www.google.com/maps/search/?api=1&amp;query=41.32381682,2.08305609", "https://www.google.com/maps/search/?api=1&amp;query=41.32381682,2.08305609")</f>
      </c>
      <c r="P2305" s="9" t="s">
        <v>705</v>
      </c>
      <c r="Q2305" s="9" t="s">
        <v>16535</v>
      </c>
    </row>
    <row r="2306" spans="1:17" x14ac:dyDescent="0.25">
      <c r="A2306" s="8" t="s">
        <v>16536</v>
      </c>
      <c r="B2306" s="8" t="s">
        <v>16537</v>
      </c>
      <c r="C2306" s="9" t="s">
        <v>16538</v>
      </c>
      <c r="D2306" s="9" t="s">
        <v>1192</v>
      </c>
      <c r="E2306" s="9" t="s">
        <v>16539</v>
      </c>
      <c r="F2306" s="10">
        <v>1.514</v>
      </c>
      <c r="G2306" s="10">
        <v>1.665</v>
      </c>
      <c r="H2306" s="10"/>
      <c r="I2306" s="9" t="s">
        <v>168</v>
      </c>
      <c r="J2306" s="9" t="s">
        <v>16540</v>
      </c>
      <c r="K2306" s="9" t="s">
        <v>16541</v>
      </c>
      <c r="L2306" s="8" t="s">
        <v>16542</v>
      </c>
      <c r="M2306" s="9" t="s">
        <v>49</v>
      </c>
      <c r="N2306" s="9" t="s">
        <v>16543</v>
      </c>
      <c r="O2306" s="9">
        <f>HYPERLINK("https://www.google.com/maps/search/?api=1&amp;query=38.83662759,-2.99371088", "https://www.google.com/maps/search/?api=1&amp;query=38.83662759,-2.99371088")</f>
      </c>
      <c r="P2306" s="9" t="s">
        <v>16544</v>
      </c>
      <c r="Q2306" s="9" t="s">
        <v>522</v>
      </c>
    </row>
    <row r="2307" spans="1:17" x14ac:dyDescent="0.25">
      <c r="A2307" s="8" t="s">
        <v>16545</v>
      </c>
      <c r="B2307" s="8" t="s">
        <v>16546</v>
      </c>
      <c r="C2307" s="9" t="s">
        <v>16547</v>
      </c>
      <c r="D2307" s="9" t="s">
        <v>658</v>
      </c>
      <c r="E2307" s="9" t="s">
        <v>16548</v>
      </c>
      <c r="F2307" s="10">
        <v>1.514</v>
      </c>
      <c r="G2307" s="10">
        <v>1.665</v>
      </c>
      <c r="H2307" s="10"/>
      <c r="I2307" s="9" t="s">
        <v>45</v>
      </c>
      <c r="J2307" s="9" t="s">
        <v>16549</v>
      </c>
      <c r="K2307" s="9" t="s">
        <v>16550</v>
      </c>
      <c r="L2307" s="8" t="s">
        <v>16551</v>
      </c>
      <c r="M2307" s="9" t="s">
        <v>49</v>
      </c>
      <c r="N2307" s="9" t="s">
        <v>4720</v>
      </c>
      <c r="O2307" s="9">
        <f>HYPERLINK("https://www.google.com/maps/search/?api=1&amp;query=37.01612034,-2.44626337", "https://www.google.com/maps/search/?api=1&amp;query=37.01612034,-2.44626337")</f>
      </c>
      <c r="P2307" s="9" t="s">
        <v>172</v>
      </c>
      <c r="Q2307" s="9" t="s">
        <v>16552</v>
      </c>
    </row>
    <row r="2308" spans="1:17" x14ac:dyDescent="0.25">
      <c r="A2308" s="8" t="s">
        <v>16553</v>
      </c>
      <c r="B2308" s="8" t="s">
        <v>16554</v>
      </c>
      <c r="C2308" s="9" t="s">
        <v>16555</v>
      </c>
      <c r="D2308" s="9" t="s">
        <v>1192</v>
      </c>
      <c r="E2308" s="9" t="s">
        <v>16556</v>
      </c>
      <c r="F2308" s="10">
        <v>1.514</v>
      </c>
      <c r="G2308" s="10">
        <v>1.665</v>
      </c>
      <c r="H2308" s="10"/>
      <c r="I2308" s="9" t="s">
        <v>168</v>
      </c>
      <c r="J2308" s="9" t="s">
        <v>16557</v>
      </c>
      <c r="K2308" s="9" t="s">
        <v>16558</v>
      </c>
      <c r="L2308" s="8" t="s">
        <v>16559</v>
      </c>
      <c r="M2308" s="9" t="s">
        <v>36</v>
      </c>
      <c r="N2308" s="9" t="s">
        <v>770</v>
      </c>
      <c r="O2308" s="9">
        <f>HYPERLINK("https://www.google.com/maps/search/?api=1&amp;query=38.93729226,-3.23709076", "https://www.google.com/maps/search/?api=1&amp;query=38.93729226,-3.23709076")</f>
      </c>
      <c r="P2308" s="9" t="s">
        <v>8886</v>
      </c>
      <c r="Q2308" s="9" t="s">
        <v>1131</v>
      </c>
    </row>
    <row r="2309" spans="1:17" x14ac:dyDescent="0.25">
      <c r="A2309" s="8" t="s">
        <v>16560</v>
      </c>
      <c r="B2309" s="8" t="s">
        <v>16561</v>
      </c>
      <c r="C2309" s="9" t="s">
        <v>16562</v>
      </c>
      <c r="D2309" s="9" t="s">
        <v>94</v>
      </c>
      <c r="E2309" s="9" t="s">
        <v>16563</v>
      </c>
      <c r="F2309" s="10">
        <v>1.514</v>
      </c>
      <c r="G2309" s="10">
        <v>1.665</v>
      </c>
      <c r="H2309" s="10"/>
      <c r="I2309" s="9" t="s">
        <v>96</v>
      </c>
      <c r="J2309" s="9" t="s">
        <v>16564</v>
      </c>
      <c r="K2309" s="9" t="s">
        <v>16565</v>
      </c>
      <c r="L2309" s="8" t="s">
        <v>16566</v>
      </c>
      <c r="M2309" s="9" t="s">
        <v>36</v>
      </c>
      <c r="N2309" s="9" t="s">
        <v>88</v>
      </c>
      <c r="O2309" s="9">
        <f>HYPERLINK("https://www.google.com/maps/search/?api=1&amp;query=42.2264629,1.74538506", "https://www.google.com/maps/search/?api=1&amp;query=42.2264629,1.74538506")</f>
      </c>
      <c r="P2309" s="9" t="s">
        <v>831</v>
      </c>
      <c r="Q2309" s="9" t="s">
        <v>9916</v>
      </c>
    </row>
    <row r="2310" spans="1:17" x14ac:dyDescent="0.25">
      <c r="A2310" s="8" t="s">
        <v>16567</v>
      </c>
      <c r="B2310" s="8" t="s">
        <v>16568</v>
      </c>
      <c r="C2310" s="9" t="s">
        <v>16569</v>
      </c>
      <c r="D2310" s="9" t="s">
        <v>177</v>
      </c>
      <c r="E2310" s="9" t="s">
        <v>16570</v>
      </c>
      <c r="F2310" s="10">
        <v>1.514</v>
      </c>
      <c r="G2310" s="10">
        <v>1.665</v>
      </c>
      <c r="H2310" s="10"/>
      <c r="I2310" s="9" t="s">
        <v>74</v>
      </c>
      <c r="J2310" s="9" t="s">
        <v>16571</v>
      </c>
      <c r="K2310" s="9" t="s">
        <v>16572</v>
      </c>
      <c r="L2310" s="8" t="s">
        <v>16573</v>
      </c>
      <c r="M2310" s="9" t="s">
        <v>49</v>
      </c>
      <c r="N2310" s="9" t="s">
        <v>37</v>
      </c>
      <c r="O2310" s="9">
        <f>HYPERLINK("https://www.google.com/maps/search/?api=1&amp;query=41.62731995,-5.17307794", "https://www.google.com/maps/search/?api=1&amp;query=41.62731995,-5.17307794")</f>
      </c>
      <c r="P2310" s="9" t="s">
        <v>1356</v>
      </c>
      <c r="Q2310" s="9" t="s">
        <v>16574</v>
      </c>
    </row>
    <row r="2311" spans="1:17" x14ac:dyDescent="0.25">
      <c r="A2311" s="8" t="s">
        <v>16575</v>
      </c>
      <c r="B2311" s="8" t="s">
        <v>16576</v>
      </c>
      <c r="C2311" s="9" t="s">
        <v>16577</v>
      </c>
      <c r="D2311" s="9" t="s">
        <v>106</v>
      </c>
      <c r="E2311" s="9" t="s">
        <v>16578</v>
      </c>
      <c r="F2311" s="10">
        <v>1.514</v>
      </c>
      <c r="G2311" s="10">
        <v>1.665</v>
      </c>
      <c r="H2311" s="10"/>
      <c r="I2311" s="9" t="s">
        <v>106</v>
      </c>
      <c r="J2311" s="9" t="s">
        <v>16579</v>
      </c>
      <c r="K2311" s="9" t="s">
        <v>16580</v>
      </c>
      <c r="L2311" s="8" t="s">
        <v>12035</v>
      </c>
      <c r="M2311" s="9" t="s">
        <v>49</v>
      </c>
      <c r="N2311" s="9" t="s">
        <v>37</v>
      </c>
      <c r="O2311" s="9">
        <f>HYPERLINK("https://www.google.com/maps/search/?api=1&amp;query=38.02483551,-1.26247249", "https://www.google.com/maps/search/?api=1&amp;query=38.02483551,-1.26247249")</f>
      </c>
      <c r="P2311" s="9" t="s">
        <v>6210</v>
      </c>
      <c r="Q2311" s="9" t="s">
        <v>2112</v>
      </c>
    </row>
    <row r="2312" spans="1:17" x14ac:dyDescent="0.25">
      <c r="A2312" s="8" t="s">
        <v>16581</v>
      </c>
      <c r="B2312" s="8" t="s">
        <v>16582</v>
      </c>
      <c r="C2312" s="9" t="s">
        <v>16583</v>
      </c>
      <c r="D2312" s="9" t="s">
        <v>83</v>
      </c>
      <c r="E2312" s="9" t="s">
        <v>4971</v>
      </c>
      <c r="F2312" s="10">
        <v>1.514</v>
      </c>
      <c r="G2312" s="10">
        <v>1.665</v>
      </c>
      <c r="H2312" s="10"/>
      <c r="I2312" s="9" t="s">
        <v>83</v>
      </c>
      <c r="J2312" s="9" t="s">
        <v>16584</v>
      </c>
      <c r="K2312" s="9" t="s">
        <v>16585</v>
      </c>
      <c r="L2312" s="8" t="s">
        <v>4974</v>
      </c>
      <c r="M2312" s="9" t="s">
        <v>49</v>
      </c>
      <c r="N2312" s="9" t="s">
        <v>37</v>
      </c>
      <c r="O2312" s="9">
        <f>HYPERLINK("https://www.google.com/maps/search/?api=1&amp;query=40.50429675,-3.88849906", "https://www.google.com/maps/search/?api=1&amp;query=40.50429675,-3.88849906")</f>
      </c>
      <c r="P2312" s="9" t="s">
        <v>6218</v>
      </c>
      <c r="Q2312" s="9" t="s">
        <v>681</v>
      </c>
    </row>
    <row r="2313" spans="1:17" x14ac:dyDescent="0.25">
      <c r="A2313" s="8" t="s">
        <v>16586</v>
      </c>
      <c r="B2313" s="8" t="s">
        <v>16587</v>
      </c>
      <c r="C2313" s="9" t="s">
        <v>16588</v>
      </c>
      <c r="D2313" s="9" t="s">
        <v>155</v>
      </c>
      <c r="E2313" s="9" t="s">
        <v>6194</v>
      </c>
      <c r="F2313" s="10">
        <v>1.514</v>
      </c>
      <c r="G2313" s="10">
        <v>1.665</v>
      </c>
      <c r="H2313" s="10"/>
      <c r="I2313" s="9" t="s">
        <v>157</v>
      </c>
      <c r="J2313" s="9" t="s">
        <v>16589</v>
      </c>
      <c r="K2313" s="9" t="s">
        <v>16590</v>
      </c>
      <c r="L2313" s="8" t="s">
        <v>6197</v>
      </c>
      <c r="M2313" s="9" t="s">
        <v>36</v>
      </c>
      <c r="N2313" s="9" t="s">
        <v>12417</v>
      </c>
      <c r="O2313" s="9">
        <f>HYPERLINK("https://www.google.com/maps/search/?api=1&amp;query=39.57771252,3.21049018", "https://www.google.com/maps/search/?api=1&amp;query=39.57771252,3.21049018")</f>
      </c>
      <c r="P2313" s="9" t="s">
        <v>3194</v>
      </c>
      <c r="Q2313" s="9" t="s">
        <v>16591</v>
      </c>
    </row>
    <row r="2314" spans="1:17" x14ac:dyDescent="0.25">
      <c r="A2314" s="8" t="s">
        <v>16592</v>
      </c>
      <c r="B2314" s="8" t="s">
        <v>16593</v>
      </c>
      <c r="C2314" s="9" t="s">
        <v>16594</v>
      </c>
      <c r="D2314" s="9" t="s">
        <v>83</v>
      </c>
      <c r="E2314" s="9" t="s">
        <v>83</v>
      </c>
      <c r="F2314" s="10">
        <v>1.514</v>
      </c>
      <c r="G2314" s="10">
        <v>1.665</v>
      </c>
      <c r="H2314" s="10"/>
      <c r="I2314" s="9" t="s">
        <v>83</v>
      </c>
      <c r="J2314" s="9" t="s">
        <v>16595</v>
      </c>
      <c r="K2314" s="9" t="s">
        <v>16596</v>
      </c>
      <c r="L2314" s="8" t="s">
        <v>16597</v>
      </c>
      <c r="M2314" s="9" t="s">
        <v>49</v>
      </c>
      <c r="N2314" s="9" t="s">
        <v>16598</v>
      </c>
      <c r="O2314" s="9">
        <f>HYPERLINK("https://www.google.com/maps/search/?api=1&amp;query=40.42966872,-3.66805332", "https://www.google.com/maps/search/?api=1&amp;query=40.42966872,-3.66805332")</f>
      </c>
      <c r="P2314" s="9" t="s">
        <v>2594</v>
      </c>
      <c r="Q2314" s="9" t="s">
        <v>1131</v>
      </c>
    </row>
    <row r="2315" spans="1:17" x14ac:dyDescent="0.25">
      <c r="A2315" s="8" t="s">
        <v>16599</v>
      </c>
      <c r="B2315" s="8" t="s">
        <v>16600</v>
      </c>
      <c r="C2315" s="9" t="s">
        <v>16601</v>
      </c>
      <c r="D2315" s="9" t="s">
        <v>307</v>
      </c>
      <c r="E2315" s="9" t="s">
        <v>16602</v>
      </c>
      <c r="F2315" s="10">
        <v>1.514</v>
      </c>
      <c r="G2315" s="10">
        <v>1.665</v>
      </c>
      <c r="H2315" s="10"/>
      <c r="I2315" s="9" t="s">
        <v>74</v>
      </c>
      <c r="J2315" s="9" t="s">
        <v>16603</v>
      </c>
      <c r="K2315" s="9" t="s">
        <v>16604</v>
      </c>
      <c r="L2315" s="8" t="s">
        <v>16605</v>
      </c>
      <c r="M2315" s="9" t="s">
        <v>49</v>
      </c>
      <c r="N2315" s="9" t="s">
        <v>122</v>
      </c>
      <c r="O2315" s="9">
        <f>HYPERLINK("https://www.google.com/maps/search/?api=1&amp;query=41.93737037,-6.15780741", "https://www.google.com/maps/search/?api=1&amp;query=41.93737037,-6.15780741")</f>
      </c>
      <c r="P2315" s="9" t="s">
        <v>4045</v>
      </c>
      <c r="Q2315" s="9" t="s">
        <v>16606</v>
      </c>
    </row>
    <row r="2316" spans="1:17" x14ac:dyDescent="0.25">
      <c r="A2316" s="8" t="s">
        <v>16607</v>
      </c>
      <c r="B2316" s="8" t="s">
        <v>16608</v>
      </c>
      <c r="C2316" s="9" t="s">
        <v>16609</v>
      </c>
      <c r="D2316" s="9" t="s">
        <v>808</v>
      </c>
      <c r="E2316" s="9" t="s">
        <v>16610</v>
      </c>
      <c r="F2316" s="10">
        <v>1.514</v>
      </c>
      <c r="G2316" s="10">
        <v>1.665</v>
      </c>
      <c r="H2316" s="10"/>
      <c r="I2316" s="9" t="s">
        <v>808</v>
      </c>
      <c r="J2316" s="9" t="s">
        <v>16611</v>
      </c>
      <c r="K2316" s="9" t="s">
        <v>16612</v>
      </c>
      <c r="L2316" s="8" t="s">
        <v>16613</v>
      </c>
      <c r="M2316" s="9" t="s">
        <v>36</v>
      </c>
      <c r="N2316" s="9" t="s">
        <v>88</v>
      </c>
      <c r="O2316" s="9">
        <f>HYPERLINK("https://www.google.com/maps/search/?api=1&amp;query=43.3195728,-4.3085033", "https://www.google.com/maps/search/?api=1&amp;query=43.3195728,-4.3085033")</f>
      </c>
      <c r="P2316" s="9" t="s">
        <v>2727</v>
      </c>
      <c r="Q2316" s="9" t="s">
        <v>16614</v>
      </c>
    </row>
    <row r="2317" spans="1:17" x14ac:dyDescent="0.25">
      <c r="A2317" s="8" t="s">
        <v>16615</v>
      </c>
      <c r="B2317" s="8" t="s">
        <v>16616</v>
      </c>
      <c r="C2317" s="9" t="s">
        <v>16617</v>
      </c>
      <c r="D2317" s="9" t="s">
        <v>197</v>
      </c>
      <c r="E2317" s="9" t="s">
        <v>15419</v>
      </c>
      <c r="F2317" s="10">
        <v>1.514</v>
      </c>
      <c r="G2317" s="10">
        <v>1.665</v>
      </c>
      <c r="H2317" s="10"/>
      <c r="I2317" s="9" t="s">
        <v>168</v>
      </c>
      <c r="J2317" s="9" t="s">
        <v>16618</v>
      </c>
      <c r="K2317" s="9" t="s">
        <v>16619</v>
      </c>
      <c r="L2317" s="8" t="s">
        <v>15422</v>
      </c>
      <c r="M2317" s="9" t="s">
        <v>36</v>
      </c>
      <c r="N2317" s="9" t="s">
        <v>645</v>
      </c>
      <c r="O2317" s="9">
        <f>HYPERLINK("https://www.google.com/maps/search/?api=1&amp;query=39.58701757,-3.03573747", "https://www.google.com/maps/search/?api=1&amp;query=39.58701757,-3.03573747")</f>
      </c>
      <c r="P2317" s="9" t="s">
        <v>4612</v>
      </c>
      <c r="Q2317" s="9" t="s">
        <v>1131</v>
      </c>
    </row>
    <row r="2318" spans="1:17" x14ac:dyDescent="0.25">
      <c r="A2318" s="8" t="s">
        <v>16620</v>
      </c>
      <c r="B2318" s="8" t="s">
        <v>16621</v>
      </c>
      <c r="C2318" s="9" t="s">
        <v>16622</v>
      </c>
      <c r="D2318" s="9" t="s">
        <v>1192</v>
      </c>
      <c r="E2318" s="9" t="s">
        <v>2354</v>
      </c>
      <c r="F2318" s="10">
        <v>1.514</v>
      </c>
      <c r="G2318" s="10">
        <v>1.665</v>
      </c>
      <c r="H2318" s="10"/>
      <c r="I2318" s="9" t="s">
        <v>168</v>
      </c>
      <c r="J2318" s="9" t="s">
        <v>16623</v>
      </c>
      <c r="K2318" s="9" t="s">
        <v>16624</v>
      </c>
      <c r="L2318" s="8" t="s">
        <v>2357</v>
      </c>
      <c r="M2318" s="9" t="s">
        <v>100</v>
      </c>
      <c r="N2318" s="9" t="s">
        <v>16625</v>
      </c>
      <c r="O2318" s="9">
        <f>HYPERLINK("https://www.google.com/maps/search/?api=1&amp;query=39.10821653,-3.37759146", "https://www.google.com/maps/search/?api=1&amp;query=39.10821653,-3.37759146")</f>
      </c>
      <c r="P2318" s="9" t="s">
        <v>56</v>
      </c>
      <c r="Q2318" s="9" t="s">
        <v>2827</v>
      </c>
    </row>
    <row r="2319" spans="1:17" x14ac:dyDescent="0.25">
      <c r="A2319" s="8" t="s">
        <v>16626</v>
      </c>
      <c r="B2319" s="8" t="s">
        <v>16627</v>
      </c>
      <c r="C2319" s="9" t="s">
        <v>16628</v>
      </c>
      <c r="D2319" s="9" t="s">
        <v>2050</v>
      </c>
      <c r="E2319" s="9" t="s">
        <v>7811</v>
      </c>
      <c r="F2319" s="10">
        <v>1.514</v>
      </c>
      <c r="G2319" s="10">
        <v>1.665</v>
      </c>
      <c r="H2319" s="10"/>
      <c r="I2319" s="9" t="s">
        <v>140</v>
      </c>
      <c r="J2319" s="9" t="s">
        <v>16629</v>
      </c>
      <c r="K2319" s="9" t="s">
        <v>16630</v>
      </c>
      <c r="L2319" s="8" t="s">
        <v>7814</v>
      </c>
      <c r="M2319" s="9" t="s">
        <v>49</v>
      </c>
      <c r="N2319" s="9" t="s">
        <v>211</v>
      </c>
      <c r="O2319" s="9">
        <f>HYPERLINK("https://www.google.com/maps/search/?api=1&amp;query=42.07586659,-7.72715651", "https://www.google.com/maps/search/?api=1&amp;query=42.07586659,-7.72715651")</f>
      </c>
      <c r="P2319" s="9" t="s">
        <v>2111</v>
      </c>
      <c r="Q2319" s="9" t="s">
        <v>15159</v>
      </c>
    </row>
    <row r="2320" spans="1:17" x14ac:dyDescent="0.25">
      <c r="A2320" s="8" t="s">
        <v>16631</v>
      </c>
      <c r="B2320" s="8" t="s">
        <v>16632</v>
      </c>
      <c r="C2320" s="9" t="s">
        <v>16633</v>
      </c>
      <c r="D2320" s="9" t="s">
        <v>808</v>
      </c>
      <c r="E2320" s="9" t="s">
        <v>16634</v>
      </c>
      <c r="F2320" s="10">
        <v>1.514</v>
      </c>
      <c r="G2320" s="10">
        <v>1.665</v>
      </c>
      <c r="H2320" s="10"/>
      <c r="I2320" s="9" t="s">
        <v>808</v>
      </c>
      <c r="J2320" s="9" t="s">
        <v>16635</v>
      </c>
      <c r="K2320" s="9" t="s">
        <v>16636</v>
      </c>
      <c r="L2320" s="8" t="s">
        <v>16637</v>
      </c>
      <c r="M2320" s="9" t="s">
        <v>49</v>
      </c>
      <c r="N2320" s="9" t="s">
        <v>9227</v>
      </c>
      <c r="O2320" s="9">
        <f>HYPERLINK("https://www.google.com/maps/search/?api=1&amp;query=43.32835869,-4.19089646", "https://www.google.com/maps/search/?api=1&amp;query=43.32835869,-4.19089646")</f>
      </c>
      <c r="P2320" s="9" t="s">
        <v>572</v>
      </c>
      <c r="Q2320" s="9" t="s">
        <v>16638</v>
      </c>
    </row>
    <row r="2321" spans="1:17" x14ac:dyDescent="0.25">
      <c r="A2321" s="8" t="s">
        <v>16639</v>
      </c>
      <c r="B2321" s="8" t="s">
        <v>16640</v>
      </c>
      <c r="C2321" s="9" t="s">
        <v>16641</v>
      </c>
      <c r="D2321" s="9" t="s">
        <v>72</v>
      </c>
      <c r="E2321" s="9" t="s">
        <v>16642</v>
      </c>
      <c r="F2321" s="10">
        <v>1.514</v>
      </c>
      <c r="G2321" s="10">
        <v>1.665</v>
      </c>
      <c r="H2321" s="10"/>
      <c r="I2321" s="9" t="s">
        <v>74</v>
      </c>
      <c r="J2321" s="9" t="s">
        <v>16643</v>
      </c>
      <c r="K2321" s="9" t="s">
        <v>16644</v>
      </c>
      <c r="L2321" s="8" t="s">
        <v>16645</v>
      </c>
      <c r="M2321" s="9" t="s">
        <v>36</v>
      </c>
      <c r="N2321" s="9" t="s">
        <v>122</v>
      </c>
      <c r="O2321" s="9">
        <f>HYPERLINK("https://www.google.com/maps/search/?api=1&amp;query=42.68608634,-4.80506432", "https://www.google.com/maps/search/?api=1&amp;query=42.68608634,-4.80506432")</f>
      </c>
      <c r="P2321" s="9" t="s">
        <v>880</v>
      </c>
      <c r="Q2321" s="9" t="s">
        <v>637</v>
      </c>
    </row>
    <row r="2322" spans="1:17" x14ac:dyDescent="0.25">
      <c r="A2322" s="8" t="s">
        <v>16646</v>
      </c>
      <c r="B2322" s="8" t="s">
        <v>16647</v>
      </c>
      <c r="C2322" s="9" t="s">
        <v>16648</v>
      </c>
      <c r="D2322" s="9" t="s">
        <v>398</v>
      </c>
      <c r="E2322" s="9" t="s">
        <v>827</v>
      </c>
      <c r="F2322" s="10">
        <v>1.514</v>
      </c>
      <c r="G2322" s="10">
        <v>1.665</v>
      </c>
      <c r="H2322" s="10"/>
      <c r="I2322" s="9" t="s">
        <v>400</v>
      </c>
      <c r="J2322" s="9" t="s">
        <v>16649</v>
      </c>
      <c r="K2322" s="9" t="s">
        <v>16650</v>
      </c>
      <c r="L2322" s="8" t="s">
        <v>8943</v>
      </c>
      <c r="M2322" s="9" t="s">
        <v>49</v>
      </c>
      <c r="N2322" s="9" t="s">
        <v>16651</v>
      </c>
      <c r="O2322" s="9">
        <f>HYPERLINK("https://www.google.com/maps/search/?api=1&amp;query=38.17709413,-0.70217269", "https://www.google.com/maps/search/?api=1&amp;query=38.17709413,-0.70217269")</f>
      </c>
      <c r="P2322" s="9" t="s">
        <v>547</v>
      </c>
      <c r="Q2322" s="9" t="s">
        <v>1574</v>
      </c>
    </row>
    <row r="2323" spans="1:17" x14ac:dyDescent="0.25">
      <c r="A2323" s="8" t="s">
        <v>16652</v>
      </c>
      <c r="B2323" s="8" t="s">
        <v>16653</v>
      </c>
      <c r="C2323" s="9" t="s">
        <v>15126</v>
      </c>
      <c r="D2323" s="9" t="s">
        <v>398</v>
      </c>
      <c r="E2323" s="9" t="s">
        <v>13766</v>
      </c>
      <c r="F2323" s="10">
        <v>1.514</v>
      </c>
      <c r="G2323" s="10">
        <v>1.665</v>
      </c>
      <c r="H2323" s="10"/>
      <c r="I2323" s="9" t="s">
        <v>400</v>
      </c>
      <c r="J2323" s="9" t="s">
        <v>16654</v>
      </c>
      <c r="K2323" s="9" t="s">
        <v>16655</v>
      </c>
      <c r="L2323" s="8" t="s">
        <v>15129</v>
      </c>
      <c r="M2323" s="9" t="s">
        <v>36</v>
      </c>
      <c r="N2323" s="9" t="s">
        <v>37</v>
      </c>
      <c r="O2323" s="9">
        <f>HYPERLINK("https://www.google.com/maps/search/?api=1&amp;query=38.41294802,-0.42131859", "https://www.google.com/maps/search/?api=1&amp;query=38.41294802,-0.42131859")</f>
      </c>
      <c r="P2323" s="9" t="s">
        <v>8061</v>
      </c>
      <c r="Q2323" s="9" t="s">
        <v>16656</v>
      </c>
    </row>
    <row r="2324" spans="1:17" x14ac:dyDescent="0.25">
      <c r="A2324" s="8" t="s">
        <v>16657</v>
      </c>
      <c r="B2324" s="8" t="s">
        <v>16658</v>
      </c>
      <c r="C2324" s="9" t="s">
        <v>16659</v>
      </c>
      <c r="D2324" s="9" t="s">
        <v>516</v>
      </c>
      <c r="E2324" s="9" t="s">
        <v>16660</v>
      </c>
      <c r="F2324" s="10">
        <v>1.514</v>
      </c>
      <c r="G2324" s="10">
        <v>1.665</v>
      </c>
      <c r="H2324" s="10"/>
      <c r="I2324" s="9" t="s">
        <v>140</v>
      </c>
      <c r="J2324" s="9" t="s">
        <v>16661</v>
      </c>
      <c r="K2324" s="9" t="s">
        <v>16662</v>
      </c>
      <c r="L2324" s="8" t="s">
        <v>16663</v>
      </c>
      <c r="M2324" s="9" t="s">
        <v>36</v>
      </c>
      <c r="N2324" s="9" t="s">
        <v>122</v>
      </c>
      <c r="O2324" s="9">
        <f>HYPERLINK("https://www.google.com/maps/search/?api=1&amp;query=43.63584887,-7.60150272", "https://www.google.com/maps/search/?api=1&amp;query=43.63584887,-7.60150272")</f>
      </c>
      <c r="P2324" s="9" t="s">
        <v>4374</v>
      </c>
      <c r="Q2324" s="9" t="s">
        <v>647</v>
      </c>
    </row>
    <row r="2325" spans="1:17" x14ac:dyDescent="0.25">
      <c r="A2325" s="8" t="s">
        <v>16664</v>
      </c>
      <c r="B2325" s="8" t="s">
        <v>16665</v>
      </c>
      <c r="C2325" s="9" t="s">
        <v>16666</v>
      </c>
      <c r="D2325" s="9" t="s">
        <v>290</v>
      </c>
      <c r="E2325" s="9" t="s">
        <v>16667</v>
      </c>
      <c r="F2325" s="10">
        <v>1.514</v>
      </c>
      <c r="G2325" s="10">
        <v>1.665</v>
      </c>
      <c r="H2325" s="10"/>
      <c r="I2325" s="9" t="s">
        <v>292</v>
      </c>
      <c r="J2325" s="9" t="s">
        <v>16668</v>
      </c>
      <c r="K2325" s="9" t="s">
        <v>16669</v>
      </c>
      <c r="L2325" s="8" t="s">
        <v>16670</v>
      </c>
      <c r="M2325" s="9" t="s">
        <v>49</v>
      </c>
      <c r="N2325" s="9" t="s">
        <v>1719</v>
      </c>
      <c r="O2325" s="9">
        <f>HYPERLINK("https://www.google.com/maps/search/?api=1&amp;query=40.8027457,-0.83732367", "https://www.google.com/maps/search/?api=1&amp;query=40.8027457,-0.83732367")</f>
      </c>
      <c r="P2325" s="9" t="s">
        <v>56</v>
      </c>
      <c r="Q2325" s="9" t="s">
        <v>16671</v>
      </c>
    </row>
    <row r="2326" spans="1:17" x14ac:dyDescent="0.25">
      <c r="A2326" s="8" t="s">
        <v>16672</v>
      </c>
      <c r="B2326" s="8" t="s">
        <v>16673</v>
      </c>
      <c r="C2326" s="9" t="s">
        <v>16674</v>
      </c>
      <c r="D2326" s="9" t="s">
        <v>469</v>
      </c>
      <c r="E2326" s="9" t="s">
        <v>6476</v>
      </c>
      <c r="F2326" s="10">
        <v>1.514</v>
      </c>
      <c r="G2326" s="10">
        <v>1.665</v>
      </c>
      <c r="H2326" s="10"/>
      <c r="I2326" s="9" t="s">
        <v>74</v>
      </c>
      <c r="J2326" s="9" t="s">
        <v>16675</v>
      </c>
      <c r="K2326" s="9" t="s">
        <v>16676</v>
      </c>
      <c r="L2326" s="8" t="s">
        <v>6479</v>
      </c>
      <c r="M2326" s="9" t="s">
        <v>36</v>
      </c>
      <c r="N2326" s="9" t="s">
        <v>982</v>
      </c>
      <c r="O2326" s="9">
        <f>HYPERLINK("https://www.google.com/maps/search/?api=1&amp;query=40.60154141,-6.53497161", "https://www.google.com/maps/search/?api=1&amp;query=40.60154141,-6.53497161")</f>
      </c>
      <c r="P2326" s="9" t="s">
        <v>10950</v>
      </c>
      <c r="Q2326" s="9" t="s">
        <v>7794</v>
      </c>
    </row>
    <row r="2327" spans="1:17" x14ac:dyDescent="0.25">
      <c r="A2327" s="8" t="s">
        <v>16677</v>
      </c>
      <c r="B2327" s="8" t="s">
        <v>16678</v>
      </c>
      <c r="C2327" s="9" t="s">
        <v>16679</v>
      </c>
      <c r="D2327" s="9" t="s">
        <v>106</v>
      </c>
      <c r="E2327" s="9" t="s">
        <v>16680</v>
      </c>
      <c r="F2327" s="10">
        <v>1.514</v>
      </c>
      <c r="G2327" s="10">
        <v>1.665</v>
      </c>
      <c r="H2327" s="10"/>
      <c r="I2327" s="9" t="s">
        <v>106</v>
      </c>
      <c r="J2327" s="9" t="s">
        <v>16681</v>
      </c>
      <c r="K2327" s="9" t="s">
        <v>16682</v>
      </c>
      <c r="L2327" s="8" t="s">
        <v>16683</v>
      </c>
      <c r="M2327" s="9" t="s">
        <v>49</v>
      </c>
      <c r="N2327" s="9" t="s">
        <v>16684</v>
      </c>
      <c r="O2327" s="9">
        <f>HYPERLINK("https://www.google.com/maps/search/?api=1&amp;query=38.17506353,-1.75058874", "https://www.google.com/maps/search/?api=1&amp;query=38.17506353,-1.75058874")</f>
      </c>
      <c r="P2327" s="9" t="s">
        <v>56</v>
      </c>
      <c r="Q2327" s="9" t="s">
        <v>16685</v>
      </c>
    </row>
    <row r="2328" spans="1:17" x14ac:dyDescent="0.25">
      <c r="A2328" s="8" t="s">
        <v>16686</v>
      </c>
      <c r="B2328" s="8" t="s">
        <v>16687</v>
      </c>
      <c r="C2328" s="9" t="s">
        <v>16688</v>
      </c>
      <c r="D2328" s="9" t="s">
        <v>155</v>
      </c>
      <c r="E2328" s="9" t="s">
        <v>2394</v>
      </c>
      <c r="F2328" s="10">
        <v>1.514</v>
      </c>
      <c r="G2328" s="10">
        <v>1.665</v>
      </c>
      <c r="H2328" s="10"/>
      <c r="I2328" s="9" t="s">
        <v>157</v>
      </c>
      <c r="J2328" s="9" t="s">
        <v>16689</v>
      </c>
      <c r="K2328" s="9" t="s">
        <v>16690</v>
      </c>
      <c r="L2328" s="8" t="s">
        <v>13628</v>
      </c>
      <c r="M2328" s="9" t="s">
        <v>49</v>
      </c>
      <c r="N2328" s="9" t="s">
        <v>88</v>
      </c>
      <c r="O2328" s="9">
        <f>HYPERLINK("https://www.google.com/maps/search/?api=1&amp;query=39.57613031,2.68545297", "https://www.google.com/maps/search/?api=1&amp;query=39.57613031,2.68545297")</f>
      </c>
      <c r="P2328" s="9" t="s">
        <v>1414</v>
      </c>
      <c r="Q2328" s="9" t="s">
        <v>16691</v>
      </c>
    </row>
    <row r="2329" spans="1:17" x14ac:dyDescent="0.25">
      <c r="A2329" s="8" t="s">
        <v>16692</v>
      </c>
      <c r="B2329" s="8" t="s">
        <v>16693</v>
      </c>
      <c r="C2329" s="9" t="s">
        <v>16694</v>
      </c>
      <c r="D2329" s="9" t="s">
        <v>155</v>
      </c>
      <c r="E2329" s="9" t="s">
        <v>2394</v>
      </c>
      <c r="F2329" s="10">
        <v>1.514</v>
      </c>
      <c r="G2329" s="10">
        <v>1.665</v>
      </c>
      <c r="H2329" s="10"/>
      <c r="I2329" s="9" t="s">
        <v>157</v>
      </c>
      <c r="J2329" s="9" t="s">
        <v>16695</v>
      </c>
      <c r="K2329" s="9" t="s">
        <v>16696</v>
      </c>
      <c r="L2329" s="8" t="s">
        <v>5605</v>
      </c>
      <c r="M2329" s="9" t="s">
        <v>49</v>
      </c>
      <c r="N2329" s="9" t="s">
        <v>88</v>
      </c>
      <c r="O2329" s="9">
        <f>HYPERLINK("https://www.google.com/maps/search/?api=1&amp;query=39.60225926,2.67454825", "https://www.google.com/maps/search/?api=1&amp;query=39.60225926,2.67454825")</f>
      </c>
      <c r="P2329" s="9" t="s">
        <v>13052</v>
      </c>
      <c r="Q2329" s="9" t="s">
        <v>16697</v>
      </c>
    </row>
    <row r="2330" spans="1:17" x14ac:dyDescent="0.25">
      <c r="A2330" s="8" t="s">
        <v>16698</v>
      </c>
      <c r="B2330" s="8" t="s">
        <v>16699</v>
      </c>
      <c r="C2330" s="9" t="s">
        <v>16700</v>
      </c>
      <c r="D2330" s="9" t="s">
        <v>94</v>
      </c>
      <c r="E2330" s="9" t="s">
        <v>94</v>
      </c>
      <c r="F2330" s="10">
        <v>1.514</v>
      </c>
      <c r="G2330" s="10">
        <v>1.665</v>
      </c>
      <c r="H2330" s="10"/>
      <c r="I2330" s="9" t="s">
        <v>96</v>
      </c>
      <c r="J2330" s="9" t="s">
        <v>16701</v>
      </c>
      <c r="K2330" s="9" t="s">
        <v>16702</v>
      </c>
      <c r="L2330" s="8" t="s">
        <v>8413</v>
      </c>
      <c r="M2330" s="9" t="s">
        <v>49</v>
      </c>
      <c r="N2330" s="9" t="s">
        <v>88</v>
      </c>
      <c r="O2330" s="9">
        <f>HYPERLINK("https://www.google.com/maps/search/?api=1&amp;query=41.35304295,2.14382709", "https://www.google.com/maps/search/?api=1&amp;query=41.35304295,2.14382709")</f>
      </c>
      <c r="P2330" s="9" t="s">
        <v>1203</v>
      </c>
      <c r="Q2330" s="9" t="s">
        <v>565</v>
      </c>
    </row>
    <row r="2331" spans="1:17" x14ac:dyDescent="0.25">
      <c r="A2331" s="8" t="s">
        <v>16703</v>
      </c>
      <c r="B2331" s="8" t="s">
        <v>16704</v>
      </c>
      <c r="C2331" s="9" t="s">
        <v>16705</v>
      </c>
      <c r="D2331" s="9" t="s">
        <v>488</v>
      </c>
      <c r="E2331" s="9" t="s">
        <v>16706</v>
      </c>
      <c r="F2331" s="10">
        <v>1.514</v>
      </c>
      <c r="G2331" s="10">
        <v>1.665</v>
      </c>
      <c r="H2331" s="10"/>
      <c r="I2331" s="9" t="s">
        <v>45</v>
      </c>
      <c r="J2331" s="9" t="s">
        <v>16707</v>
      </c>
      <c r="K2331" s="9" t="s">
        <v>16708</v>
      </c>
      <c r="L2331" s="8" t="s">
        <v>16709</v>
      </c>
      <c r="M2331" s="9" t="s">
        <v>36</v>
      </c>
      <c r="N2331" s="9" t="s">
        <v>16710</v>
      </c>
      <c r="O2331" s="9">
        <f>HYPERLINK("https://www.google.com/maps/search/?api=1&amp;query=38.21697432,-3.51347481", "https://www.google.com/maps/search/?api=1&amp;query=38.21697432,-3.51347481")</f>
      </c>
      <c r="P2331" s="9" t="s">
        <v>1373</v>
      </c>
      <c r="Q2331" s="9" t="s">
        <v>16711</v>
      </c>
    </row>
    <row r="2332" spans="1:17" x14ac:dyDescent="0.25">
      <c r="A2332" s="8" t="s">
        <v>16712</v>
      </c>
      <c r="B2332" s="8" t="s">
        <v>16713</v>
      </c>
      <c r="C2332" s="9" t="s">
        <v>16714</v>
      </c>
      <c r="D2332" s="9" t="s">
        <v>217</v>
      </c>
      <c r="E2332" s="9" t="s">
        <v>16715</v>
      </c>
      <c r="F2332" s="10">
        <v>1.514</v>
      </c>
      <c r="G2332" s="10">
        <v>1.665</v>
      </c>
      <c r="H2332" s="10"/>
      <c r="I2332" s="9" t="s">
        <v>45</v>
      </c>
      <c r="J2332" s="9" t="s">
        <v>16716</v>
      </c>
      <c r="K2332" s="9" t="s">
        <v>16717</v>
      </c>
      <c r="L2332" s="8" t="s">
        <v>16718</v>
      </c>
      <c r="M2332" s="9" t="s">
        <v>49</v>
      </c>
      <c r="N2332" s="9" t="s">
        <v>37</v>
      </c>
      <c r="O2332" s="9">
        <f>HYPERLINK("https://www.google.com/maps/search/?api=1&amp;query=36.799617,-4.123282", "https://www.google.com/maps/search/?api=1&amp;query=36.799617,-4.123282")</f>
      </c>
      <c r="P2332" s="9" t="s">
        <v>16719</v>
      </c>
      <c r="Q2332" s="9" t="s">
        <v>16720</v>
      </c>
    </row>
    <row r="2333" spans="1:17" x14ac:dyDescent="0.25">
      <c r="A2333" s="8" t="s">
        <v>16721</v>
      </c>
      <c r="B2333" s="8" t="s">
        <v>16722</v>
      </c>
      <c r="C2333" s="9" t="s">
        <v>16723</v>
      </c>
      <c r="D2333" s="9" t="s">
        <v>94</v>
      </c>
      <c r="E2333" s="9" t="s">
        <v>16724</v>
      </c>
      <c r="F2333" s="10">
        <v>1.514</v>
      </c>
      <c r="G2333" s="10">
        <v>1.665</v>
      </c>
      <c r="H2333" s="10"/>
      <c r="I2333" s="9" t="s">
        <v>96</v>
      </c>
      <c r="J2333" s="9" t="s">
        <v>16725</v>
      </c>
      <c r="K2333" s="9" t="s">
        <v>16726</v>
      </c>
      <c r="L2333" s="8" t="s">
        <v>16727</v>
      </c>
      <c r="M2333" s="9" t="s">
        <v>49</v>
      </c>
      <c r="N2333" s="9" t="s">
        <v>592</v>
      </c>
      <c r="O2333" s="9">
        <f>HYPERLINK("https://www.google.com/maps/search/?api=1&amp;query=41.68418499,2.28292994", "https://www.google.com/maps/search/?api=1&amp;query=41.68418499,2.28292994")</f>
      </c>
      <c r="P2333" s="9" t="s">
        <v>16103</v>
      </c>
      <c r="Q2333" s="9" t="s">
        <v>8215</v>
      </c>
    </row>
    <row r="2334" spans="1:17" x14ac:dyDescent="0.25">
      <c r="A2334" s="8" t="s">
        <v>16728</v>
      </c>
      <c r="B2334" s="8" t="s">
        <v>16729</v>
      </c>
      <c r="C2334" s="9" t="s">
        <v>16730</v>
      </c>
      <c r="D2334" s="9" t="s">
        <v>217</v>
      </c>
      <c r="E2334" s="9" t="s">
        <v>5058</v>
      </c>
      <c r="F2334" s="10">
        <v>1.514</v>
      </c>
      <c r="G2334" s="10">
        <v>1.665</v>
      </c>
      <c r="H2334" s="10"/>
      <c r="I2334" s="9" t="s">
        <v>45</v>
      </c>
      <c r="J2334" s="9" t="s">
        <v>16731</v>
      </c>
      <c r="K2334" s="9" t="s">
        <v>16732</v>
      </c>
      <c r="L2334" s="8" t="s">
        <v>5061</v>
      </c>
      <c r="M2334" s="9" t="s">
        <v>36</v>
      </c>
      <c r="N2334" s="9" t="s">
        <v>37</v>
      </c>
      <c r="O2334" s="9">
        <f>HYPERLINK("https://www.google.com/maps/search/?api=1&amp;query=36.49426178,-4.76606121", "https://www.google.com/maps/search/?api=1&amp;query=36.49426178,-4.76606121")</f>
      </c>
      <c r="P2334" s="9" t="s">
        <v>1637</v>
      </c>
      <c r="Q2334" s="9" t="s">
        <v>7618</v>
      </c>
    </row>
    <row r="2335" spans="1:17" x14ac:dyDescent="0.25">
      <c r="A2335" s="8" t="s">
        <v>16733</v>
      </c>
      <c r="B2335" s="8" t="s">
        <v>16734</v>
      </c>
      <c r="C2335" s="9" t="s">
        <v>16735</v>
      </c>
      <c r="D2335" s="9" t="s">
        <v>444</v>
      </c>
      <c r="E2335" s="9" t="s">
        <v>16736</v>
      </c>
      <c r="F2335" s="10">
        <v>1.514</v>
      </c>
      <c r="G2335" s="10">
        <v>1.665</v>
      </c>
      <c r="H2335" s="10"/>
      <c r="I2335" s="9" t="s">
        <v>444</v>
      </c>
      <c r="J2335" s="9" t="s">
        <v>16737</v>
      </c>
      <c r="K2335" s="9" t="s">
        <v>16738</v>
      </c>
      <c r="L2335" s="8" t="s">
        <v>15489</v>
      </c>
      <c r="M2335" s="9" t="s">
        <v>36</v>
      </c>
      <c r="N2335" s="9" t="s">
        <v>645</v>
      </c>
      <c r="O2335" s="9">
        <f>HYPERLINK("https://www.google.com/maps/search/?api=1&amp;query=43.27739371,-5.61758742", "https://www.google.com/maps/search/?api=1&amp;query=43.27739371,-5.61758742")</f>
      </c>
      <c r="P2335" s="9" t="s">
        <v>3400</v>
      </c>
      <c r="Q2335" s="9" t="s">
        <v>16739</v>
      </c>
    </row>
    <row r="2336" spans="1:17" x14ac:dyDescent="0.25">
      <c r="A2336" s="8" t="s">
        <v>16740</v>
      </c>
      <c r="B2336" s="8" t="s">
        <v>16741</v>
      </c>
      <c r="C2336" s="9" t="s">
        <v>16742</v>
      </c>
      <c r="D2336" s="9" t="s">
        <v>631</v>
      </c>
      <c r="E2336" s="9" t="s">
        <v>16743</v>
      </c>
      <c r="F2336" s="10">
        <v>1.514</v>
      </c>
      <c r="G2336" s="10">
        <v>1.665</v>
      </c>
      <c r="H2336" s="10"/>
      <c r="I2336" s="9" t="s">
        <v>45</v>
      </c>
      <c r="J2336" s="9" t="s">
        <v>16744</v>
      </c>
      <c r="K2336" s="9" t="s">
        <v>16745</v>
      </c>
      <c r="L2336" s="8" t="s">
        <v>16746</v>
      </c>
      <c r="M2336" s="9" t="s">
        <v>36</v>
      </c>
      <c r="N2336" s="9" t="s">
        <v>88</v>
      </c>
      <c r="O2336" s="9">
        <f>HYPERLINK("https://www.google.com/maps/search/?api=1&amp;query=37.98469867,-4.28288965", "https://www.google.com/maps/search/?api=1&amp;query=37.98469867,-4.28288965")</f>
      </c>
      <c r="P2336" s="9" t="s">
        <v>16747</v>
      </c>
      <c r="Q2336" s="9" t="s">
        <v>16748</v>
      </c>
    </row>
    <row r="2337" spans="1:17" x14ac:dyDescent="0.25">
      <c r="A2337" s="8" t="s">
        <v>16749</v>
      </c>
      <c r="B2337" s="8" t="s">
        <v>16750</v>
      </c>
      <c r="C2337" s="9" t="s">
        <v>16751</v>
      </c>
      <c r="D2337" s="9" t="s">
        <v>217</v>
      </c>
      <c r="E2337" s="9" t="s">
        <v>1224</v>
      </c>
      <c r="F2337" s="10">
        <v>1.514</v>
      </c>
      <c r="G2337" s="10">
        <v>1.665</v>
      </c>
      <c r="H2337" s="10"/>
      <c r="I2337" s="9" t="s">
        <v>45</v>
      </c>
      <c r="J2337" s="9" t="s">
        <v>16752</v>
      </c>
      <c r="K2337" s="9" t="s">
        <v>16753</v>
      </c>
      <c r="L2337" s="8" t="s">
        <v>1227</v>
      </c>
      <c r="M2337" s="9" t="s">
        <v>36</v>
      </c>
      <c r="N2337" s="9" t="s">
        <v>211</v>
      </c>
      <c r="O2337" s="9">
        <f>HYPERLINK("https://www.google.com/maps/search/?api=1&amp;query=37.02272002,-4.5500267", "https://www.google.com/maps/search/?api=1&amp;query=37.02272002,-4.5500267")</f>
      </c>
      <c r="P2337" s="9" t="s">
        <v>1203</v>
      </c>
      <c r="Q2337" s="9" t="s">
        <v>16754</v>
      </c>
    </row>
    <row r="2338" spans="1:17" x14ac:dyDescent="0.25">
      <c r="A2338" s="8" t="s">
        <v>16755</v>
      </c>
      <c r="B2338" s="8" t="s">
        <v>16756</v>
      </c>
      <c r="C2338" s="9" t="s">
        <v>16757</v>
      </c>
      <c r="D2338" s="9" t="s">
        <v>61</v>
      </c>
      <c r="E2338" s="9" t="s">
        <v>1808</v>
      </c>
      <c r="F2338" s="10">
        <v>1.514</v>
      </c>
      <c r="G2338" s="10">
        <v>1.665</v>
      </c>
      <c r="H2338" s="10"/>
      <c r="I2338" s="9" t="s">
        <v>45</v>
      </c>
      <c r="J2338" s="9" t="s">
        <v>16758</v>
      </c>
      <c r="K2338" s="9" t="s">
        <v>16759</v>
      </c>
      <c r="L2338" s="8" t="s">
        <v>1811</v>
      </c>
      <c r="M2338" s="9" t="s">
        <v>49</v>
      </c>
      <c r="N2338" s="9" t="s">
        <v>10630</v>
      </c>
      <c r="O2338" s="9">
        <f>HYPERLINK("https://www.google.com/maps/search/?api=1&amp;query=37.35214934,-6.05616463", "https://www.google.com/maps/search/?api=1&amp;query=37.35214934,-6.05616463")</f>
      </c>
      <c r="P2338" s="9" t="s">
        <v>572</v>
      </c>
      <c r="Q2338" s="9" t="s">
        <v>3619</v>
      </c>
    </row>
    <row r="2339" spans="1:17" x14ac:dyDescent="0.25">
      <c r="A2339" s="8" t="s">
        <v>16760</v>
      </c>
      <c r="B2339" s="8" t="s">
        <v>16761</v>
      </c>
      <c r="C2339" s="9" t="s">
        <v>16762</v>
      </c>
      <c r="D2339" s="9" t="s">
        <v>155</v>
      </c>
      <c r="E2339" s="9" t="s">
        <v>16763</v>
      </c>
      <c r="F2339" s="10">
        <v>1.514</v>
      </c>
      <c r="G2339" s="10">
        <v>1.665</v>
      </c>
      <c r="H2339" s="10"/>
      <c r="I2339" s="9" t="s">
        <v>157</v>
      </c>
      <c r="J2339" s="9" t="s">
        <v>16764</v>
      </c>
      <c r="K2339" s="9" t="s">
        <v>16765</v>
      </c>
      <c r="L2339" s="8" t="s">
        <v>16766</v>
      </c>
      <c r="M2339" s="9" t="s">
        <v>49</v>
      </c>
      <c r="N2339" s="9" t="s">
        <v>11606</v>
      </c>
      <c r="O2339" s="9">
        <f>HYPERLINK("https://www.google.com/maps/search/?api=1&amp;query=39.62591781,3.10903244", "https://www.google.com/maps/search/?api=1&amp;query=39.62591781,3.10903244")</f>
      </c>
      <c r="P2339" s="9" t="s">
        <v>8236</v>
      </c>
      <c r="Q2339" s="9" t="s">
        <v>16767</v>
      </c>
    </row>
    <row r="2340" spans="1:17" x14ac:dyDescent="0.25">
      <c r="A2340" s="8" t="s">
        <v>16768</v>
      </c>
      <c r="B2340" s="8" t="s">
        <v>16769</v>
      </c>
      <c r="C2340" s="9" t="s">
        <v>16770</v>
      </c>
      <c r="D2340" s="9" t="s">
        <v>197</v>
      </c>
      <c r="E2340" s="9" t="s">
        <v>1080</v>
      </c>
      <c r="F2340" s="10">
        <v>1.514</v>
      </c>
      <c r="G2340" s="10">
        <v>1.665</v>
      </c>
      <c r="H2340" s="10"/>
      <c r="I2340" s="9" t="s">
        <v>168</v>
      </c>
      <c r="J2340" s="9" t="s">
        <v>16771</v>
      </c>
      <c r="K2340" s="9" t="s">
        <v>16772</v>
      </c>
      <c r="L2340" s="8" t="s">
        <v>1083</v>
      </c>
      <c r="M2340" s="9" t="s">
        <v>36</v>
      </c>
      <c r="N2340" s="9" t="s">
        <v>88</v>
      </c>
      <c r="O2340" s="9">
        <f>HYPERLINK("https://www.google.com/maps/search/?api=1&amp;query=39.69189194,-3.83293783", "https://www.google.com/maps/search/?api=1&amp;query=39.69189194,-3.83293783")</f>
      </c>
      <c r="P2340" s="9" t="s">
        <v>38</v>
      </c>
      <c r="Q2340" s="9" t="s">
        <v>8774</v>
      </c>
    </row>
    <row r="2341" spans="1:17" x14ac:dyDescent="0.25">
      <c r="A2341" s="8" t="s">
        <v>16773</v>
      </c>
      <c r="B2341" s="8" t="s">
        <v>16774</v>
      </c>
      <c r="C2341" s="9" t="s">
        <v>16775</v>
      </c>
      <c r="D2341" s="9" t="s">
        <v>83</v>
      </c>
      <c r="E2341" s="9" t="s">
        <v>83</v>
      </c>
      <c r="F2341" s="10">
        <v>1.514</v>
      </c>
      <c r="G2341" s="10">
        <v>1.665</v>
      </c>
      <c r="H2341" s="10"/>
      <c r="I2341" s="9" t="s">
        <v>83</v>
      </c>
      <c r="J2341" s="9" t="s">
        <v>3789</v>
      </c>
      <c r="K2341" s="9" t="s">
        <v>16776</v>
      </c>
      <c r="L2341" s="8" t="s">
        <v>1219</v>
      </c>
      <c r="M2341" s="9" t="s">
        <v>36</v>
      </c>
      <c r="N2341" s="9" t="s">
        <v>16777</v>
      </c>
      <c r="O2341" s="9">
        <f>HYPERLINK("https://www.google.com/maps/search/?api=1&amp;query=40.44996134,-3.56532054", "https://www.google.com/maps/search/?api=1&amp;query=40.44996134,-3.56532054")</f>
      </c>
      <c r="P2341" s="9" t="s">
        <v>172</v>
      </c>
      <c r="Q2341" s="9" t="s">
        <v>16778</v>
      </c>
    </row>
    <row r="2342" spans="1:17" x14ac:dyDescent="0.25">
      <c r="A2342" s="8" t="s">
        <v>16779</v>
      </c>
      <c r="B2342" s="8" t="s">
        <v>16780</v>
      </c>
      <c r="C2342" s="9" t="s">
        <v>16781</v>
      </c>
      <c r="D2342" s="9" t="s">
        <v>1282</v>
      </c>
      <c r="E2342" s="9" t="s">
        <v>16782</v>
      </c>
      <c r="F2342" s="10">
        <v>1.514</v>
      </c>
      <c r="G2342" s="10">
        <v>1.665</v>
      </c>
      <c r="H2342" s="10"/>
      <c r="I2342" s="9" t="s">
        <v>45</v>
      </c>
      <c r="J2342" s="9" t="s">
        <v>16783</v>
      </c>
      <c r="K2342" s="9" t="s">
        <v>16784</v>
      </c>
      <c r="L2342" s="8" t="s">
        <v>16785</v>
      </c>
      <c r="M2342" s="9" t="s">
        <v>36</v>
      </c>
      <c r="N2342" s="9" t="s">
        <v>645</v>
      </c>
      <c r="O2342" s="9">
        <f>HYPERLINK("https://www.google.com/maps/search/?api=1&amp;query=37.593694,-2.464583", "https://www.google.com/maps/search/?api=1&amp;query=37.593694,-2.464583")</f>
      </c>
      <c r="P2342" s="9" t="s">
        <v>38</v>
      </c>
      <c r="Q2342" s="9" t="s">
        <v>7038</v>
      </c>
    </row>
    <row r="2343" spans="1:17" x14ac:dyDescent="0.25">
      <c r="A2343" s="8" t="s">
        <v>16786</v>
      </c>
      <c r="B2343" s="8" t="s">
        <v>16787</v>
      </c>
      <c r="C2343" s="9" t="s">
        <v>16788</v>
      </c>
      <c r="D2343" s="9" t="s">
        <v>217</v>
      </c>
      <c r="E2343" s="9" t="s">
        <v>1224</v>
      </c>
      <c r="F2343" s="10">
        <v>1.514</v>
      </c>
      <c r="G2343" s="10">
        <v>1.665</v>
      </c>
      <c r="H2343" s="10"/>
      <c r="I2343" s="9" t="s">
        <v>45</v>
      </c>
      <c r="J2343" s="9" t="s">
        <v>16789</v>
      </c>
      <c r="K2343" s="9" t="s">
        <v>16790</v>
      </c>
      <c r="L2343" s="8" t="s">
        <v>1227</v>
      </c>
      <c r="M2343" s="9" t="s">
        <v>100</v>
      </c>
      <c r="N2343" s="9" t="s">
        <v>88</v>
      </c>
      <c r="O2343" s="9">
        <f>HYPERLINK("https://www.google.com/maps/search/?api=1&amp;query=36.98062104,-4.45568", "https://www.google.com/maps/search/?api=1&amp;query=36.98062104,-4.45568")</f>
      </c>
      <c r="P2343" s="9" t="s">
        <v>880</v>
      </c>
      <c r="Q2343" s="9" t="s">
        <v>112</v>
      </c>
    </row>
    <row r="2344" spans="1:17" x14ac:dyDescent="0.25">
      <c r="A2344" s="8" t="s">
        <v>16791</v>
      </c>
      <c r="B2344" s="8" t="s">
        <v>16792</v>
      </c>
      <c r="C2344" s="9" t="s">
        <v>16793</v>
      </c>
      <c r="D2344" s="9" t="s">
        <v>253</v>
      </c>
      <c r="E2344" s="9" t="s">
        <v>8464</v>
      </c>
      <c r="F2344" s="10">
        <v>1.514</v>
      </c>
      <c r="G2344" s="10">
        <v>1.665</v>
      </c>
      <c r="H2344" s="10"/>
      <c r="I2344" s="9" t="s">
        <v>96</v>
      </c>
      <c r="J2344" s="9" t="s">
        <v>16794</v>
      </c>
      <c r="K2344" s="9" t="s">
        <v>16795</v>
      </c>
      <c r="L2344" s="8" t="s">
        <v>8467</v>
      </c>
      <c r="M2344" s="9" t="s">
        <v>49</v>
      </c>
      <c r="N2344" s="9" t="s">
        <v>592</v>
      </c>
      <c r="O2344" s="9">
        <f>HYPERLINK("https://www.google.com/maps/search/?api=1&amp;query=40.71549298,0.74518177", "https://www.google.com/maps/search/?api=1&amp;query=40.71549298,0.74518177")</f>
      </c>
      <c r="P2344" s="9" t="s">
        <v>266</v>
      </c>
      <c r="Q2344" s="9" t="s">
        <v>16796</v>
      </c>
    </row>
    <row r="2345" spans="1:17" x14ac:dyDescent="0.25">
      <c r="A2345" s="8" t="s">
        <v>16797</v>
      </c>
      <c r="B2345" s="8" t="s">
        <v>16798</v>
      </c>
      <c r="C2345" s="9" t="s">
        <v>16799</v>
      </c>
      <c r="D2345" s="9" t="s">
        <v>1434</v>
      </c>
      <c r="E2345" s="9" t="s">
        <v>16800</v>
      </c>
      <c r="F2345" s="10">
        <v>1.514</v>
      </c>
      <c r="G2345" s="10">
        <v>1.665</v>
      </c>
      <c r="H2345" s="10"/>
      <c r="I2345" s="9" t="s">
        <v>1434</v>
      </c>
      <c r="J2345" s="9" t="s">
        <v>16801</v>
      </c>
      <c r="K2345" s="9" t="s">
        <v>16802</v>
      </c>
      <c r="L2345" s="8" t="s">
        <v>16803</v>
      </c>
      <c r="M2345" s="9" t="s">
        <v>49</v>
      </c>
      <c r="N2345" s="9" t="s">
        <v>16804</v>
      </c>
      <c r="O2345" s="9">
        <f>HYPERLINK("https://www.google.com/maps/search/?api=1&amp;query=42.57517471,-2.8512084", "https://www.google.com/maps/search/?api=1&amp;query=42.57517471,-2.8512084")</f>
      </c>
      <c r="P2345" s="9" t="s">
        <v>1439</v>
      </c>
      <c r="Q2345" s="9" t="s">
        <v>4771</v>
      </c>
    </row>
    <row r="2346" spans="1:17" x14ac:dyDescent="0.25">
      <c r="A2346" s="8" t="s">
        <v>16805</v>
      </c>
      <c r="B2346" s="8" t="s">
        <v>16806</v>
      </c>
      <c r="C2346" s="9" t="s">
        <v>16807</v>
      </c>
      <c r="D2346" s="9" t="s">
        <v>106</v>
      </c>
      <c r="E2346" s="9" t="s">
        <v>16808</v>
      </c>
      <c r="F2346" s="10">
        <v>1.514</v>
      </c>
      <c r="G2346" s="10">
        <v>1.665</v>
      </c>
      <c r="H2346" s="10"/>
      <c r="I2346" s="9" t="s">
        <v>106</v>
      </c>
      <c r="J2346" s="9" t="s">
        <v>16809</v>
      </c>
      <c r="K2346" s="9" t="s">
        <v>16810</v>
      </c>
      <c r="L2346" s="8" t="s">
        <v>16811</v>
      </c>
      <c r="M2346" s="9" t="s">
        <v>36</v>
      </c>
      <c r="N2346" s="9" t="s">
        <v>5787</v>
      </c>
      <c r="O2346" s="9">
        <f>HYPERLINK("https://www.google.com/maps/search/?api=1&amp;query=37.73278508,-0.85977213", "https://www.google.com/maps/search/?api=1&amp;query=37.73278508,-0.85977213")</f>
      </c>
      <c r="P2346" s="9" t="s">
        <v>7824</v>
      </c>
      <c r="Q2346" s="9" t="s">
        <v>16812</v>
      </c>
    </row>
    <row r="2347" spans="1:17" x14ac:dyDescent="0.25">
      <c r="A2347" s="8" t="s">
        <v>16813</v>
      </c>
      <c r="B2347" s="8" t="s">
        <v>16814</v>
      </c>
      <c r="C2347" s="9" t="s">
        <v>16815</v>
      </c>
      <c r="D2347" s="9" t="s">
        <v>1483</v>
      </c>
      <c r="E2347" s="9" t="s">
        <v>16816</v>
      </c>
      <c r="F2347" s="10">
        <v>1.514</v>
      </c>
      <c r="G2347" s="10">
        <v>1.665</v>
      </c>
      <c r="H2347" s="10"/>
      <c r="I2347" s="9" t="s">
        <v>74</v>
      </c>
      <c r="J2347" s="9" t="s">
        <v>16817</v>
      </c>
      <c r="K2347" s="9" t="s">
        <v>16818</v>
      </c>
      <c r="L2347" s="8" t="s">
        <v>16819</v>
      </c>
      <c r="M2347" s="9" t="s">
        <v>100</v>
      </c>
      <c r="N2347" s="9" t="s">
        <v>37</v>
      </c>
      <c r="O2347" s="9">
        <f>HYPERLINK("https://www.google.com/maps/search/?api=1&amp;query=42.04090425,-3.75150708", "https://www.google.com/maps/search/?api=1&amp;query=42.04090425,-3.75150708")</f>
      </c>
      <c r="P2347" s="9" t="s">
        <v>493</v>
      </c>
      <c r="Q2347" s="9" t="s">
        <v>7038</v>
      </c>
    </row>
    <row r="2348" spans="1:17" x14ac:dyDescent="0.25">
      <c r="A2348" s="8" t="s">
        <v>16820</v>
      </c>
      <c r="B2348" s="8" t="s">
        <v>16821</v>
      </c>
      <c r="C2348" s="9" t="s">
        <v>16822</v>
      </c>
      <c r="D2348" s="9" t="s">
        <v>2050</v>
      </c>
      <c r="E2348" s="9" t="s">
        <v>16823</v>
      </c>
      <c r="F2348" s="10">
        <v>1.514</v>
      </c>
      <c r="G2348" s="10">
        <v>1.665</v>
      </c>
      <c r="H2348" s="10"/>
      <c r="I2348" s="9" t="s">
        <v>140</v>
      </c>
      <c r="J2348" s="9" t="s">
        <v>16824</v>
      </c>
      <c r="K2348" s="9" t="s">
        <v>16825</v>
      </c>
      <c r="L2348" s="8" t="s">
        <v>16826</v>
      </c>
      <c r="M2348" s="9" t="s">
        <v>36</v>
      </c>
      <c r="N2348" s="9" t="s">
        <v>16827</v>
      </c>
      <c r="O2348" s="9">
        <f>HYPERLINK("https://www.google.com/maps/search/?api=1&amp;query=42.46761262,-7.9879326", "https://www.google.com/maps/search/?api=1&amp;query=42.46761262,-7.9879326")</f>
      </c>
      <c r="P2348" s="9" t="s">
        <v>296</v>
      </c>
      <c r="Q2348" s="9" t="s">
        <v>16828</v>
      </c>
    </row>
    <row r="2349" spans="1:17" x14ac:dyDescent="0.25">
      <c r="A2349" s="8" t="s">
        <v>16829</v>
      </c>
      <c r="B2349" s="8" t="s">
        <v>16830</v>
      </c>
      <c r="C2349" s="9" t="s">
        <v>16831</v>
      </c>
      <c r="D2349" s="9" t="s">
        <v>1847</v>
      </c>
      <c r="E2349" s="9" t="s">
        <v>16832</v>
      </c>
      <c r="F2349" s="10">
        <v>1.514</v>
      </c>
      <c r="G2349" s="10">
        <v>1.665</v>
      </c>
      <c r="H2349" s="10"/>
      <c r="I2349" s="9" t="s">
        <v>74</v>
      </c>
      <c r="J2349" s="9" t="s">
        <v>16833</v>
      </c>
      <c r="K2349" s="9" t="s">
        <v>16834</v>
      </c>
      <c r="L2349" s="8" t="s">
        <v>16835</v>
      </c>
      <c r="M2349" s="9" t="s">
        <v>49</v>
      </c>
      <c r="N2349" s="9" t="s">
        <v>16836</v>
      </c>
      <c r="O2349" s="9">
        <f>HYPERLINK("https://www.google.com/maps/search/?api=1&amp;query=41.33990727,-4.44206753", "https://www.google.com/maps/search/?api=1&amp;query=41.33990727,-4.44206753")</f>
      </c>
      <c r="P2349" s="9" t="s">
        <v>1927</v>
      </c>
      <c r="Q2349" s="9" t="s">
        <v>1131</v>
      </c>
    </row>
    <row r="2350" spans="1:17" x14ac:dyDescent="0.25">
      <c r="A2350" s="8" t="s">
        <v>16837</v>
      </c>
      <c r="B2350" s="8" t="s">
        <v>16838</v>
      </c>
      <c r="C2350" s="9" t="s">
        <v>16839</v>
      </c>
      <c r="D2350" s="9" t="s">
        <v>155</v>
      </c>
      <c r="E2350" s="9" t="s">
        <v>16840</v>
      </c>
      <c r="F2350" s="10">
        <v>1.514</v>
      </c>
      <c r="G2350" s="10">
        <v>1.665</v>
      </c>
      <c r="H2350" s="10"/>
      <c r="I2350" s="9" t="s">
        <v>157</v>
      </c>
      <c r="J2350" s="9" t="s">
        <v>16841</v>
      </c>
      <c r="K2350" s="9" t="s">
        <v>16842</v>
      </c>
      <c r="L2350" s="8" t="s">
        <v>16843</v>
      </c>
      <c r="M2350" s="9" t="s">
        <v>36</v>
      </c>
      <c r="N2350" s="9" t="s">
        <v>1719</v>
      </c>
      <c r="O2350" s="9">
        <f>HYPERLINK("https://www.google.com/maps/search/?api=1&amp;query=39.07031464,1.49614696", "https://www.google.com/maps/search/?api=1&amp;query=39.07031464,1.49614696")</f>
      </c>
      <c r="P2350" s="9" t="s">
        <v>16844</v>
      </c>
      <c r="Q2350" s="9" t="s">
        <v>6974</v>
      </c>
    </row>
    <row r="2351" spans="1:17" x14ac:dyDescent="0.25">
      <c r="A2351" s="8" t="s">
        <v>16845</v>
      </c>
      <c r="B2351" s="8" t="s">
        <v>16846</v>
      </c>
      <c r="C2351" s="9" t="s">
        <v>16847</v>
      </c>
      <c r="D2351" s="9" t="s">
        <v>177</v>
      </c>
      <c r="E2351" s="9" t="s">
        <v>16848</v>
      </c>
      <c r="F2351" s="10">
        <v>1.514</v>
      </c>
      <c r="G2351" s="10">
        <v>1.665</v>
      </c>
      <c r="H2351" s="10"/>
      <c r="I2351" s="9" t="s">
        <v>74</v>
      </c>
      <c r="J2351" s="9" t="s">
        <v>16849</v>
      </c>
      <c r="K2351" s="9" t="s">
        <v>16850</v>
      </c>
      <c r="L2351" s="8" t="s">
        <v>10309</v>
      </c>
      <c r="M2351" s="9" t="s">
        <v>49</v>
      </c>
      <c r="N2351" s="9" t="s">
        <v>211</v>
      </c>
      <c r="O2351" s="9">
        <f>HYPERLINK("https://www.google.com/maps/search/?api=1&amp;query=41.51741204,-4.94592633", "https://www.google.com/maps/search/?api=1&amp;query=41.51741204,-4.94592633")</f>
      </c>
      <c r="P2351" s="9" t="s">
        <v>4612</v>
      </c>
      <c r="Q2351" s="9" t="s">
        <v>16851</v>
      </c>
    </row>
    <row r="2352" spans="1:17" x14ac:dyDescent="0.25">
      <c r="A2352" s="8" t="s">
        <v>16852</v>
      </c>
      <c r="B2352" s="8" t="s">
        <v>16853</v>
      </c>
      <c r="C2352" s="9" t="s">
        <v>16854</v>
      </c>
      <c r="D2352" s="9" t="s">
        <v>344</v>
      </c>
      <c r="E2352" s="9" t="s">
        <v>1931</v>
      </c>
      <c r="F2352" s="10">
        <v>1.514</v>
      </c>
      <c r="G2352" s="10">
        <v>1.665</v>
      </c>
      <c r="H2352" s="10"/>
      <c r="I2352" s="9" t="s">
        <v>140</v>
      </c>
      <c r="J2352" s="9" t="s">
        <v>16855</v>
      </c>
      <c r="K2352" s="9" t="s">
        <v>16856</v>
      </c>
      <c r="L2352" s="8" t="s">
        <v>1934</v>
      </c>
      <c r="M2352" s="9" t="s">
        <v>49</v>
      </c>
      <c r="N2352" s="9" t="s">
        <v>211</v>
      </c>
      <c r="O2352" s="9">
        <f>HYPERLINK("https://www.google.com/maps/search/?api=1&amp;query=43.34907977,-8.40588169", "https://www.google.com/maps/search/?api=1&amp;query=43.34907977,-8.40588169")</f>
      </c>
      <c r="P2352" s="9" t="s">
        <v>1287</v>
      </c>
      <c r="Q2352" s="9" t="s">
        <v>5645</v>
      </c>
    </row>
    <row r="2353" spans="1:17" x14ac:dyDescent="0.25">
      <c r="A2353" s="8" t="s">
        <v>16857</v>
      </c>
      <c r="B2353" s="8" t="s">
        <v>16858</v>
      </c>
      <c r="C2353" s="9" t="s">
        <v>16859</v>
      </c>
      <c r="D2353" s="9" t="s">
        <v>658</v>
      </c>
      <c r="E2353" s="9" t="s">
        <v>16860</v>
      </c>
      <c r="F2353" s="10">
        <v>1.514</v>
      </c>
      <c r="G2353" s="10">
        <v>1.665</v>
      </c>
      <c r="H2353" s="10"/>
      <c r="I2353" s="9" t="s">
        <v>45</v>
      </c>
      <c r="J2353" s="9" t="s">
        <v>16861</v>
      </c>
      <c r="K2353" s="9" t="s">
        <v>16862</v>
      </c>
      <c r="L2353" s="8" t="s">
        <v>16863</v>
      </c>
      <c r="M2353" s="9" t="s">
        <v>49</v>
      </c>
      <c r="N2353" s="9" t="s">
        <v>88</v>
      </c>
      <c r="O2353" s="9">
        <f>HYPERLINK("https://www.google.com/maps/search/?api=1&amp;query=37.36321851,-2.26815925", "https://www.google.com/maps/search/?api=1&amp;query=37.36321851,-2.26815925")</f>
      </c>
      <c r="P2353" s="9" t="s">
        <v>2158</v>
      </c>
      <c r="Q2353" s="9" t="s">
        <v>16864</v>
      </c>
    </row>
    <row r="2354" spans="1:17" x14ac:dyDescent="0.25">
      <c r="A2354" s="8" t="s">
        <v>9159</v>
      </c>
      <c r="B2354" s="8" t="s">
        <v>16865</v>
      </c>
      <c r="C2354" s="9" t="s">
        <v>16866</v>
      </c>
      <c r="D2354" s="9" t="s">
        <v>128</v>
      </c>
      <c r="E2354" s="9" t="s">
        <v>10286</v>
      </c>
      <c r="F2354" s="10">
        <v>1.514</v>
      </c>
      <c r="G2354" s="10">
        <v>1.665</v>
      </c>
      <c r="H2354" s="10"/>
      <c r="I2354" s="9" t="s">
        <v>45</v>
      </c>
      <c r="J2354" s="9" t="s">
        <v>16867</v>
      </c>
      <c r="K2354" s="9" t="s">
        <v>16868</v>
      </c>
      <c r="L2354" s="8" t="s">
        <v>3837</v>
      </c>
      <c r="M2354" s="9" t="s">
        <v>49</v>
      </c>
      <c r="N2354" s="9" t="s">
        <v>16869</v>
      </c>
      <c r="O2354" s="9">
        <f>HYPERLINK("https://www.google.com/maps/search/?api=1&amp;query=36.38120682,-6.1157311", "https://www.google.com/maps/search/?api=1&amp;query=36.38120682,-6.1157311")</f>
      </c>
      <c r="P2354" s="9" t="s">
        <v>7991</v>
      </c>
      <c r="Q2354" s="9" t="s">
        <v>16870</v>
      </c>
    </row>
    <row r="2355" spans="1:17" x14ac:dyDescent="0.25">
      <c r="A2355" s="8" t="s">
        <v>16871</v>
      </c>
      <c r="B2355" s="8" t="s">
        <v>16872</v>
      </c>
      <c r="C2355" s="9" t="s">
        <v>16873</v>
      </c>
      <c r="D2355" s="9" t="s">
        <v>166</v>
      </c>
      <c r="E2355" s="9" t="s">
        <v>166</v>
      </c>
      <c r="F2355" s="10">
        <v>1.514</v>
      </c>
      <c r="G2355" s="10">
        <v>1.665</v>
      </c>
      <c r="H2355" s="10"/>
      <c r="I2355" s="9" t="s">
        <v>168</v>
      </c>
      <c r="J2355" s="9" t="s">
        <v>16874</v>
      </c>
      <c r="K2355" s="9" t="s">
        <v>16875</v>
      </c>
      <c r="L2355" s="8" t="s">
        <v>13030</v>
      </c>
      <c r="M2355" s="9" t="s">
        <v>49</v>
      </c>
      <c r="N2355" s="9" t="s">
        <v>3164</v>
      </c>
      <c r="O2355" s="9">
        <f>HYPERLINK("https://www.google.com/maps/search/?api=1&amp;query=40.59984346,-3.16229698", "https://www.google.com/maps/search/?api=1&amp;query=40.59984346,-3.16229698")</f>
      </c>
      <c r="P2355" s="9" t="s">
        <v>1139</v>
      </c>
      <c r="Q2355" s="9" t="s">
        <v>16876</v>
      </c>
    </row>
    <row r="2356" spans="1:17" x14ac:dyDescent="0.25">
      <c r="A2356" s="8" t="s">
        <v>16877</v>
      </c>
      <c r="B2356" s="8" t="s">
        <v>16878</v>
      </c>
      <c r="C2356" s="9" t="s">
        <v>16879</v>
      </c>
      <c r="D2356" s="9" t="s">
        <v>1192</v>
      </c>
      <c r="E2356" s="9" t="s">
        <v>16880</v>
      </c>
      <c r="F2356" s="10">
        <v>1.514</v>
      </c>
      <c r="G2356" s="10">
        <v>1.665</v>
      </c>
      <c r="H2356" s="10"/>
      <c r="I2356" s="9" t="s">
        <v>168</v>
      </c>
      <c r="J2356" s="9" t="s">
        <v>16881</v>
      </c>
      <c r="K2356" s="9" t="s">
        <v>16882</v>
      </c>
      <c r="L2356" s="8" t="s">
        <v>16883</v>
      </c>
      <c r="M2356" s="9" t="s">
        <v>49</v>
      </c>
      <c r="N2356" s="9" t="s">
        <v>16884</v>
      </c>
      <c r="O2356" s="9">
        <f>HYPERLINK("https://www.google.com/maps/search/?api=1&amp;query=38.5408923,-3.28147936", "https://www.google.com/maps/search/?api=1&amp;query=38.5408923,-3.28147936")</f>
      </c>
      <c r="P2356" s="9" t="s">
        <v>7433</v>
      </c>
      <c r="Q2356" s="9" t="s">
        <v>647</v>
      </c>
    </row>
    <row r="2357" spans="1:17" x14ac:dyDescent="0.25">
      <c r="A2357" s="8" t="s">
        <v>16885</v>
      </c>
      <c r="B2357" s="8" t="s">
        <v>16886</v>
      </c>
      <c r="C2357" s="9" t="s">
        <v>16887</v>
      </c>
      <c r="D2357" s="9" t="s">
        <v>1282</v>
      </c>
      <c r="E2357" s="9" t="s">
        <v>14179</v>
      </c>
      <c r="F2357" s="10">
        <v>1.514</v>
      </c>
      <c r="G2357" s="10">
        <v>1.665</v>
      </c>
      <c r="H2357" s="10"/>
      <c r="I2357" s="9" t="s">
        <v>45</v>
      </c>
      <c r="J2357" s="9" t="s">
        <v>16888</v>
      </c>
      <c r="K2357" s="9" t="s">
        <v>16889</v>
      </c>
      <c r="L2357" s="8" t="s">
        <v>14182</v>
      </c>
      <c r="M2357" s="9" t="s">
        <v>36</v>
      </c>
      <c r="N2357" s="9" t="s">
        <v>3326</v>
      </c>
      <c r="O2357" s="9">
        <f>HYPERLINK("https://www.google.com/maps/search/?api=1&amp;query=37.49373758,-2.77508848", "https://www.google.com/maps/search/?api=1&amp;query=37.49373758,-2.77508848")</f>
      </c>
      <c r="P2357" s="9" t="s">
        <v>5555</v>
      </c>
      <c r="Q2357" s="9" t="s">
        <v>647</v>
      </c>
    </row>
    <row r="2358" spans="1:17" x14ac:dyDescent="0.25">
      <c r="A2358" s="8" t="s">
        <v>16890</v>
      </c>
      <c r="B2358" s="8" t="s">
        <v>16891</v>
      </c>
      <c r="C2358" s="9" t="s">
        <v>16892</v>
      </c>
      <c r="D2358" s="9" t="s">
        <v>409</v>
      </c>
      <c r="E2358" s="9" t="s">
        <v>16893</v>
      </c>
      <c r="F2358" s="10">
        <v>1.514</v>
      </c>
      <c r="G2358" s="10">
        <v>1.665</v>
      </c>
      <c r="H2358" s="10"/>
      <c r="I2358" s="9" t="s">
        <v>292</v>
      </c>
      <c r="J2358" s="9" t="s">
        <v>16894</v>
      </c>
      <c r="K2358" s="9" t="s">
        <v>16895</v>
      </c>
      <c r="L2358" s="8" t="s">
        <v>16896</v>
      </c>
      <c r="M2358" s="9" t="s">
        <v>100</v>
      </c>
      <c r="N2358" s="9" t="s">
        <v>15494</v>
      </c>
      <c r="O2358" s="9">
        <f>HYPERLINK("https://www.google.com/maps/search/?api=1&amp;query=41.583361,-0.774694", "https://www.google.com/maps/search/?api=1&amp;query=41.583361,-0.774694")</f>
      </c>
      <c r="P2358" s="9" t="s">
        <v>6227</v>
      </c>
      <c r="Q2358" s="9" t="s">
        <v>881</v>
      </c>
    </row>
    <row r="2359" spans="1:17" x14ac:dyDescent="0.25">
      <c r="A2359" s="8" t="s">
        <v>16897</v>
      </c>
      <c r="B2359" s="8" t="s">
        <v>16898</v>
      </c>
      <c r="C2359" s="9" t="s">
        <v>16899</v>
      </c>
      <c r="D2359" s="9" t="s">
        <v>94</v>
      </c>
      <c r="E2359" s="9" t="s">
        <v>16900</v>
      </c>
      <c r="F2359" s="10">
        <v>1.514</v>
      </c>
      <c r="G2359" s="10">
        <v>1.665</v>
      </c>
      <c r="H2359" s="10"/>
      <c r="I2359" s="9" t="s">
        <v>96</v>
      </c>
      <c r="J2359" s="9" t="s">
        <v>16901</v>
      </c>
      <c r="K2359" s="9" t="s">
        <v>16902</v>
      </c>
      <c r="L2359" s="8" t="s">
        <v>16903</v>
      </c>
      <c r="M2359" s="9" t="s">
        <v>100</v>
      </c>
      <c r="N2359" s="9" t="s">
        <v>37</v>
      </c>
      <c r="O2359" s="9">
        <f>HYPERLINK("https://www.google.com/maps/search/?api=1&amp;query=41.61772834,1.39934396", "https://www.google.com/maps/search/?api=1&amp;query=41.61772834,1.39934396")</f>
      </c>
      <c r="P2359" s="9" t="s">
        <v>5926</v>
      </c>
      <c r="Q2359" s="9" t="s">
        <v>2827</v>
      </c>
    </row>
    <row r="2360" spans="1:17" x14ac:dyDescent="0.25">
      <c r="A2360" s="8" t="s">
        <v>16904</v>
      </c>
      <c r="B2360" s="8" t="s">
        <v>16905</v>
      </c>
      <c r="C2360" s="9" t="s">
        <v>16906</v>
      </c>
      <c r="D2360" s="9" t="s">
        <v>217</v>
      </c>
      <c r="E2360" s="9" t="s">
        <v>1224</v>
      </c>
      <c r="F2360" s="10">
        <v>1.514</v>
      </c>
      <c r="G2360" s="10">
        <v>1.665</v>
      </c>
      <c r="H2360" s="10"/>
      <c r="I2360" s="9" t="s">
        <v>45</v>
      </c>
      <c r="J2360" s="9" t="s">
        <v>16907</v>
      </c>
      <c r="K2360" s="9" t="s">
        <v>16908</v>
      </c>
      <c r="L2360" s="8" t="s">
        <v>1227</v>
      </c>
      <c r="M2360" s="9" t="s">
        <v>36</v>
      </c>
      <c r="N2360" s="9" t="s">
        <v>37</v>
      </c>
      <c r="O2360" s="9">
        <f>HYPERLINK("https://www.google.com/maps/search/?api=1&amp;query=36.98687811,-4.46442656", "https://www.google.com/maps/search/?api=1&amp;query=36.98687811,-4.46442656")</f>
      </c>
      <c r="P2360" s="9" t="s">
        <v>521</v>
      </c>
      <c r="Q2360" s="9" t="s">
        <v>5076</v>
      </c>
    </row>
    <row r="2361" spans="1:17" x14ac:dyDescent="0.25">
      <c r="A2361" s="8" t="s">
        <v>16909</v>
      </c>
      <c r="B2361" s="8" t="s">
        <v>16910</v>
      </c>
      <c r="C2361" s="9" t="s">
        <v>16911</v>
      </c>
      <c r="D2361" s="9" t="s">
        <v>155</v>
      </c>
      <c r="E2361" s="9" t="s">
        <v>16912</v>
      </c>
      <c r="F2361" s="10">
        <v>1.514</v>
      </c>
      <c r="G2361" s="10">
        <v>1.665</v>
      </c>
      <c r="H2361" s="10"/>
      <c r="I2361" s="9" t="s">
        <v>157</v>
      </c>
      <c r="J2361" s="9" t="s">
        <v>16913</v>
      </c>
      <c r="K2361" s="9" t="s">
        <v>16914</v>
      </c>
      <c r="L2361" s="8" t="s">
        <v>16915</v>
      </c>
      <c r="M2361" s="9" t="s">
        <v>36</v>
      </c>
      <c r="N2361" s="9" t="s">
        <v>37</v>
      </c>
      <c r="O2361" s="9">
        <f>HYPERLINK("https://www.google.com/maps/search/?api=1&amp;query=39.84338712,3.12356892", "https://www.google.com/maps/search/?api=1&amp;query=39.84338712,3.12356892")</f>
      </c>
      <c r="P2361" s="9" t="s">
        <v>16916</v>
      </c>
      <c r="Q2361" s="9" t="s">
        <v>16917</v>
      </c>
    </row>
    <row r="2362" spans="1:17" x14ac:dyDescent="0.25">
      <c r="A2362" s="8" t="s">
        <v>12822</v>
      </c>
      <c r="B2362" s="8" t="s">
        <v>16918</v>
      </c>
      <c r="C2362" s="9" t="s">
        <v>16919</v>
      </c>
      <c r="D2362" s="9" t="s">
        <v>1847</v>
      </c>
      <c r="E2362" s="9" t="s">
        <v>16920</v>
      </c>
      <c r="F2362" s="10">
        <v>1.514</v>
      </c>
      <c r="G2362" s="10">
        <v>1.665</v>
      </c>
      <c r="H2362" s="10"/>
      <c r="I2362" s="9" t="s">
        <v>74</v>
      </c>
      <c r="J2362" s="9" t="s">
        <v>16921</v>
      </c>
      <c r="K2362" s="9" t="s">
        <v>16922</v>
      </c>
      <c r="L2362" s="8" t="s">
        <v>16923</v>
      </c>
      <c r="M2362" s="9" t="s">
        <v>49</v>
      </c>
      <c r="N2362" s="9" t="s">
        <v>3234</v>
      </c>
      <c r="O2362" s="9">
        <f>HYPERLINK("https://www.google.com/maps/search/?api=1&amp;query=41.13263066,-4.64678283", "https://www.google.com/maps/search/?api=1&amp;query=41.13263066,-4.64678283")</f>
      </c>
      <c r="P2362" s="9" t="s">
        <v>321</v>
      </c>
      <c r="Q2362" s="9" t="s">
        <v>1131</v>
      </c>
    </row>
    <row r="2363" spans="1:17" x14ac:dyDescent="0.25">
      <c r="A2363" s="8" t="s">
        <v>16924</v>
      </c>
      <c r="B2363" s="8" t="s">
        <v>16925</v>
      </c>
      <c r="C2363" s="9" t="s">
        <v>16926</v>
      </c>
      <c r="D2363" s="9" t="s">
        <v>83</v>
      </c>
      <c r="E2363" s="9" t="s">
        <v>4971</v>
      </c>
      <c r="F2363" s="10">
        <v>1.514</v>
      </c>
      <c r="G2363" s="10">
        <v>1.665</v>
      </c>
      <c r="H2363" s="10"/>
      <c r="I2363" s="9" t="s">
        <v>83</v>
      </c>
      <c r="J2363" s="9" t="s">
        <v>16927</v>
      </c>
      <c r="K2363" s="9" t="s">
        <v>8869</v>
      </c>
      <c r="L2363" s="8" t="s">
        <v>4974</v>
      </c>
      <c r="M2363" s="9" t="s">
        <v>36</v>
      </c>
      <c r="N2363" s="9" t="s">
        <v>8871</v>
      </c>
      <c r="O2363" s="9">
        <f>HYPERLINK("https://www.google.com/maps/search/?api=1&amp;query=40.507022,-3.91413743", "https://www.google.com/maps/search/?api=1&amp;query=40.507022,-3.91413743")</f>
      </c>
      <c r="P2363" s="9" t="s">
        <v>1250</v>
      </c>
      <c r="Q2363" s="9" t="s">
        <v>1742</v>
      </c>
    </row>
    <row r="2364" spans="1:17" x14ac:dyDescent="0.25">
      <c r="A2364" s="8" t="s">
        <v>16928</v>
      </c>
      <c r="B2364" s="8" t="s">
        <v>16929</v>
      </c>
      <c r="C2364" s="9" t="s">
        <v>16930</v>
      </c>
      <c r="D2364" s="9" t="s">
        <v>280</v>
      </c>
      <c r="E2364" s="9" t="s">
        <v>3102</v>
      </c>
      <c r="F2364" s="10">
        <v>1.514</v>
      </c>
      <c r="G2364" s="10">
        <v>1.665</v>
      </c>
      <c r="H2364" s="10"/>
      <c r="I2364" s="9" t="s">
        <v>118</v>
      </c>
      <c r="J2364" s="9" t="s">
        <v>16931</v>
      </c>
      <c r="K2364" s="9" t="s">
        <v>16932</v>
      </c>
      <c r="L2364" s="8" t="s">
        <v>3105</v>
      </c>
      <c r="M2364" s="9" t="s">
        <v>49</v>
      </c>
      <c r="N2364" s="9" t="s">
        <v>88</v>
      </c>
      <c r="O2364" s="9">
        <f>HYPERLINK("https://www.google.com/maps/search/?api=1&amp;query=43.01371986,-2.53459192", "https://www.google.com/maps/search/?api=1&amp;query=43.01371986,-2.53459192")</f>
      </c>
      <c r="P2364" s="9" t="s">
        <v>2135</v>
      </c>
      <c r="Q2364" s="9" t="s">
        <v>4925</v>
      </c>
    </row>
    <row r="2365" spans="1:17" x14ac:dyDescent="0.25">
      <c r="A2365" s="8" t="s">
        <v>16933</v>
      </c>
      <c r="B2365" s="8" t="s">
        <v>16934</v>
      </c>
      <c r="C2365" s="9" t="s">
        <v>16935</v>
      </c>
      <c r="D2365" s="9" t="s">
        <v>43</v>
      </c>
      <c r="E2365" s="9" t="s">
        <v>16936</v>
      </c>
      <c r="F2365" s="10">
        <v>1.514</v>
      </c>
      <c r="G2365" s="10">
        <v>1.665</v>
      </c>
      <c r="H2365" s="10"/>
      <c r="I2365" s="9" t="s">
        <v>45</v>
      </c>
      <c r="J2365" s="9" t="s">
        <v>16937</v>
      </c>
      <c r="K2365" s="9" t="s">
        <v>16938</v>
      </c>
      <c r="L2365" s="8" t="s">
        <v>16939</v>
      </c>
      <c r="M2365" s="9" t="s">
        <v>36</v>
      </c>
      <c r="N2365" s="9" t="s">
        <v>16940</v>
      </c>
      <c r="O2365" s="9">
        <f>HYPERLINK("https://www.google.com/maps/search/?api=1&amp;query=37.25317035,-7.23607653", "https://www.google.com/maps/search/?api=1&amp;query=37.25317035,-7.23607653")</f>
      </c>
      <c r="P2365" s="9" t="s">
        <v>2594</v>
      </c>
      <c r="Q2365" s="9" t="s">
        <v>2998</v>
      </c>
    </row>
    <row r="2366" spans="1:17" x14ac:dyDescent="0.25">
      <c r="A2366" s="8" t="s">
        <v>16941</v>
      </c>
      <c r="B2366" s="8" t="s">
        <v>16942</v>
      </c>
      <c r="C2366" s="9" t="s">
        <v>16943</v>
      </c>
      <c r="D2366" s="9" t="s">
        <v>919</v>
      </c>
      <c r="E2366" s="9" t="s">
        <v>16944</v>
      </c>
      <c r="F2366" s="10">
        <v>1.514</v>
      </c>
      <c r="G2366" s="10">
        <v>1.665</v>
      </c>
      <c r="H2366" s="10"/>
      <c r="I2366" s="9" t="s">
        <v>118</v>
      </c>
      <c r="J2366" s="9" t="s">
        <v>16945</v>
      </c>
      <c r="K2366" s="9" t="s">
        <v>16946</v>
      </c>
      <c r="L2366" s="8" t="s">
        <v>16947</v>
      </c>
      <c r="M2366" s="9" t="s">
        <v>36</v>
      </c>
      <c r="N2366" s="9" t="s">
        <v>122</v>
      </c>
      <c r="O2366" s="9">
        <f>HYPERLINK("https://www.google.com/maps/search/?api=1&amp;query=42.8427777,-2.5191667", "https://www.google.com/maps/search/?api=1&amp;query=42.8427777,-2.5191667")</f>
      </c>
      <c r="P2366" s="9" t="s">
        <v>1439</v>
      </c>
      <c r="Q2366" s="9" t="s">
        <v>16948</v>
      </c>
    </row>
    <row r="2367" spans="1:17" x14ac:dyDescent="0.25">
      <c r="A2367" s="8" t="s">
        <v>16949</v>
      </c>
      <c r="B2367" s="8" t="s">
        <v>16950</v>
      </c>
      <c r="C2367" s="9" t="s">
        <v>16951</v>
      </c>
      <c r="D2367" s="9" t="s">
        <v>128</v>
      </c>
      <c r="E2367" s="9" t="s">
        <v>16952</v>
      </c>
      <c r="F2367" s="10">
        <v>1.514</v>
      </c>
      <c r="G2367" s="10">
        <v>1.665</v>
      </c>
      <c r="H2367" s="10"/>
      <c r="I2367" s="9" t="s">
        <v>45</v>
      </c>
      <c r="J2367" s="9" t="s">
        <v>16953</v>
      </c>
      <c r="K2367" s="9" t="s">
        <v>16954</v>
      </c>
      <c r="L2367" s="8" t="s">
        <v>16955</v>
      </c>
      <c r="M2367" s="9" t="s">
        <v>49</v>
      </c>
      <c r="N2367" s="9" t="s">
        <v>770</v>
      </c>
      <c r="O2367" s="9">
        <f>HYPERLINK("https://www.google.com/maps/search/?api=1&amp;query=36.5200954,-5.86053048", "https://www.google.com/maps/search/?api=1&amp;query=36.5200954,-5.86053048")</f>
      </c>
      <c r="P2367" s="9" t="s">
        <v>9840</v>
      </c>
      <c r="Q2367" s="9" t="s">
        <v>16956</v>
      </c>
    </row>
    <row r="2368" spans="1:17" x14ac:dyDescent="0.25">
      <c r="A2368" s="8" t="s">
        <v>16957</v>
      </c>
      <c r="B2368" s="8" t="s">
        <v>16958</v>
      </c>
      <c r="C2368" s="9" t="s">
        <v>16959</v>
      </c>
      <c r="D2368" s="9" t="s">
        <v>106</v>
      </c>
      <c r="E2368" s="9" t="s">
        <v>16960</v>
      </c>
      <c r="F2368" s="10">
        <v>1.514</v>
      </c>
      <c r="G2368" s="10">
        <v>1.665</v>
      </c>
      <c r="H2368" s="10"/>
      <c r="I2368" s="9" t="s">
        <v>106</v>
      </c>
      <c r="J2368" s="9" t="s">
        <v>16961</v>
      </c>
      <c r="K2368" s="9" t="s">
        <v>16962</v>
      </c>
      <c r="L2368" s="8" t="s">
        <v>16963</v>
      </c>
      <c r="M2368" s="9" t="s">
        <v>36</v>
      </c>
      <c r="N2368" s="9" t="s">
        <v>88</v>
      </c>
      <c r="O2368" s="9">
        <f>HYPERLINK("https://www.google.com/maps/search/?api=1&amp;query=37.95321785,-1.1354367", "https://www.google.com/maps/search/?api=1&amp;query=37.95321785,-1.1354367")</f>
      </c>
      <c r="P2368" s="9" t="s">
        <v>1645</v>
      </c>
      <c r="Q2368" s="9" t="s">
        <v>6974</v>
      </c>
    </row>
    <row r="2369" spans="1:17" x14ac:dyDescent="0.25">
      <c r="A2369" s="8" t="s">
        <v>16964</v>
      </c>
      <c r="B2369" s="8" t="s">
        <v>16965</v>
      </c>
      <c r="C2369" s="9" t="s">
        <v>16966</v>
      </c>
      <c r="D2369" s="9" t="s">
        <v>30</v>
      </c>
      <c r="E2369" s="9" t="s">
        <v>16967</v>
      </c>
      <c r="F2369" s="10">
        <v>1.514</v>
      </c>
      <c r="G2369" s="10">
        <v>1.665</v>
      </c>
      <c r="H2369" s="10"/>
      <c r="I2369" s="9" t="s">
        <v>32</v>
      </c>
      <c r="J2369" s="9" t="s">
        <v>16968</v>
      </c>
      <c r="K2369" s="9" t="s">
        <v>16969</v>
      </c>
      <c r="L2369" s="8" t="s">
        <v>16970</v>
      </c>
      <c r="M2369" s="9" t="s">
        <v>36</v>
      </c>
      <c r="N2369" s="9" t="s">
        <v>16971</v>
      </c>
      <c r="O2369" s="9">
        <f>HYPERLINK("https://www.google.com/maps/search/?api=1&amp;query=38.68713313,-6.41785087", "https://www.google.com/maps/search/?api=1&amp;query=38.68713313,-6.41785087")</f>
      </c>
      <c r="P2369" s="9" t="s">
        <v>2480</v>
      </c>
      <c r="Q2369" s="9" t="s">
        <v>1488</v>
      </c>
    </row>
    <row r="2370" spans="1:17" x14ac:dyDescent="0.25">
      <c r="A2370" s="8" t="s">
        <v>16972</v>
      </c>
      <c r="B2370" s="8" t="s">
        <v>16973</v>
      </c>
      <c r="C2370" s="9" t="s">
        <v>16974</v>
      </c>
      <c r="D2370" s="9" t="s">
        <v>892</v>
      </c>
      <c r="E2370" s="9" t="s">
        <v>16975</v>
      </c>
      <c r="F2370" s="10">
        <v>1.514</v>
      </c>
      <c r="G2370" s="10">
        <v>1.665</v>
      </c>
      <c r="H2370" s="10"/>
      <c r="I2370" s="9" t="s">
        <v>32</v>
      </c>
      <c r="J2370" s="9" t="s">
        <v>16976</v>
      </c>
      <c r="K2370" s="9" t="s">
        <v>16977</v>
      </c>
      <c r="L2370" s="8" t="s">
        <v>16978</v>
      </c>
      <c r="M2370" s="9" t="s">
        <v>100</v>
      </c>
      <c r="N2370" s="9" t="s">
        <v>37</v>
      </c>
      <c r="O2370" s="9">
        <f>HYPERLINK("https://www.google.com/maps/search/?api=1&amp;query=39.14317135,-5.92561977", "https://www.google.com/maps/search/?api=1&amp;query=39.14317135,-5.92561977")</f>
      </c>
      <c r="P2370" s="9" t="s">
        <v>3081</v>
      </c>
      <c r="Q2370" s="9" t="s">
        <v>16979</v>
      </c>
    </row>
    <row r="2371" spans="1:17" x14ac:dyDescent="0.25">
      <c r="A2371" s="8" t="s">
        <v>16980</v>
      </c>
      <c r="B2371" s="8" t="s">
        <v>16981</v>
      </c>
      <c r="C2371" s="9" t="s">
        <v>16982</v>
      </c>
      <c r="D2371" s="9" t="s">
        <v>61</v>
      </c>
      <c r="E2371" s="9" t="s">
        <v>16983</v>
      </c>
      <c r="F2371" s="10">
        <v>1.514</v>
      </c>
      <c r="G2371" s="10">
        <v>1.665</v>
      </c>
      <c r="H2371" s="10"/>
      <c r="I2371" s="9" t="s">
        <v>45</v>
      </c>
      <c r="J2371" s="9" t="s">
        <v>16984</v>
      </c>
      <c r="K2371" s="9" t="s">
        <v>16985</v>
      </c>
      <c r="L2371" s="8" t="s">
        <v>16986</v>
      </c>
      <c r="M2371" s="9" t="s">
        <v>49</v>
      </c>
      <c r="N2371" s="9" t="s">
        <v>88</v>
      </c>
      <c r="O2371" s="9">
        <f>HYPERLINK("https://www.google.com/maps/search/?api=1&amp;query=36.92855352,-6.084896", "https://www.google.com/maps/search/?api=1&amp;query=36.92855352,-6.084896")</f>
      </c>
      <c r="P2371" s="9" t="s">
        <v>16987</v>
      </c>
      <c r="Q2371" s="9" t="s">
        <v>16988</v>
      </c>
    </row>
    <row r="2372" spans="1:17" x14ac:dyDescent="0.25">
      <c r="A2372" s="8" t="s">
        <v>16989</v>
      </c>
      <c r="B2372" s="8" t="s">
        <v>16990</v>
      </c>
      <c r="C2372" s="9" t="s">
        <v>16991</v>
      </c>
      <c r="D2372" s="9" t="s">
        <v>1282</v>
      </c>
      <c r="E2372" s="9" t="s">
        <v>16992</v>
      </c>
      <c r="F2372" s="10">
        <v>1.514</v>
      </c>
      <c r="G2372" s="10">
        <v>1.665</v>
      </c>
      <c r="H2372" s="10"/>
      <c r="I2372" s="9" t="s">
        <v>45</v>
      </c>
      <c r="J2372" s="9" t="s">
        <v>16993</v>
      </c>
      <c r="K2372" s="9" t="s">
        <v>16994</v>
      </c>
      <c r="L2372" s="8" t="s">
        <v>16995</v>
      </c>
      <c r="M2372" s="9" t="s">
        <v>36</v>
      </c>
      <c r="N2372" s="9" t="s">
        <v>3164</v>
      </c>
      <c r="O2372" s="9">
        <f>HYPERLINK("https://www.google.com/maps/search/?api=1&amp;query=36.73701554,-3.68714625", "https://www.google.com/maps/search/?api=1&amp;query=36.73701554,-3.68714625")</f>
      </c>
      <c r="P2372" s="9" t="s">
        <v>965</v>
      </c>
      <c r="Q2372" s="9" t="s">
        <v>8215</v>
      </c>
    </row>
    <row r="2373" spans="1:17" x14ac:dyDescent="0.25">
      <c r="A2373" s="8" t="s">
        <v>16996</v>
      </c>
      <c r="B2373" s="8" t="s">
        <v>16997</v>
      </c>
      <c r="C2373" s="9" t="s">
        <v>16998</v>
      </c>
      <c r="D2373" s="9" t="s">
        <v>469</v>
      </c>
      <c r="E2373" s="9" t="s">
        <v>16999</v>
      </c>
      <c r="F2373" s="10">
        <v>1.514</v>
      </c>
      <c r="G2373" s="10">
        <v>1.665</v>
      </c>
      <c r="H2373" s="10"/>
      <c r="I2373" s="9" t="s">
        <v>74</v>
      </c>
      <c r="J2373" s="9" t="s">
        <v>17000</v>
      </c>
      <c r="K2373" s="9" t="s">
        <v>17001</v>
      </c>
      <c r="L2373" s="8" t="s">
        <v>17002</v>
      </c>
      <c r="M2373" s="9" t="s">
        <v>49</v>
      </c>
      <c r="N2373" s="9" t="s">
        <v>88</v>
      </c>
      <c r="O2373" s="9">
        <f>HYPERLINK("https://www.google.com/maps/search/?api=1&amp;query=40.56447367,-5.67055563", "https://www.google.com/maps/search/?api=1&amp;query=40.56447367,-5.67055563")</f>
      </c>
      <c r="P2373" s="9" t="s">
        <v>172</v>
      </c>
      <c r="Q2373" s="9" t="s">
        <v>5054</v>
      </c>
    </row>
    <row r="2374" spans="1:17" x14ac:dyDescent="0.25">
      <c r="A2374" s="8" t="s">
        <v>17003</v>
      </c>
      <c r="B2374" s="8" t="s">
        <v>17004</v>
      </c>
      <c r="C2374" s="9" t="s">
        <v>17005</v>
      </c>
      <c r="D2374" s="9" t="s">
        <v>400</v>
      </c>
      <c r="E2374" s="9" t="s">
        <v>11199</v>
      </c>
      <c r="F2374" s="10">
        <v>1.514</v>
      </c>
      <c r="G2374" s="10">
        <v>1.665</v>
      </c>
      <c r="H2374" s="10"/>
      <c r="I2374" s="9" t="s">
        <v>400</v>
      </c>
      <c r="J2374" s="9" t="s">
        <v>17006</v>
      </c>
      <c r="K2374" s="9" t="s">
        <v>17007</v>
      </c>
      <c r="L2374" s="8" t="s">
        <v>11202</v>
      </c>
      <c r="M2374" s="9" t="s">
        <v>100</v>
      </c>
      <c r="N2374" s="9" t="s">
        <v>37</v>
      </c>
      <c r="O2374" s="9">
        <f>HYPERLINK("https://www.google.com/maps/search/?api=1&amp;query=39.56358034,-1.21285484", "https://www.google.com/maps/search/?api=1&amp;query=39.56358034,-1.21285484")</f>
      </c>
      <c r="P2374" s="9" t="s">
        <v>50</v>
      </c>
      <c r="Q2374" s="9" t="s">
        <v>17008</v>
      </c>
    </row>
    <row r="2375" spans="1:17" x14ac:dyDescent="0.25">
      <c r="A2375" s="8" t="s">
        <v>17009</v>
      </c>
      <c r="B2375" s="8" t="s">
        <v>17010</v>
      </c>
      <c r="C2375" s="9" t="s">
        <v>17011</v>
      </c>
      <c r="D2375" s="9" t="s">
        <v>217</v>
      </c>
      <c r="E2375" s="9" t="s">
        <v>15706</v>
      </c>
      <c r="F2375" s="10">
        <v>1.514</v>
      </c>
      <c r="G2375" s="10">
        <v>1.665</v>
      </c>
      <c r="H2375" s="10"/>
      <c r="I2375" s="9" t="s">
        <v>45</v>
      </c>
      <c r="J2375" s="9" t="s">
        <v>17012</v>
      </c>
      <c r="K2375" s="9" t="s">
        <v>17013</v>
      </c>
      <c r="L2375" s="8" t="s">
        <v>15709</v>
      </c>
      <c r="M2375" s="9" t="s">
        <v>36</v>
      </c>
      <c r="N2375" s="9" t="s">
        <v>357</v>
      </c>
      <c r="O2375" s="9">
        <f>HYPERLINK("https://www.google.com/maps/search/?api=1&amp;query=36.66870027,-4.74193809", "https://www.google.com/maps/search/?api=1&amp;query=36.66870027,-4.74193809")</f>
      </c>
      <c r="P2375" s="9" t="s">
        <v>2850</v>
      </c>
      <c r="Q2375" s="9" t="s">
        <v>8215</v>
      </c>
    </row>
    <row r="2376" spans="1:17" x14ac:dyDescent="0.25">
      <c r="A2376" s="8" t="s">
        <v>17014</v>
      </c>
      <c r="B2376" s="8" t="s">
        <v>17015</v>
      </c>
      <c r="C2376" s="9" t="s">
        <v>17016</v>
      </c>
      <c r="D2376" s="9" t="s">
        <v>197</v>
      </c>
      <c r="E2376" s="9" t="s">
        <v>17017</v>
      </c>
      <c r="F2376" s="10">
        <v>1.514</v>
      </c>
      <c r="G2376" s="10">
        <v>1.665</v>
      </c>
      <c r="H2376" s="10"/>
      <c r="I2376" s="9" t="s">
        <v>168</v>
      </c>
      <c r="J2376" s="9" t="s">
        <v>17018</v>
      </c>
      <c r="K2376" s="9" t="s">
        <v>17019</v>
      </c>
      <c r="L2376" s="8" t="s">
        <v>17020</v>
      </c>
      <c r="M2376" s="9" t="s">
        <v>36</v>
      </c>
      <c r="N2376" s="9" t="s">
        <v>37</v>
      </c>
      <c r="O2376" s="9">
        <f>HYPERLINK("https://www.google.com/maps/search/?api=1&amp;query=40.2425079,-4.18904314", "https://www.google.com/maps/search/?api=1&amp;query=40.2425079,-4.18904314")</f>
      </c>
      <c r="P2376" s="9" t="s">
        <v>5569</v>
      </c>
      <c r="Q2376" s="9" t="s">
        <v>17021</v>
      </c>
    </row>
    <row r="2377" spans="1:17" x14ac:dyDescent="0.25">
      <c r="A2377" s="8" t="s">
        <v>17022</v>
      </c>
      <c r="B2377" s="8" t="s">
        <v>17023</v>
      </c>
      <c r="C2377" s="9" t="s">
        <v>17024</v>
      </c>
      <c r="D2377" s="9" t="s">
        <v>83</v>
      </c>
      <c r="E2377" s="9" t="s">
        <v>17025</v>
      </c>
      <c r="F2377" s="10">
        <v>1.514</v>
      </c>
      <c r="G2377" s="10">
        <v>1.665</v>
      </c>
      <c r="H2377" s="10"/>
      <c r="I2377" s="9" t="s">
        <v>83</v>
      </c>
      <c r="J2377" s="9" t="s">
        <v>17026</v>
      </c>
      <c r="K2377" s="9" t="s">
        <v>17027</v>
      </c>
      <c r="L2377" s="8" t="s">
        <v>17028</v>
      </c>
      <c r="M2377" s="9" t="s">
        <v>49</v>
      </c>
      <c r="N2377" s="9" t="s">
        <v>645</v>
      </c>
      <c r="O2377" s="9">
        <f>HYPERLINK("https://www.google.com/maps/search/?api=1&amp;query=40.78061845,-3.77436439", "https://www.google.com/maps/search/?api=1&amp;query=40.78061845,-3.77436439")</f>
      </c>
      <c r="P2377" s="9" t="s">
        <v>3400</v>
      </c>
      <c r="Q2377" s="9" t="s">
        <v>7937</v>
      </c>
    </row>
    <row r="2378" spans="1:17" x14ac:dyDescent="0.25">
      <c r="A2378" s="8" t="s">
        <v>17029</v>
      </c>
      <c r="B2378" s="8" t="s">
        <v>17030</v>
      </c>
      <c r="C2378" s="9" t="s">
        <v>17031</v>
      </c>
      <c r="D2378" s="9" t="s">
        <v>577</v>
      </c>
      <c r="E2378" s="9" t="s">
        <v>17032</v>
      </c>
      <c r="F2378" s="10">
        <v>1.514</v>
      </c>
      <c r="G2378" s="10">
        <v>1.665</v>
      </c>
      <c r="H2378" s="10"/>
      <c r="I2378" s="9" t="s">
        <v>74</v>
      </c>
      <c r="J2378" s="9" t="s">
        <v>17033</v>
      </c>
      <c r="K2378" s="9" t="s">
        <v>17034</v>
      </c>
      <c r="L2378" s="8" t="s">
        <v>17035</v>
      </c>
      <c r="M2378" s="9" t="s">
        <v>49</v>
      </c>
      <c r="N2378" s="9" t="s">
        <v>17036</v>
      </c>
      <c r="O2378" s="9">
        <f>HYPERLINK("https://www.google.com/maps/search/?api=1&amp;query=40.7058753,-5.01973591", "https://www.google.com/maps/search/?api=1&amp;query=40.7058753,-5.01973591")</f>
      </c>
      <c r="P2378" s="9" t="s">
        <v>8200</v>
      </c>
      <c r="Q2378" s="9" t="s">
        <v>3744</v>
      </c>
    </row>
    <row r="2379" spans="1:17" x14ac:dyDescent="0.25">
      <c r="A2379" s="8" t="s">
        <v>17037</v>
      </c>
      <c r="B2379" s="8" t="s">
        <v>17038</v>
      </c>
      <c r="C2379" s="9" t="s">
        <v>17039</v>
      </c>
      <c r="D2379" s="9" t="s">
        <v>1483</v>
      </c>
      <c r="E2379" s="9" t="s">
        <v>17040</v>
      </c>
      <c r="F2379" s="10">
        <v>1.514</v>
      </c>
      <c r="G2379" s="10">
        <v>1.665</v>
      </c>
      <c r="H2379" s="10"/>
      <c r="I2379" s="9" t="s">
        <v>74</v>
      </c>
      <c r="J2379" s="9" t="s">
        <v>17041</v>
      </c>
      <c r="K2379" s="9" t="s">
        <v>17042</v>
      </c>
      <c r="L2379" s="8" t="s">
        <v>17043</v>
      </c>
      <c r="M2379" s="9" t="s">
        <v>49</v>
      </c>
      <c r="N2379" s="9" t="s">
        <v>8648</v>
      </c>
      <c r="O2379" s="9">
        <f>HYPERLINK("https://www.google.com/maps/search/?api=1&amp;query=43.07994055,-3.45843604", "https://www.google.com/maps/search/?api=1&amp;query=43.07994055,-3.45843604")</f>
      </c>
      <c r="P2379" s="9" t="s">
        <v>296</v>
      </c>
      <c r="Q2379" s="9" t="s">
        <v>7556</v>
      </c>
    </row>
    <row r="2380" spans="1:17" x14ac:dyDescent="0.25">
      <c r="A2380" s="8" t="s">
        <v>17044</v>
      </c>
      <c r="B2380" s="8" t="s">
        <v>17045</v>
      </c>
      <c r="C2380" s="9" t="s">
        <v>17046</v>
      </c>
      <c r="D2380" s="9" t="s">
        <v>424</v>
      </c>
      <c r="E2380" s="9" t="s">
        <v>14765</v>
      </c>
      <c r="F2380" s="10">
        <v>1.514</v>
      </c>
      <c r="G2380" s="10">
        <v>1.665</v>
      </c>
      <c r="H2380" s="10"/>
      <c r="I2380" s="9" t="s">
        <v>96</v>
      </c>
      <c r="J2380" s="9" t="s">
        <v>17047</v>
      </c>
      <c r="K2380" s="9" t="s">
        <v>17048</v>
      </c>
      <c r="L2380" s="8" t="s">
        <v>14768</v>
      </c>
      <c r="M2380" s="9" t="s">
        <v>36</v>
      </c>
      <c r="N2380" s="9" t="s">
        <v>37</v>
      </c>
      <c r="O2380" s="9">
        <f>HYPERLINK("https://www.google.com/maps/search/?api=1&amp;query=41.63987415,1.13878922", "https://www.google.com/maps/search/?api=1&amp;query=41.63987415,1.13878922")</f>
      </c>
      <c r="P2380" s="9" t="s">
        <v>705</v>
      </c>
      <c r="Q2380" s="9" t="s">
        <v>15683</v>
      </c>
    </row>
    <row r="2381" spans="1:17" x14ac:dyDescent="0.25">
      <c r="A2381" s="8" t="s">
        <v>17049</v>
      </c>
      <c r="B2381" s="8" t="s">
        <v>17050</v>
      </c>
      <c r="C2381" s="9" t="s">
        <v>17051</v>
      </c>
      <c r="D2381" s="9" t="s">
        <v>516</v>
      </c>
      <c r="E2381" s="9" t="s">
        <v>17052</v>
      </c>
      <c r="F2381" s="10">
        <v>1.514</v>
      </c>
      <c r="G2381" s="10">
        <v>1.665</v>
      </c>
      <c r="H2381" s="10"/>
      <c r="I2381" s="9" t="s">
        <v>140</v>
      </c>
      <c r="J2381" s="9" t="s">
        <v>17053</v>
      </c>
      <c r="K2381" s="9" t="s">
        <v>17054</v>
      </c>
      <c r="L2381" s="8" t="s">
        <v>17055</v>
      </c>
      <c r="M2381" s="9" t="s">
        <v>36</v>
      </c>
      <c r="N2381" s="9" t="s">
        <v>122</v>
      </c>
      <c r="O2381" s="9">
        <f>HYPERLINK("https://www.google.com/maps/search/?api=1&amp;query=43.67559218,-7.58552142", "https://www.google.com/maps/search/?api=1&amp;query=43.67559218,-7.58552142")</f>
      </c>
      <c r="P2381" s="9" t="s">
        <v>349</v>
      </c>
      <c r="Q2381" s="9" t="s">
        <v>5927</v>
      </c>
    </row>
    <row r="2382" spans="1:17" x14ac:dyDescent="0.25">
      <c r="A2382" s="8" t="s">
        <v>17056</v>
      </c>
      <c r="B2382" s="8" t="s">
        <v>17057</v>
      </c>
      <c r="C2382" s="9" t="s">
        <v>17058</v>
      </c>
      <c r="D2382" s="9" t="s">
        <v>2050</v>
      </c>
      <c r="E2382" s="9" t="s">
        <v>17059</v>
      </c>
      <c r="F2382" s="10">
        <v>1.514</v>
      </c>
      <c r="G2382" s="10">
        <v>1.665</v>
      </c>
      <c r="H2382" s="10"/>
      <c r="I2382" s="9" t="s">
        <v>140</v>
      </c>
      <c r="J2382" s="9" t="s">
        <v>17060</v>
      </c>
      <c r="K2382" s="9" t="s">
        <v>8869</v>
      </c>
      <c r="L2382" s="8" t="s">
        <v>17061</v>
      </c>
      <c r="M2382" s="9" t="s">
        <v>36</v>
      </c>
      <c r="N2382" s="9" t="s">
        <v>8871</v>
      </c>
      <c r="O2382" s="9">
        <f>HYPERLINK("https://www.google.com/maps/search/?api=1&amp;query=42.30655745,-8.07075595", "https://www.google.com/maps/search/?api=1&amp;query=42.30655745,-8.07075595")</f>
      </c>
      <c r="P2382" s="9" t="s">
        <v>16544</v>
      </c>
      <c r="Q2382" s="9" t="s">
        <v>1131</v>
      </c>
    </row>
    <row r="2383" spans="1:17" x14ac:dyDescent="0.25">
      <c r="A2383" s="8" t="s">
        <v>17062</v>
      </c>
      <c r="B2383" s="8" t="s">
        <v>17063</v>
      </c>
      <c r="C2383" s="9" t="s">
        <v>17064</v>
      </c>
      <c r="D2383" s="9" t="s">
        <v>290</v>
      </c>
      <c r="E2383" s="9" t="s">
        <v>17065</v>
      </c>
      <c r="F2383" s="10">
        <v>1.514</v>
      </c>
      <c r="G2383" s="10">
        <v>1.665</v>
      </c>
      <c r="H2383" s="10"/>
      <c r="I2383" s="9" t="s">
        <v>292</v>
      </c>
      <c r="J2383" s="9" t="s">
        <v>17066</v>
      </c>
      <c r="K2383" s="9" t="s">
        <v>17067</v>
      </c>
      <c r="L2383" s="8" t="s">
        <v>17068</v>
      </c>
      <c r="M2383" s="9" t="s">
        <v>49</v>
      </c>
      <c r="N2383" s="9" t="s">
        <v>17069</v>
      </c>
      <c r="O2383" s="9">
        <f>HYPERLINK("https://www.google.com/maps/search/?api=1&amp;query=40.6716195,-0.70410996", "https://www.google.com/maps/search/?api=1&amp;query=40.6716195,-0.70410996")</f>
      </c>
      <c r="P2383" s="9" t="s">
        <v>7403</v>
      </c>
      <c r="Q2383" s="9" t="s">
        <v>1131</v>
      </c>
    </row>
    <row r="2384" spans="1:17" x14ac:dyDescent="0.25">
      <c r="A2384" s="8" t="s">
        <v>17070</v>
      </c>
      <c r="B2384" s="8" t="s">
        <v>17071</v>
      </c>
      <c r="C2384" s="9" t="s">
        <v>17072</v>
      </c>
      <c r="D2384" s="9" t="s">
        <v>155</v>
      </c>
      <c r="E2384" s="9" t="s">
        <v>17073</v>
      </c>
      <c r="F2384" s="10">
        <v>1.514</v>
      </c>
      <c r="G2384" s="10">
        <v>1.665</v>
      </c>
      <c r="H2384" s="10"/>
      <c r="I2384" s="9" t="s">
        <v>157</v>
      </c>
      <c r="J2384" s="9" t="s">
        <v>17074</v>
      </c>
      <c r="K2384" s="9" t="s">
        <v>17075</v>
      </c>
      <c r="L2384" s="8" t="s">
        <v>17076</v>
      </c>
      <c r="M2384" s="9" t="s">
        <v>49</v>
      </c>
      <c r="N2384" s="9" t="s">
        <v>17077</v>
      </c>
      <c r="O2384" s="9">
        <f>HYPERLINK("https://www.google.com/maps/search/?api=1&amp;query=39.65944175,2.58798125", "https://www.google.com/maps/search/?api=1&amp;query=39.65944175,2.58798125")</f>
      </c>
      <c r="P2384" s="9" t="s">
        <v>557</v>
      </c>
      <c r="Q2384" s="9" t="s">
        <v>4729</v>
      </c>
    </row>
    <row r="2385" spans="1:17" x14ac:dyDescent="0.25">
      <c r="A2385" s="8" t="s">
        <v>17078</v>
      </c>
      <c r="B2385" s="8" t="s">
        <v>17079</v>
      </c>
      <c r="C2385" s="9" t="s">
        <v>17080</v>
      </c>
      <c r="D2385" s="9" t="s">
        <v>197</v>
      </c>
      <c r="E2385" s="9" t="s">
        <v>17081</v>
      </c>
      <c r="F2385" s="10">
        <v>1.514</v>
      </c>
      <c r="G2385" s="10">
        <v>1.665</v>
      </c>
      <c r="H2385" s="10"/>
      <c r="I2385" s="9" t="s">
        <v>168</v>
      </c>
      <c r="J2385" s="9" t="s">
        <v>17082</v>
      </c>
      <c r="K2385" s="9" t="s">
        <v>17083</v>
      </c>
      <c r="L2385" s="8" t="s">
        <v>17084</v>
      </c>
      <c r="M2385" s="9" t="s">
        <v>49</v>
      </c>
      <c r="N2385" s="9" t="s">
        <v>37</v>
      </c>
      <c r="O2385" s="9">
        <f>HYPERLINK("https://www.google.com/maps/search/?api=1&amp;query=40.04355876,-4.21537143", "https://www.google.com/maps/search/?api=1&amp;query=40.04355876,-4.21537143")</f>
      </c>
      <c r="P2385" s="9" t="s">
        <v>880</v>
      </c>
      <c r="Q2385" s="9" t="s">
        <v>1742</v>
      </c>
    </row>
    <row r="2386" spans="1:17" x14ac:dyDescent="0.25">
      <c r="A2386" s="8" t="s">
        <v>17085</v>
      </c>
      <c r="B2386" s="8" t="s">
        <v>17086</v>
      </c>
      <c r="C2386" s="9" t="s">
        <v>17087</v>
      </c>
      <c r="D2386" s="9" t="s">
        <v>398</v>
      </c>
      <c r="E2386" s="9" t="s">
        <v>17088</v>
      </c>
      <c r="F2386" s="10">
        <v>1.514</v>
      </c>
      <c r="G2386" s="10">
        <v>1.665</v>
      </c>
      <c r="H2386" s="10"/>
      <c r="I2386" s="9" t="s">
        <v>400</v>
      </c>
      <c r="J2386" s="9" t="s">
        <v>17089</v>
      </c>
      <c r="K2386" s="9" t="s">
        <v>17090</v>
      </c>
      <c r="L2386" s="8" t="s">
        <v>17091</v>
      </c>
      <c r="M2386" s="9" t="s">
        <v>49</v>
      </c>
      <c r="N2386" s="9" t="s">
        <v>5851</v>
      </c>
      <c r="O2386" s="9">
        <f>HYPERLINK("https://www.google.com/maps/search/?api=1&amp;query=38.729447,0.09198405", "https://www.google.com/maps/search/?api=1&amp;query=38.729447,0.09198405")</f>
      </c>
      <c r="P2386" s="9" t="s">
        <v>8895</v>
      </c>
      <c r="Q2386" s="9" t="s">
        <v>17092</v>
      </c>
    </row>
    <row r="2387" spans="1:17" x14ac:dyDescent="0.25">
      <c r="A2387" s="8" t="s">
        <v>17093</v>
      </c>
      <c r="B2387" s="8" t="s">
        <v>17094</v>
      </c>
      <c r="C2387" s="9" t="s">
        <v>17095</v>
      </c>
      <c r="D2387" s="9" t="s">
        <v>106</v>
      </c>
      <c r="E2387" s="9" t="s">
        <v>17096</v>
      </c>
      <c r="F2387" s="10">
        <v>1.514</v>
      </c>
      <c r="G2387" s="10">
        <v>1.665</v>
      </c>
      <c r="H2387" s="10"/>
      <c r="I2387" s="9" t="s">
        <v>106</v>
      </c>
      <c r="J2387" s="9" t="s">
        <v>17097</v>
      </c>
      <c r="K2387" s="9" t="s">
        <v>17098</v>
      </c>
      <c r="L2387" s="8" t="s">
        <v>17099</v>
      </c>
      <c r="M2387" s="9" t="s">
        <v>49</v>
      </c>
      <c r="N2387" s="9" t="s">
        <v>37</v>
      </c>
      <c r="O2387" s="9">
        <f>HYPERLINK("https://www.google.com/maps/search/?api=1&amp;query=38.0445094,-0.9958576", "https://www.google.com/maps/search/?api=1&amp;query=38.0445094,-0.9958576")</f>
      </c>
      <c r="P2387" s="9" t="s">
        <v>15205</v>
      </c>
      <c r="Q2387" s="9" t="s">
        <v>17100</v>
      </c>
    </row>
    <row r="2388" spans="1:17" x14ac:dyDescent="0.25">
      <c r="A2388" s="8" t="s">
        <v>17101</v>
      </c>
      <c r="B2388" s="8" t="s">
        <v>17102</v>
      </c>
      <c r="C2388" s="9" t="s">
        <v>17103</v>
      </c>
      <c r="D2388" s="9" t="s">
        <v>400</v>
      </c>
      <c r="E2388" s="9" t="s">
        <v>8254</v>
      </c>
      <c r="F2388" s="10">
        <v>1.514</v>
      </c>
      <c r="G2388" s="10">
        <v>1.665</v>
      </c>
      <c r="H2388" s="10"/>
      <c r="I2388" s="9" t="s">
        <v>400</v>
      </c>
      <c r="J2388" s="9" t="s">
        <v>17104</v>
      </c>
      <c r="K2388" s="9" t="s">
        <v>17105</v>
      </c>
      <c r="L2388" s="8" t="s">
        <v>8257</v>
      </c>
      <c r="M2388" s="9" t="s">
        <v>49</v>
      </c>
      <c r="N2388" s="9" t="s">
        <v>88</v>
      </c>
      <c r="O2388" s="9">
        <f>HYPERLINK("https://www.google.com/maps/search/?api=1&amp;query=39.47450509,-0.41277443", "https://www.google.com/maps/search/?api=1&amp;query=39.47450509,-0.41277443")</f>
      </c>
      <c r="P2388" s="9" t="s">
        <v>2158</v>
      </c>
      <c r="Q2388" s="9" t="s">
        <v>112</v>
      </c>
    </row>
    <row r="2389" spans="1:17" x14ac:dyDescent="0.25">
      <c r="A2389" s="8" t="s">
        <v>17106</v>
      </c>
      <c r="B2389" s="8" t="s">
        <v>17107</v>
      </c>
      <c r="C2389" s="9" t="s">
        <v>17108</v>
      </c>
      <c r="D2389" s="9" t="s">
        <v>409</v>
      </c>
      <c r="E2389" s="9" t="s">
        <v>17109</v>
      </c>
      <c r="F2389" s="10">
        <v>1.514</v>
      </c>
      <c r="G2389" s="10">
        <v>1.665</v>
      </c>
      <c r="H2389" s="10"/>
      <c r="I2389" s="9" t="s">
        <v>292</v>
      </c>
      <c r="J2389" s="9" t="s">
        <v>17110</v>
      </c>
      <c r="K2389" s="9" t="s">
        <v>17111</v>
      </c>
      <c r="L2389" s="8" t="s">
        <v>17112</v>
      </c>
      <c r="M2389" s="9" t="s">
        <v>49</v>
      </c>
      <c r="N2389" s="9" t="s">
        <v>17113</v>
      </c>
      <c r="O2389" s="9">
        <f>HYPERLINK("https://www.google.com/maps/search/?api=1&amp;query=41.66585226,-1.23952451", "https://www.google.com/maps/search/?api=1&amp;query=41.66585226,-1.23952451")</f>
      </c>
      <c r="P2389" s="9" t="s">
        <v>2727</v>
      </c>
      <c r="Q2389" s="9" t="s">
        <v>15601</v>
      </c>
    </row>
    <row r="2390" spans="1:17" x14ac:dyDescent="0.25">
      <c r="A2390" s="8" t="s">
        <v>17114</v>
      </c>
      <c r="B2390" s="8" t="s">
        <v>17115</v>
      </c>
      <c r="C2390" s="9" t="s">
        <v>17116</v>
      </c>
      <c r="D2390" s="9" t="s">
        <v>106</v>
      </c>
      <c r="E2390" s="9" t="s">
        <v>106</v>
      </c>
      <c r="F2390" s="10">
        <v>1.514</v>
      </c>
      <c r="G2390" s="10">
        <v>1.665</v>
      </c>
      <c r="H2390" s="10"/>
      <c r="I2390" s="9" t="s">
        <v>106</v>
      </c>
      <c r="J2390" s="9" t="s">
        <v>17117</v>
      </c>
      <c r="K2390" s="9" t="s">
        <v>17118</v>
      </c>
      <c r="L2390" s="8" t="s">
        <v>3266</v>
      </c>
      <c r="M2390" s="9" t="s">
        <v>49</v>
      </c>
      <c r="N2390" s="9" t="s">
        <v>211</v>
      </c>
      <c r="O2390" s="9">
        <f>HYPERLINK("https://www.google.com/maps/search/?api=1&amp;query=37.998083,-1.138889", "https://www.google.com/maps/search/?api=1&amp;query=37.998083,-1.138889")</f>
      </c>
      <c r="P2390" s="9" t="s">
        <v>572</v>
      </c>
      <c r="Q2390" s="9" t="s">
        <v>17119</v>
      </c>
    </row>
    <row r="2391" spans="1:17" x14ac:dyDescent="0.25">
      <c r="A2391" s="8" t="s">
        <v>17120</v>
      </c>
      <c r="B2391" s="8" t="s">
        <v>17121</v>
      </c>
      <c r="C2391" s="9" t="s">
        <v>17122</v>
      </c>
      <c r="D2391" s="9" t="s">
        <v>808</v>
      </c>
      <c r="E2391" s="9" t="s">
        <v>17123</v>
      </c>
      <c r="F2391" s="10">
        <v>1.514</v>
      </c>
      <c r="G2391" s="10">
        <v>1.665</v>
      </c>
      <c r="H2391" s="10"/>
      <c r="I2391" s="9" t="s">
        <v>808</v>
      </c>
      <c r="J2391" s="9" t="s">
        <v>17124</v>
      </c>
      <c r="K2391" s="9" t="s">
        <v>17125</v>
      </c>
      <c r="L2391" s="8" t="s">
        <v>17126</v>
      </c>
      <c r="M2391" s="9" t="s">
        <v>49</v>
      </c>
      <c r="N2391" s="9" t="s">
        <v>17127</v>
      </c>
      <c r="O2391" s="9">
        <f>HYPERLINK("https://www.google.com/maps/search/?api=1&amp;query=43.25416096,-4.40535951", "https://www.google.com/maps/search/?api=1&amp;query=43.25416096,-4.40535951")</f>
      </c>
      <c r="P2391" s="9" t="s">
        <v>1100</v>
      </c>
      <c r="Q2391" s="9" t="s">
        <v>17128</v>
      </c>
    </row>
    <row r="2392" spans="1:17" x14ac:dyDescent="0.25">
      <c r="A2392" s="8" t="s">
        <v>17129</v>
      </c>
      <c r="B2392" s="8" t="s">
        <v>17130</v>
      </c>
      <c r="C2392" s="9" t="s">
        <v>17131</v>
      </c>
      <c r="D2392" s="9" t="s">
        <v>892</v>
      </c>
      <c r="E2392" s="9" t="s">
        <v>17132</v>
      </c>
      <c r="F2392" s="10">
        <v>1.514</v>
      </c>
      <c r="G2392" s="10">
        <v>1.665</v>
      </c>
      <c r="H2392" s="10"/>
      <c r="I2392" s="9" t="s">
        <v>32</v>
      </c>
      <c r="J2392" s="9" t="s">
        <v>17133</v>
      </c>
      <c r="K2392" s="9" t="s">
        <v>17134</v>
      </c>
      <c r="L2392" s="8" t="s">
        <v>17135</v>
      </c>
      <c r="M2392" s="9" t="s">
        <v>36</v>
      </c>
      <c r="N2392" s="9" t="s">
        <v>88</v>
      </c>
      <c r="O2392" s="9">
        <f>HYPERLINK("https://www.google.com/maps/search/?api=1&amp;query=40.200778,-5.7965", "https://www.google.com/maps/search/?api=1&amp;query=40.200778,-5.7965")</f>
      </c>
      <c r="P2392" s="9" t="s">
        <v>8200</v>
      </c>
      <c r="Q2392" s="9" t="s">
        <v>1742</v>
      </c>
    </row>
    <row r="2393" spans="1:17" x14ac:dyDescent="0.25">
      <c r="A2393" s="8" t="s">
        <v>17136</v>
      </c>
      <c r="B2393" s="8" t="s">
        <v>17137</v>
      </c>
      <c r="C2393" s="9" t="s">
        <v>17138</v>
      </c>
      <c r="D2393" s="9" t="s">
        <v>1192</v>
      </c>
      <c r="E2393" s="9" t="s">
        <v>17139</v>
      </c>
      <c r="F2393" s="10">
        <v>1.514</v>
      </c>
      <c r="G2393" s="10">
        <v>1.665</v>
      </c>
      <c r="H2393" s="10"/>
      <c r="I2393" s="9" t="s">
        <v>168</v>
      </c>
      <c r="J2393" s="9" t="s">
        <v>17140</v>
      </c>
      <c r="K2393" s="9" t="s">
        <v>17141</v>
      </c>
      <c r="L2393" s="8" t="s">
        <v>17142</v>
      </c>
      <c r="M2393" s="9" t="s">
        <v>100</v>
      </c>
      <c r="N2393" s="9" t="s">
        <v>10480</v>
      </c>
      <c r="O2393" s="9">
        <f>HYPERLINK("https://www.google.com/maps/search/?api=1&amp;query=39.01294136,-3.83044865", "https://www.google.com/maps/search/?api=1&amp;query=39.01294136,-3.83044865")</f>
      </c>
      <c r="P2393" s="9" t="s">
        <v>646</v>
      </c>
      <c r="Q2393" s="9" t="s">
        <v>17143</v>
      </c>
    </row>
    <row r="2394" spans="1:17" x14ac:dyDescent="0.25">
      <c r="A2394" s="8" t="s">
        <v>17144</v>
      </c>
      <c r="B2394" s="8" t="s">
        <v>17145</v>
      </c>
      <c r="C2394" s="9" t="s">
        <v>17146</v>
      </c>
      <c r="D2394" s="9" t="s">
        <v>30</v>
      </c>
      <c r="E2394" s="9" t="s">
        <v>17147</v>
      </c>
      <c r="F2394" s="10">
        <v>1.514</v>
      </c>
      <c r="G2394" s="10">
        <v>1.665</v>
      </c>
      <c r="H2394" s="10"/>
      <c r="I2394" s="9" t="s">
        <v>32</v>
      </c>
      <c r="J2394" s="9" t="s">
        <v>17148</v>
      </c>
      <c r="K2394" s="9" t="s">
        <v>17149</v>
      </c>
      <c r="L2394" s="8" t="s">
        <v>16280</v>
      </c>
      <c r="M2394" s="9" t="s">
        <v>49</v>
      </c>
      <c r="N2394" s="9" t="s">
        <v>17150</v>
      </c>
      <c r="O2394" s="9">
        <f>HYPERLINK("https://www.google.com/maps/search/?api=1&amp;query=38.50129531,-5.82532062", "https://www.google.com/maps/search/?api=1&amp;query=38.50129531,-5.82532062")</f>
      </c>
      <c r="P2394" s="9" t="s">
        <v>1803</v>
      </c>
      <c r="Q2394" s="9" t="s">
        <v>2998</v>
      </c>
    </row>
    <row r="2395" spans="1:17" x14ac:dyDescent="0.25">
      <c r="A2395" s="8" t="s">
        <v>17151</v>
      </c>
      <c r="B2395" s="8" t="s">
        <v>17152</v>
      </c>
      <c r="C2395" s="9" t="s">
        <v>17153</v>
      </c>
      <c r="D2395" s="9" t="s">
        <v>409</v>
      </c>
      <c r="E2395" s="9" t="s">
        <v>409</v>
      </c>
      <c r="F2395" s="10">
        <v>1.514</v>
      </c>
      <c r="G2395" s="10">
        <v>1.665</v>
      </c>
      <c r="H2395" s="10"/>
      <c r="I2395" s="9" t="s">
        <v>292</v>
      </c>
      <c r="J2395" s="9" t="s">
        <v>17154</v>
      </c>
      <c r="K2395" s="9" t="s">
        <v>17155</v>
      </c>
      <c r="L2395" s="8" t="s">
        <v>17156</v>
      </c>
      <c r="M2395" s="9" t="s">
        <v>49</v>
      </c>
      <c r="N2395" s="9" t="s">
        <v>17157</v>
      </c>
      <c r="O2395" s="9">
        <f>HYPERLINK("https://www.google.com/maps/search/?api=1&amp;query=41.70843413,-0.86266255", "https://www.google.com/maps/search/?api=1&amp;query=41.70843413,-0.86266255")</f>
      </c>
      <c r="P2395" s="9" t="s">
        <v>2742</v>
      </c>
      <c r="Q2395" s="9" t="s">
        <v>4001</v>
      </c>
    </row>
    <row r="2396" spans="1:17" x14ac:dyDescent="0.25">
      <c r="A2396" s="8" t="s">
        <v>10228</v>
      </c>
      <c r="B2396" s="8" t="s">
        <v>17158</v>
      </c>
      <c r="C2396" s="9" t="s">
        <v>17159</v>
      </c>
      <c r="D2396" s="9" t="s">
        <v>444</v>
      </c>
      <c r="E2396" s="9" t="s">
        <v>17160</v>
      </c>
      <c r="F2396" s="10">
        <v>1.514</v>
      </c>
      <c r="G2396" s="10">
        <v>1.665</v>
      </c>
      <c r="H2396" s="10"/>
      <c r="I2396" s="9" t="s">
        <v>444</v>
      </c>
      <c r="J2396" s="9" t="s">
        <v>17161</v>
      </c>
      <c r="K2396" s="9" t="s">
        <v>17162</v>
      </c>
      <c r="L2396" s="8" t="s">
        <v>17163</v>
      </c>
      <c r="M2396" s="9" t="s">
        <v>36</v>
      </c>
      <c r="N2396" s="9" t="s">
        <v>88</v>
      </c>
      <c r="O2396" s="9">
        <f>HYPERLINK("https://www.google.com/maps/search/?api=1&amp;query=43.54216005,-6.53362147", "https://www.google.com/maps/search/?api=1&amp;query=43.54216005,-6.53362147")</f>
      </c>
      <c r="P2396" s="9" t="s">
        <v>1598</v>
      </c>
      <c r="Q2396" s="9" t="s">
        <v>1742</v>
      </c>
    </row>
    <row r="2397" spans="1:17" x14ac:dyDescent="0.25">
      <c r="A2397" s="8" t="s">
        <v>17164</v>
      </c>
      <c r="B2397" s="8" t="s">
        <v>17165</v>
      </c>
      <c r="C2397" s="9" t="s">
        <v>17166</v>
      </c>
      <c r="D2397" s="9" t="s">
        <v>106</v>
      </c>
      <c r="E2397" s="9" t="s">
        <v>17096</v>
      </c>
      <c r="F2397" s="10">
        <v>1.514</v>
      </c>
      <c r="G2397" s="10">
        <v>1.665</v>
      </c>
      <c r="H2397" s="10"/>
      <c r="I2397" s="9" t="s">
        <v>106</v>
      </c>
      <c r="J2397" s="9" t="s">
        <v>17167</v>
      </c>
      <c r="K2397" s="9" t="s">
        <v>17168</v>
      </c>
      <c r="L2397" s="8" t="s">
        <v>17099</v>
      </c>
      <c r="M2397" s="9" t="s">
        <v>49</v>
      </c>
      <c r="N2397" s="9" t="s">
        <v>964</v>
      </c>
      <c r="O2397" s="9">
        <f>HYPERLINK("https://www.google.com/maps/search/?api=1&amp;query=38.04578592,-1.0021426", "https://www.google.com/maps/search/?api=1&amp;query=38.04578592,-1.0021426")</f>
      </c>
      <c r="P2397" s="9" t="s">
        <v>7785</v>
      </c>
      <c r="Q2397" s="9" t="s">
        <v>565</v>
      </c>
    </row>
    <row r="2398" spans="1:17" x14ac:dyDescent="0.25">
      <c r="A2398" s="8" t="s">
        <v>17169</v>
      </c>
      <c r="B2398" s="8" t="s">
        <v>17170</v>
      </c>
      <c r="C2398" s="9" t="s">
        <v>17171</v>
      </c>
      <c r="D2398" s="9" t="s">
        <v>469</v>
      </c>
      <c r="E2398" s="9" t="s">
        <v>469</v>
      </c>
      <c r="F2398" s="10">
        <v>1.514</v>
      </c>
      <c r="G2398" s="10">
        <v>1.665</v>
      </c>
      <c r="H2398" s="10"/>
      <c r="I2398" s="9" t="s">
        <v>74</v>
      </c>
      <c r="J2398" s="9" t="s">
        <v>17172</v>
      </c>
      <c r="K2398" s="9" t="s">
        <v>17173</v>
      </c>
      <c r="L2398" s="8" t="s">
        <v>1732</v>
      </c>
      <c r="M2398" s="9" t="s">
        <v>49</v>
      </c>
      <c r="N2398" s="9" t="s">
        <v>211</v>
      </c>
      <c r="O2398" s="9">
        <f>HYPERLINK("https://www.google.com/maps/search/?api=1&amp;query=40.95712938,-5.66588338", "https://www.google.com/maps/search/?api=1&amp;query=40.95712938,-5.66588338")</f>
      </c>
      <c r="P2398" s="9" t="s">
        <v>2213</v>
      </c>
      <c r="Q2398" s="9" t="s">
        <v>1742</v>
      </c>
    </row>
    <row r="2399" spans="1:17" x14ac:dyDescent="0.25">
      <c r="A2399" s="8" t="s">
        <v>17174</v>
      </c>
      <c r="B2399" s="8" t="s">
        <v>17175</v>
      </c>
      <c r="C2399" s="9" t="s">
        <v>17176</v>
      </c>
      <c r="D2399" s="9" t="s">
        <v>577</v>
      </c>
      <c r="E2399" s="9" t="s">
        <v>17177</v>
      </c>
      <c r="F2399" s="10">
        <v>1.514</v>
      </c>
      <c r="G2399" s="10">
        <v>1.665</v>
      </c>
      <c r="H2399" s="10"/>
      <c r="I2399" s="9" t="s">
        <v>74</v>
      </c>
      <c r="J2399" s="9" t="s">
        <v>17178</v>
      </c>
      <c r="K2399" s="9" t="s">
        <v>17179</v>
      </c>
      <c r="L2399" s="8" t="s">
        <v>2126</v>
      </c>
      <c r="M2399" s="9" t="s">
        <v>36</v>
      </c>
      <c r="N2399" s="9" t="s">
        <v>211</v>
      </c>
      <c r="O2399" s="9">
        <f>HYPERLINK("https://www.google.com/maps/search/?api=1&amp;query=40.99818528,-4.65863483", "https://www.google.com/maps/search/?api=1&amp;query=40.99818528,-4.65863483")</f>
      </c>
      <c r="P2399" s="9" t="s">
        <v>144</v>
      </c>
      <c r="Q2399" s="9" t="s">
        <v>8541</v>
      </c>
    </row>
    <row r="2400" spans="1:17" x14ac:dyDescent="0.25">
      <c r="A2400" s="8" t="s">
        <v>17180</v>
      </c>
      <c r="B2400" s="8" t="s">
        <v>17181</v>
      </c>
      <c r="C2400" s="9" t="s">
        <v>17182</v>
      </c>
      <c r="D2400" s="9" t="s">
        <v>83</v>
      </c>
      <c r="E2400" s="9" t="s">
        <v>83</v>
      </c>
      <c r="F2400" s="10">
        <v>1.514</v>
      </c>
      <c r="G2400" s="10">
        <v>1.665</v>
      </c>
      <c r="H2400" s="10"/>
      <c r="I2400" s="9" t="s">
        <v>83</v>
      </c>
      <c r="J2400" s="9" t="s">
        <v>17183</v>
      </c>
      <c r="K2400" s="9" t="s">
        <v>17184</v>
      </c>
      <c r="L2400" s="8" t="s">
        <v>17185</v>
      </c>
      <c r="M2400" s="9" t="s">
        <v>49</v>
      </c>
      <c r="N2400" s="9" t="s">
        <v>37</v>
      </c>
      <c r="O2400" s="9">
        <f>HYPERLINK("https://www.google.com/maps/search/?api=1&amp;query=40.43799056,-3.68455249", "https://www.google.com/maps/search/?api=1&amp;query=40.43799056,-3.68455249")</f>
      </c>
      <c r="P2400" s="9" t="s">
        <v>1250</v>
      </c>
      <c r="Q2400" s="9" t="s">
        <v>5645</v>
      </c>
    </row>
    <row r="2401" spans="1:17" x14ac:dyDescent="0.25">
      <c r="A2401" s="8" t="s">
        <v>17186</v>
      </c>
      <c r="B2401" s="8" t="s">
        <v>17187</v>
      </c>
      <c r="C2401" s="9" t="s">
        <v>17188</v>
      </c>
      <c r="D2401" s="9" t="s">
        <v>1617</v>
      </c>
      <c r="E2401" s="9" t="s">
        <v>17189</v>
      </c>
      <c r="F2401" s="10">
        <v>1.514</v>
      </c>
      <c r="G2401" s="10">
        <v>1.665</v>
      </c>
      <c r="H2401" s="10"/>
      <c r="I2401" s="9" t="s">
        <v>292</v>
      </c>
      <c r="J2401" s="9" t="s">
        <v>17190</v>
      </c>
      <c r="K2401" s="9" t="s">
        <v>17191</v>
      </c>
      <c r="L2401" s="8" t="s">
        <v>17192</v>
      </c>
      <c r="M2401" s="9" t="s">
        <v>49</v>
      </c>
      <c r="N2401" s="9" t="s">
        <v>122</v>
      </c>
      <c r="O2401" s="9">
        <f>HYPERLINK("https://www.google.com/maps/search/?api=1&amp;query=42.71596862,-0.30828068", "https://www.google.com/maps/search/?api=1&amp;query=42.71596862,-0.30828068")</f>
      </c>
      <c r="P2401" s="9" t="s">
        <v>493</v>
      </c>
      <c r="Q2401" s="9" t="s">
        <v>14072</v>
      </c>
    </row>
    <row r="2402" spans="1:17" x14ac:dyDescent="0.25">
      <c r="A2402" s="8" t="s">
        <v>17193</v>
      </c>
      <c r="B2402" s="8" t="s">
        <v>17194</v>
      </c>
      <c r="C2402" s="9" t="s">
        <v>17195</v>
      </c>
      <c r="D2402" s="9" t="s">
        <v>516</v>
      </c>
      <c r="E2402" s="9" t="s">
        <v>17196</v>
      </c>
      <c r="F2402" s="10">
        <v>1.514</v>
      </c>
      <c r="G2402" s="10">
        <v>1.665</v>
      </c>
      <c r="H2402" s="10"/>
      <c r="I2402" s="9" t="s">
        <v>140</v>
      </c>
      <c r="J2402" s="9" t="s">
        <v>17197</v>
      </c>
      <c r="K2402" s="9" t="s">
        <v>17198</v>
      </c>
      <c r="L2402" s="8" t="s">
        <v>17199</v>
      </c>
      <c r="M2402" s="9" t="s">
        <v>49</v>
      </c>
      <c r="N2402" s="9" t="s">
        <v>8548</v>
      </c>
      <c r="O2402" s="9">
        <f>HYPERLINK("https://www.google.com/maps/search/?api=1&amp;query=43.12157048,-7.06980618", "https://www.google.com/maps/search/?api=1&amp;query=43.12157048,-7.06980618")</f>
      </c>
      <c r="P2402" s="9" t="s">
        <v>56</v>
      </c>
      <c r="Q2402" s="9" t="s">
        <v>17200</v>
      </c>
    </row>
    <row r="2403" spans="1:17" x14ac:dyDescent="0.25">
      <c r="A2403" s="8" t="s">
        <v>17201</v>
      </c>
      <c r="B2403" s="8" t="s">
        <v>17202</v>
      </c>
      <c r="C2403" s="9" t="s">
        <v>17203</v>
      </c>
      <c r="D2403" s="9" t="s">
        <v>1192</v>
      </c>
      <c r="E2403" s="9" t="s">
        <v>17204</v>
      </c>
      <c r="F2403" s="10">
        <v>1.514</v>
      </c>
      <c r="G2403" s="10">
        <v>1.665</v>
      </c>
      <c r="H2403" s="10"/>
      <c r="I2403" s="9" t="s">
        <v>168</v>
      </c>
      <c r="J2403" s="9" t="s">
        <v>17205</v>
      </c>
      <c r="K2403" s="9" t="s">
        <v>17206</v>
      </c>
      <c r="L2403" s="8" t="s">
        <v>17207</v>
      </c>
      <c r="M2403" s="9" t="s">
        <v>36</v>
      </c>
      <c r="N2403" s="9" t="s">
        <v>211</v>
      </c>
      <c r="O2403" s="9">
        <f>HYPERLINK("https://www.google.com/maps/search/?api=1&amp;query=39.24140856,-3.49890344", "https://www.google.com/maps/search/?api=1&amp;query=39.24140856,-3.49890344")</f>
      </c>
      <c r="P2403" s="9" t="s">
        <v>7037</v>
      </c>
      <c r="Q2403" s="9" t="s">
        <v>7038</v>
      </c>
    </row>
    <row r="2404" spans="1:17" x14ac:dyDescent="0.25">
      <c r="A2404" s="8" t="s">
        <v>17208</v>
      </c>
      <c r="B2404" s="8" t="s">
        <v>17209</v>
      </c>
      <c r="C2404" s="9" t="s">
        <v>17210</v>
      </c>
      <c r="D2404" s="9" t="s">
        <v>72</v>
      </c>
      <c r="E2404" s="9" t="s">
        <v>17211</v>
      </c>
      <c r="F2404" s="10">
        <v>1.514</v>
      </c>
      <c r="G2404" s="10">
        <v>1.665</v>
      </c>
      <c r="H2404" s="10"/>
      <c r="I2404" s="9" t="s">
        <v>74</v>
      </c>
      <c r="J2404" s="9" t="s">
        <v>17212</v>
      </c>
      <c r="K2404" s="9" t="s">
        <v>17213</v>
      </c>
      <c r="L2404" s="8" t="s">
        <v>17214</v>
      </c>
      <c r="M2404" s="9" t="s">
        <v>100</v>
      </c>
      <c r="N2404" s="9" t="s">
        <v>17215</v>
      </c>
      <c r="O2404" s="9">
        <f>HYPERLINK("https://www.google.com/maps/search/?api=1&amp;query=42.41365081,-4.35270053", "https://www.google.com/maps/search/?api=1&amp;query=42.41365081,-4.35270053")</f>
      </c>
      <c r="P2404" s="9" t="s">
        <v>880</v>
      </c>
      <c r="Q2404" s="9" t="s">
        <v>17216</v>
      </c>
    </row>
    <row r="2405" spans="1:17" x14ac:dyDescent="0.25">
      <c r="A2405" s="8" t="s">
        <v>17217</v>
      </c>
      <c r="B2405" s="8" t="s">
        <v>17218</v>
      </c>
      <c r="C2405" s="9" t="s">
        <v>17219</v>
      </c>
      <c r="D2405" s="9" t="s">
        <v>30</v>
      </c>
      <c r="E2405" s="9" t="s">
        <v>17220</v>
      </c>
      <c r="F2405" s="10">
        <v>1.514</v>
      </c>
      <c r="G2405" s="10">
        <v>1.665</v>
      </c>
      <c r="H2405" s="10"/>
      <c r="I2405" s="9" t="s">
        <v>32</v>
      </c>
      <c r="J2405" s="9" t="s">
        <v>17221</v>
      </c>
      <c r="K2405" s="9" t="s">
        <v>17222</v>
      </c>
      <c r="L2405" s="8" t="s">
        <v>17223</v>
      </c>
      <c r="M2405" s="9" t="s">
        <v>36</v>
      </c>
      <c r="N2405" s="9" t="s">
        <v>17224</v>
      </c>
      <c r="O2405" s="9">
        <f>HYPERLINK("https://www.google.com/maps/search/?api=1&amp;query=38.30435756,-5.60797571", "https://www.google.com/maps/search/?api=1&amp;query=38.30435756,-5.60797571")</f>
      </c>
      <c r="P2405" s="9" t="s">
        <v>4183</v>
      </c>
      <c r="Q2405" s="9" t="s">
        <v>17225</v>
      </c>
    </row>
    <row r="2406" spans="1:17" x14ac:dyDescent="0.25">
      <c r="A2406" s="8" t="s">
        <v>17226</v>
      </c>
      <c r="B2406" s="8" t="s">
        <v>17227</v>
      </c>
      <c r="C2406" s="9" t="s">
        <v>17228</v>
      </c>
      <c r="D2406" s="9" t="s">
        <v>197</v>
      </c>
      <c r="E2406" s="9" t="s">
        <v>3357</v>
      </c>
      <c r="F2406" s="10">
        <v>1.514</v>
      </c>
      <c r="G2406" s="10">
        <v>1.665</v>
      </c>
      <c r="H2406" s="10"/>
      <c r="I2406" s="9" t="s">
        <v>168</v>
      </c>
      <c r="J2406" s="9" t="s">
        <v>17229</v>
      </c>
      <c r="K2406" s="9" t="s">
        <v>17230</v>
      </c>
      <c r="L2406" s="8" t="s">
        <v>3360</v>
      </c>
      <c r="M2406" s="9" t="s">
        <v>49</v>
      </c>
      <c r="N2406" s="9" t="s">
        <v>17231</v>
      </c>
      <c r="O2406" s="9">
        <f>HYPERLINK("https://www.google.com/maps/search/?api=1&amp;query=40.12602239,-3.84622042", "https://www.google.com/maps/search/?api=1&amp;query=40.12602239,-3.84622042")</f>
      </c>
      <c r="P2406" s="9" t="s">
        <v>2594</v>
      </c>
      <c r="Q2406" s="9" t="s">
        <v>1131</v>
      </c>
    </row>
    <row r="2407" spans="1:17" x14ac:dyDescent="0.25">
      <c r="A2407" s="8" t="s">
        <v>17232</v>
      </c>
      <c r="B2407" s="8" t="s">
        <v>17233</v>
      </c>
      <c r="C2407" s="9" t="s">
        <v>17234</v>
      </c>
      <c r="D2407" s="9" t="s">
        <v>409</v>
      </c>
      <c r="E2407" s="9" t="s">
        <v>409</v>
      </c>
      <c r="F2407" s="10">
        <v>1.514</v>
      </c>
      <c r="G2407" s="10">
        <v>1.665</v>
      </c>
      <c r="H2407" s="10"/>
      <c r="I2407" s="9" t="s">
        <v>292</v>
      </c>
      <c r="J2407" s="9" t="s">
        <v>17235</v>
      </c>
      <c r="K2407" s="9" t="s">
        <v>17236</v>
      </c>
      <c r="L2407" s="8" t="s">
        <v>3899</v>
      </c>
      <c r="M2407" s="9" t="s">
        <v>100</v>
      </c>
      <c r="N2407" s="9" t="s">
        <v>37</v>
      </c>
      <c r="O2407" s="9">
        <f>HYPERLINK("https://www.google.com/maps/search/?api=1&amp;query=41.62531953,-1.01008236", "https://www.google.com/maps/search/?api=1&amp;query=41.62531953,-1.01008236")</f>
      </c>
      <c r="P2407" s="9" t="s">
        <v>646</v>
      </c>
      <c r="Q2407" s="9" t="s">
        <v>17237</v>
      </c>
    </row>
    <row r="2408" spans="1:17" x14ac:dyDescent="0.25">
      <c r="A2408" s="8" t="s">
        <v>17238</v>
      </c>
      <c r="B2408" s="8" t="s">
        <v>17239</v>
      </c>
      <c r="C2408" s="9" t="s">
        <v>17240</v>
      </c>
      <c r="D2408" s="9" t="s">
        <v>1434</v>
      </c>
      <c r="E2408" s="9" t="s">
        <v>2899</v>
      </c>
      <c r="F2408" s="10">
        <v>1.514</v>
      </c>
      <c r="G2408" s="10">
        <v>1.665</v>
      </c>
      <c r="H2408" s="10"/>
      <c r="I2408" s="9" t="s">
        <v>1434</v>
      </c>
      <c r="J2408" s="9" t="s">
        <v>17241</v>
      </c>
      <c r="K2408" s="9" t="s">
        <v>17242</v>
      </c>
      <c r="L2408" s="8" t="s">
        <v>17243</v>
      </c>
      <c r="M2408" s="9" t="s">
        <v>49</v>
      </c>
      <c r="N2408" s="9" t="s">
        <v>17244</v>
      </c>
      <c r="O2408" s="9">
        <f>HYPERLINK("https://www.google.com/maps/search/?api=1&amp;query=42.45884841,-2.43048138", "https://www.google.com/maps/search/?api=1&amp;query=42.45884841,-2.43048138")</f>
      </c>
      <c r="P2408" s="9" t="s">
        <v>3400</v>
      </c>
      <c r="Q2408" s="9" t="s">
        <v>6703</v>
      </c>
    </row>
    <row r="2409" spans="1:17" x14ac:dyDescent="0.25">
      <c r="A2409" s="8" t="s">
        <v>17245</v>
      </c>
      <c r="B2409" s="8" t="s">
        <v>17246</v>
      </c>
      <c r="C2409" s="9" t="s">
        <v>17247</v>
      </c>
      <c r="D2409" s="9" t="s">
        <v>155</v>
      </c>
      <c r="E2409" s="9" t="s">
        <v>17248</v>
      </c>
      <c r="F2409" s="10">
        <v>1.514</v>
      </c>
      <c r="G2409" s="10">
        <v>1.665</v>
      </c>
      <c r="H2409" s="10"/>
      <c r="I2409" s="9" t="s">
        <v>157</v>
      </c>
      <c r="J2409" s="9" t="s">
        <v>17249</v>
      </c>
      <c r="K2409" s="9" t="s">
        <v>17250</v>
      </c>
      <c r="L2409" s="8" t="s">
        <v>17251</v>
      </c>
      <c r="M2409" s="9" t="s">
        <v>49</v>
      </c>
      <c r="N2409" s="9" t="s">
        <v>7479</v>
      </c>
      <c r="O2409" s="9">
        <f>HYPERLINK("https://www.google.com/maps/search/?api=1&amp;query=39.64549059,2.87864491", "https://www.google.com/maps/search/?api=1&amp;query=39.64549059,2.87864491")</f>
      </c>
      <c r="P2409" s="9" t="s">
        <v>17252</v>
      </c>
      <c r="Q2409" s="9" t="s">
        <v>17253</v>
      </c>
    </row>
    <row r="2410" spans="1:17" x14ac:dyDescent="0.25">
      <c r="A2410" s="8" t="s">
        <v>17254</v>
      </c>
      <c r="B2410" s="8" t="s">
        <v>17255</v>
      </c>
      <c r="C2410" s="9" t="s">
        <v>17256</v>
      </c>
      <c r="D2410" s="9" t="s">
        <v>892</v>
      </c>
      <c r="E2410" s="9" t="s">
        <v>17257</v>
      </c>
      <c r="F2410" s="10">
        <v>1.514</v>
      </c>
      <c r="G2410" s="10">
        <v>1.665</v>
      </c>
      <c r="H2410" s="10"/>
      <c r="I2410" s="9" t="s">
        <v>32</v>
      </c>
      <c r="J2410" s="9" t="s">
        <v>17258</v>
      </c>
      <c r="K2410" s="9" t="s">
        <v>17259</v>
      </c>
      <c r="L2410" s="8" t="s">
        <v>17260</v>
      </c>
      <c r="M2410" s="9" t="s">
        <v>49</v>
      </c>
      <c r="N2410" s="9" t="s">
        <v>8958</v>
      </c>
      <c r="O2410" s="9">
        <f>HYPERLINK("https://www.google.com/maps/search/?api=1&amp;query=40.1461746,-6.4145412", "https://www.google.com/maps/search/?api=1&amp;query=40.1461746,-6.4145412")</f>
      </c>
      <c r="P2410" s="9" t="s">
        <v>1439</v>
      </c>
      <c r="Q2410" s="9" t="s">
        <v>1742</v>
      </c>
    </row>
    <row r="2411" spans="1:17" x14ac:dyDescent="0.25">
      <c r="A2411" s="8" t="s">
        <v>17261</v>
      </c>
      <c r="B2411" s="8" t="s">
        <v>17262</v>
      </c>
      <c r="C2411" s="9" t="s">
        <v>17263</v>
      </c>
      <c r="D2411" s="9" t="s">
        <v>197</v>
      </c>
      <c r="E2411" s="9" t="s">
        <v>17264</v>
      </c>
      <c r="F2411" s="10">
        <v>1.514</v>
      </c>
      <c r="G2411" s="10">
        <v>1.665</v>
      </c>
      <c r="H2411" s="10"/>
      <c r="I2411" s="9" t="s">
        <v>168</v>
      </c>
      <c r="J2411" s="9" t="s">
        <v>17265</v>
      </c>
      <c r="K2411" s="9" t="s">
        <v>17266</v>
      </c>
      <c r="L2411" s="8" t="s">
        <v>17267</v>
      </c>
      <c r="M2411" s="9" t="s">
        <v>36</v>
      </c>
      <c r="N2411" s="9" t="s">
        <v>8484</v>
      </c>
      <c r="O2411" s="9">
        <f>HYPERLINK("https://www.google.com/maps/search/?api=1&amp;query=39.94678196,-4.01672825", "https://www.google.com/maps/search/?api=1&amp;query=39.94678196,-4.01672825")</f>
      </c>
      <c r="P2411" s="9" t="s">
        <v>880</v>
      </c>
      <c r="Q2411" s="9" t="s">
        <v>17268</v>
      </c>
    </row>
    <row r="2412" spans="1:17" x14ac:dyDescent="0.25">
      <c r="A2412" s="8" t="s">
        <v>17269</v>
      </c>
      <c r="B2412" s="8" t="s">
        <v>17270</v>
      </c>
      <c r="C2412" s="9" t="s">
        <v>17271</v>
      </c>
      <c r="D2412" s="9" t="s">
        <v>631</v>
      </c>
      <c r="E2412" s="9" t="s">
        <v>17272</v>
      </c>
      <c r="F2412" s="10">
        <v>1.514</v>
      </c>
      <c r="G2412" s="10">
        <v>1.665</v>
      </c>
      <c r="H2412" s="10"/>
      <c r="I2412" s="9" t="s">
        <v>45</v>
      </c>
      <c r="J2412" s="9" t="s">
        <v>17273</v>
      </c>
      <c r="K2412" s="9" t="s">
        <v>17274</v>
      </c>
      <c r="L2412" s="8" t="s">
        <v>17275</v>
      </c>
      <c r="M2412" s="9" t="s">
        <v>36</v>
      </c>
      <c r="N2412" s="9" t="s">
        <v>7222</v>
      </c>
      <c r="O2412" s="9">
        <f>HYPERLINK("https://www.google.com/maps/search/?api=1&amp;query=37.43615572,-4.11282718", "https://www.google.com/maps/search/?api=1&amp;query=37.43615572,-4.11282718")</f>
      </c>
      <c r="P2412" s="9" t="s">
        <v>7900</v>
      </c>
      <c r="Q2412" s="9" t="s">
        <v>17276</v>
      </c>
    </row>
    <row r="2413" spans="1:17" x14ac:dyDescent="0.25">
      <c r="A2413" s="8" t="s">
        <v>17277</v>
      </c>
      <c r="B2413" s="8" t="s">
        <v>17278</v>
      </c>
      <c r="C2413" s="9" t="s">
        <v>15686</v>
      </c>
      <c r="D2413" s="9" t="s">
        <v>83</v>
      </c>
      <c r="E2413" s="9" t="s">
        <v>83</v>
      </c>
      <c r="F2413" s="10">
        <v>1.514</v>
      </c>
      <c r="G2413" s="10">
        <v>1.665</v>
      </c>
      <c r="H2413" s="10"/>
      <c r="I2413" s="9" t="s">
        <v>83</v>
      </c>
      <c r="J2413" s="9" t="s">
        <v>17279</v>
      </c>
      <c r="K2413" s="9" t="s">
        <v>17280</v>
      </c>
      <c r="L2413" s="8" t="s">
        <v>7149</v>
      </c>
      <c r="M2413" s="9" t="s">
        <v>49</v>
      </c>
      <c r="N2413" s="9" t="s">
        <v>17281</v>
      </c>
      <c r="O2413" s="9">
        <f>HYPERLINK("https://www.google.com/maps/search/?api=1&amp;query=40.44519622,-3.68481355", "https://www.google.com/maps/search/?api=1&amp;query=40.44519622,-3.68481355")</f>
      </c>
      <c r="P2413" s="9" t="s">
        <v>3685</v>
      </c>
      <c r="Q2413" s="9" t="s">
        <v>4404</v>
      </c>
    </row>
    <row r="2414" spans="1:17" x14ac:dyDescent="0.25">
      <c r="A2414" s="8" t="s">
        <v>17282</v>
      </c>
      <c r="B2414" s="8" t="s">
        <v>17283</v>
      </c>
      <c r="C2414" s="9" t="s">
        <v>17284</v>
      </c>
      <c r="D2414" s="9" t="s">
        <v>1192</v>
      </c>
      <c r="E2414" s="9" t="s">
        <v>16556</v>
      </c>
      <c r="F2414" s="10">
        <v>1.514</v>
      </c>
      <c r="G2414" s="10">
        <v>1.665</v>
      </c>
      <c r="H2414" s="10"/>
      <c r="I2414" s="9" t="s">
        <v>168</v>
      </c>
      <c r="J2414" s="9" t="s">
        <v>17285</v>
      </c>
      <c r="K2414" s="9" t="s">
        <v>17286</v>
      </c>
      <c r="L2414" s="8" t="s">
        <v>16559</v>
      </c>
      <c r="M2414" s="9" t="s">
        <v>36</v>
      </c>
      <c r="N2414" s="9" t="s">
        <v>17287</v>
      </c>
      <c r="O2414" s="9">
        <f>HYPERLINK("https://www.google.com/maps/search/?api=1&amp;query=38.94186324,-3.2468056", "https://www.google.com/maps/search/?api=1&amp;query=38.94186324,-3.2468056")</f>
      </c>
      <c r="P2414" s="9" t="s">
        <v>17288</v>
      </c>
      <c r="Q2414" s="9" t="s">
        <v>17289</v>
      </c>
    </row>
    <row r="2415" spans="1:17" x14ac:dyDescent="0.25">
      <c r="A2415" s="8" t="s">
        <v>17290</v>
      </c>
      <c r="B2415" s="8" t="s">
        <v>17291</v>
      </c>
      <c r="C2415" s="9" t="s">
        <v>11070</v>
      </c>
      <c r="D2415" s="9" t="s">
        <v>138</v>
      </c>
      <c r="E2415" s="9" t="s">
        <v>11470</v>
      </c>
      <c r="F2415" s="10">
        <v>1.514</v>
      </c>
      <c r="G2415" s="10">
        <v>1.665</v>
      </c>
      <c r="H2415" s="10"/>
      <c r="I2415" s="9" t="s">
        <v>140</v>
      </c>
      <c r="J2415" s="9" t="s">
        <v>17292</v>
      </c>
      <c r="K2415" s="9" t="s">
        <v>17293</v>
      </c>
      <c r="L2415" s="8" t="s">
        <v>11473</v>
      </c>
      <c r="M2415" s="9" t="s">
        <v>49</v>
      </c>
      <c r="N2415" s="9" t="s">
        <v>211</v>
      </c>
      <c r="O2415" s="9">
        <f>HYPERLINK("https://www.google.com/maps/search/?api=1&amp;query=42.65503262,-8.11170303", "https://www.google.com/maps/search/?api=1&amp;query=42.65503262,-8.11170303")</f>
      </c>
      <c r="P2415" s="9" t="s">
        <v>17294</v>
      </c>
      <c r="Q2415" s="9" t="s">
        <v>1843</v>
      </c>
    </row>
    <row r="2416" spans="1:17" x14ac:dyDescent="0.25">
      <c r="A2416" s="8" t="s">
        <v>17295</v>
      </c>
      <c r="B2416" s="8" t="s">
        <v>17296</v>
      </c>
      <c r="C2416" s="9" t="s">
        <v>17297</v>
      </c>
      <c r="D2416" s="9" t="s">
        <v>61</v>
      </c>
      <c r="E2416" s="9" t="s">
        <v>11207</v>
      </c>
      <c r="F2416" s="10">
        <v>1.514</v>
      </c>
      <c r="G2416" s="10">
        <v>1.665</v>
      </c>
      <c r="H2416" s="10"/>
      <c r="I2416" s="9" t="s">
        <v>45</v>
      </c>
      <c r="J2416" s="9" t="s">
        <v>17298</v>
      </c>
      <c r="K2416" s="9" t="s">
        <v>17299</v>
      </c>
      <c r="L2416" s="8" t="s">
        <v>11210</v>
      </c>
      <c r="M2416" s="9" t="s">
        <v>36</v>
      </c>
      <c r="N2416" s="9" t="s">
        <v>645</v>
      </c>
      <c r="O2416" s="9">
        <f>HYPERLINK("https://www.google.com/maps/search/?api=1&amp;query=37.52771356,-6.16244715", "https://www.google.com/maps/search/?api=1&amp;query=37.52771356,-6.16244715")</f>
      </c>
      <c r="P2416" s="9" t="s">
        <v>11881</v>
      </c>
      <c r="Q2416" s="9" t="s">
        <v>1982</v>
      </c>
    </row>
    <row r="2417" spans="1:17" x14ac:dyDescent="0.25">
      <c r="A2417" s="8" t="s">
        <v>17300</v>
      </c>
      <c r="B2417" s="8" t="s">
        <v>17301</v>
      </c>
      <c r="C2417" s="9" t="s">
        <v>17302</v>
      </c>
      <c r="D2417" s="9" t="s">
        <v>469</v>
      </c>
      <c r="E2417" s="9" t="s">
        <v>1386</v>
      </c>
      <c r="F2417" s="10">
        <v>1.514</v>
      </c>
      <c r="G2417" s="10">
        <v>1.665</v>
      </c>
      <c r="H2417" s="10"/>
      <c r="I2417" s="9" t="s">
        <v>74</v>
      </c>
      <c r="J2417" s="9" t="s">
        <v>17303</v>
      </c>
      <c r="K2417" s="9" t="s">
        <v>17304</v>
      </c>
      <c r="L2417" s="8" t="s">
        <v>1389</v>
      </c>
      <c r="M2417" s="9" t="s">
        <v>49</v>
      </c>
      <c r="N2417" s="9" t="s">
        <v>17305</v>
      </c>
      <c r="O2417" s="9">
        <f>HYPERLINK("https://www.google.com/maps/search/?api=1&amp;query=40.70867385,-6.3994439", "https://www.google.com/maps/search/?api=1&amp;query=40.70867385,-6.3994439")</f>
      </c>
      <c r="P2417" s="9" t="s">
        <v>11043</v>
      </c>
      <c r="Q2417" s="9" t="s">
        <v>17306</v>
      </c>
    </row>
    <row r="2418" spans="1:17" x14ac:dyDescent="0.25">
      <c r="A2418" s="8" t="s">
        <v>17307</v>
      </c>
      <c r="B2418" s="8" t="s">
        <v>17308</v>
      </c>
      <c r="C2418" s="9" t="s">
        <v>17309</v>
      </c>
      <c r="D2418" s="9" t="s">
        <v>424</v>
      </c>
      <c r="E2418" s="9" t="s">
        <v>5425</v>
      </c>
      <c r="F2418" s="10">
        <v>1.514</v>
      </c>
      <c r="G2418" s="10">
        <v>1.665</v>
      </c>
      <c r="H2418" s="10"/>
      <c r="I2418" s="9" t="s">
        <v>96</v>
      </c>
      <c r="J2418" s="9" t="s">
        <v>17310</v>
      </c>
      <c r="K2418" s="9" t="s">
        <v>17311</v>
      </c>
      <c r="L2418" s="8" t="s">
        <v>5428</v>
      </c>
      <c r="M2418" s="9" t="s">
        <v>36</v>
      </c>
      <c r="N2418" s="9" t="s">
        <v>37</v>
      </c>
      <c r="O2418" s="9">
        <f>HYPERLINK("https://www.google.com/maps/search/?api=1&amp;query=41.66644899,1.21096076", "https://www.google.com/maps/search/?api=1&amp;query=41.66644899,1.21096076")</f>
      </c>
      <c r="P2418" s="9" t="s">
        <v>924</v>
      </c>
      <c r="Q2418" s="9" t="s">
        <v>17312</v>
      </c>
    </row>
    <row r="2419" spans="1:17" x14ac:dyDescent="0.25">
      <c r="A2419" s="8" t="s">
        <v>17313</v>
      </c>
      <c r="B2419" s="8" t="s">
        <v>17314</v>
      </c>
      <c r="C2419" s="9" t="s">
        <v>17315</v>
      </c>
      <c r="D2419" s="9" t="s">
        <v>155</v>
      </c>
      <c r="E2419" s="9" t="s">
        <v>14112</v>
      </c>
      <c r="F2419" s="10">
        <v>1.514</v>
      </c>
      <c r="G2419" s="10">
        <v>1.665</v>
      </c>
      <c r="H2419" s="10"/>
      <c r="I2419" s="9" t="s">
        <v>157</v>
      </c>
      <c r="J2419" s="9" t="s">
        <v>17316</v>
      </c>
      <c r="K2419" s="9" t="s">
        <v>17317</v>
      </c>
      <c r="L2419" s="8" t="s">
        <v>14115</v>
      </c>
      <c r="M2419" s="9" t="s">
        <v>100</v>
      </c>
      <c r="N2419" s="9" t="s">
        <v>37</v>
      </c>
      <c r="O2419" s="9">
        <f>HYPERLINK("https://www.google.com/maps/search/?api=1&amp;query=39.57152896,2.71375657", "https://www.google.com/maps/search/?api=1&amp;query=39.57152896,2.71375657")</f>
      </c>
      <c r="P2419" s="9" t="s">
        <v>172</v>
      </c>
      <c r="Q2419" s="9" t="s">
        <v>8878</v>
      </c>
    </row>
    <row r="2420" spans="1:17" x14ac:dyDescent="0.25">
      <c r="A2420" s="8" t="s">
        <v>17318</v>
      </c>
      <c r="B2420" s="8" t="s">
        <v>17319</v>
      </c>
      <c r="C2420" s="9" t="s">
        <v>17320</v>
      </c>
      <c r="D2420" s="9" t="s">
        <v>398</v>
      </c>
      <c r="E2420" s="9" t="s">
        <v>827</v>
      </c>
      <c r="F2420" s="10">
        <v>1.514</v>
      </c>
      <c r="G2420" s="10">
        <v>1.665</v>
      </c>
      <c r="H2420" s="10"/>
      <c r="I2420" s="9" t="s">
        <v>400</v>
      </c>
      <c r="J2420" s="9" t="s">
        <v>17321</v>
      </c>
      <c r="K2420" s="9" t="s">
        <v>17322</v>
      </c>
      <c r="L2420" s="8" t="s">
        <v>4966</v>
      </c>
      <c r="M2420" s="9" t="s">
        <v>36</v>
      </c>
      <c r="N2420" s="9" t="s">
        <v>88</v>
      </c>
      <c r="O2420" s="9">
        <f>HYPERLINK("https://www.google.com/maps/search/?api=1&amp;query=38.25790105,-0.67827289", "https://www.google.com/maps/search/?api=1&amp;query=38.25790105,-0.67827289")</f>
      </c>
      <c r="P2420" s="9" t="s">
        <v>1645</v>
      </c>
      <c r="Q2420" s="9" t="s">
        <v>1092</v>
      </c>
    </row>
    <row r="2421" spans="1:17" x14ac:dyDescent="0.25">
      <c r="A2421" s="8" t="s">
        <v>17323</v>
      </c>
      <c r="B2421" s="8" t="s">
        <v>17324</v>
      </c>
      <c r="C2421" s="9" t="s">
        <v>17325</v>
      </c>
      <c r="D2421" s="9" t="s">
        <v>83</v>
      </c>
      <c r="E2421" s="9" t="s">
        <v>17326</v>
      </c>
      <c r="F2421" s="10">
        <v>1.514</v>
      </c>
      <c r="G2421" s="10">
        <v>1.665</v>
      </c>
      <c r="H2421" s="10"/>
      <c r="I2421" s="9" t="s">
        <v>83</v>
      </c>
      <c r="J2421" s="9" t="s">
        <v>17327</v>
      </c>
      <c r="K2421" s="9" t="s">
        <v>17328</v>
      </c>
      <c r="L2421" s="8" t="s">
        <v>17329</v>
      </c>
      <c r="M2421" s="9" t="s">
        <v>49</v>
      </c>
      <c r="N2421" s="9" t="s">
        <v>3034</v>
      </c>
      <c r="O2421" s="9">
        <f>HYPERLINK("https://www.google.com/maps/search/?api=1&amp;query=40.32608097,-4.0118546", "https://www.google.com/maps/search/?api=1&amp;query=40.32608097,-4.0118546")</f>
      </c>
      <c r="P2421" s="9" t="s">
        <v>1139</v>
      </c>
      <c r="Q2421" s="9" t="s">
        <v>17330</v>
      </c>
    </row>
    <row r="2422" spans="1:17" x14ac:dyDescent="0.25">
      <c r="A2422" s="8" t="s">
        <v>17331</v>
      </c>
      <c r="B2422" s="8" t="s">
        <v>17332</v>
      </c>
      <c r="C2422" s="9" t="s">
        <v>17333</v>
      </c>
      <c r="D2422" s="9" t="s">
        <v>2050</v>
      </c>
      <c r="E2422" s="9" t="s">
        <v>17334</v>
      </c>
      <c r="F2422" s="10">
        <v>1.514</v>
      </c>
      <c r="G2422" s="10">
        <v>1.665</v>
      </c>
      <c r="H2422" s="10"/>
      <c r="I2422" s="9" t="s">
        <v>140</v>
      </c>
      <c r="J2422" s="9" t="s">
        <v>17335</v>
      </c>
      <c r="K2422" s="9" t="s">
        <v>17336</v>
      </c>
      <c r="L2422" s="8" t="s">
        <v>17337</v>
      </c>
      <c r="M2422" s="9" t="s">
        <v>49</v>
      </c>
      <c r="N2422" s="9" t="s">
        <v>13233</v>
      </c>
      <c r="O2422" s="9">
        <f>HYPERLINK("https://www.google.com/maps/search/?api=1&amp;query=42.42550271,-8.07865564", "https://www.google.com/maps/search/?api=1&amp;query=42.42550271,-8.07865564")</f>
      </c>
      <c r="P2422" s="9" t="s">
        <v>5394</v>
      </c>
      <c r="Q2422" s="9" t="s">
        <v>1742</v>
      </c>
    </row>
    <row r="2423" spans="1:17" x14ac:dyDescent="0.25">
      <c r="A2423" s="8" t="s">
        <v>17338</v>
      </c>
      <c r="B2423" s="8" t="s">
        <v>17339</v>
      </c>
      <c r="C2423" s="9" t="s">
        <v>15652</v>
      </c>
      <c r="D2423" s="9" t="s">
        <v>106</v>
      </c>
      <c r="E2423" s="9" t="s">
        <v>17340</v>
      </c>
      <c r="F2423" s="10">
        <v>1.514</v>
      </c>
      <c r="G2423" s="10">
        <v>1.665</v>
      </c>
      <c r="H2423" s="10"/>
      <c r="I2423" s="9" t="s">
        <v>106</v>
      </c>
      <c r="J2423" s="9" t="s">
        <v>17341</v>
      </c>
      <c r="K2423" s="9" t="s">
        <v>17342</v>
      </c>
      <c r="L2423" s="8" t="s">
        <v>110</v>
      </c>
      <c r="M2423" s="9" t="s">
        <v>36</v>
      </c>
      <c r="N2423" s="9" t="s">
        <v>37</v>
      </c>
      <c r="O2423" s="9">
        <f>HYPERLINK("https://www.google.com/maps/search/?api=1&amp;query=38.02958208,-1.17347143", "https://www.google.com/maps/search/?api=1&amp;query=38.02958208,-1.17347143")</f>
      </c>
      <c r="P2423" s="9" t="s">
        <v>1645</v>
      </c>
      <c r="Q2423" s="9" t="s">
        <v>647</v>
      </c>
    </row>
    <row r="2424" spans="1:17" x14ac:dyDescent="0.25">
      <c r="A2424" s="8" t="s">
        <v>17343</v>
      </c>
      <c r="B2424" s="8" t="s">
        <v>17344</v>
      </c>
      <c r="C2424" s="9" t="s">
        <v>17345</v>
      </c>
      <c r="D2424" s="9" t="s">
        <v>116</v>
      </c>
      <c r="E2424" s="9" t="s">
        <v>17346</v>
      </c>
      <c r="F2424" s="10">
        <v>1.514</v>
      </c>
      <c r="G2424" s="10">
        <v>1.665</v>
      </c>
      <c r="H2424" s="10"/>
      <c r="I2424" s="9" t="s">
        <v>118</v>
      </c>
      <c r="J2424" s="9" t="s">
        <v>17347</v>
      </c>
      <c r="K2424" s="9" t="s">
        <v>17348</v>
      </c>
      <c r="L2424" s="8" t="s">
        <v>17349</v>
      </c>
      <c r="M2424" s="9" t="s">
        <v>49</v>
      </c>
      <c r="N2424" s="9" t="s">
        <v>88</v>
      </c>
      <c r="O2424" s="9">
        <f>HYPERLINK("https://www.google.com/maps/search/?api=1&amp;query=43.31964085,-3.0459628", "https://www.google.com/maps/search/?api=1&amp;query=43.31964085,-3.0459628")</f>
      </c>
      <c r="P2424" s="9" t="s">
        <v>1751</v>
      </c>
      <c r="Q2424" s="9" t="s">
        <v>10247</v>
      </c>
    </row>
    <row r="2425" spans="1:17" x14ac:dyDescent="0.25">
      <c r="A2425" s="8" t="s">
        <v>17350</v>
      </c>
      <c r="B2425" s="8" t="s">
        <v>17351</v>
      </c>
      <c r="C2425" s="9" t="s">
        <v>17352</v>
      </c>
      <c r="D2425" s="9" t="s">
        <v>106</v>
      </c>
      <c r="E2425" s="9" t="s">
        <v>8496</v>
      </c>
      <c r="F2425" s="10">
        <v>1.514</v>
      </c>
      <c r="G2425" s="10">
        <v>1.665</v>
      </c>
      <c r="H2425" s="10"/>
      <c r="I2425" s="9" t="s">
        <v>106</v>
      </c>
      <c r="J2425" s="9" t="s">
        <v>17353</v>
      </c>
      <c r="K2425" s="9" t="s">
        <v>17354</v>
      </c>
      <c r="L2425" s="8" t="s">
        <v>8499</v>
      </c>
      <c r="M2425" s="9" t="s">
        <v>49</v>
      </c>
      <c r="N2425" s="9" t="s">
        <v>964</v>
      </c>
      <c r="O2425" s="9">
        <f>HYPERLINK("https://www.google.com/maps/search/?api=1&amp;query=37.733126,-0.95243365", "https://www.google.com/maps/search/?api=1&amp;query=37.733126,-0.95243365")</f>
      </c>
      <c r="P2425" s="9" t="s">
        <v>1203</v>
      </c>
      <c r="Q2425" s="9" t="s">
        <v>4925</v>
      </c>
    </row>
    <row r="2426" spans="1:17" x14ac:dyDescent="0.25">
      <c r="A2426" s="8" t="s">
        <v>17355</v>
      </c>
      <c r="B2426" s="8" t="s">
        <v>17356</v>
      </c>
      <c r="C2426" s="9" t="s">
        <v>17357</v>
      </c>
      <c r="D2426" s="9" t="s">
        <v>631</v>
      </c>
      <c r="E2426" s="9" t="s">
        <v>17358</v>
      </c>
      <c r="F2426" s="10">
        <v>1.514</v>
      </c>
      <c r="G2426" s="10">
        <v>1.665</v>
      </c>
      <c r="H2426" s="10"/>
      <c r="I2426" s="9" t="s">
        <v>45</v>
      </c>
      <c r="J2426" s="9" t="s">
        <v>17359</v>
      </c>
      <c r="K2426" s="9" t="s">
        <v>17360</v>
      </c>
      <c r="L2426" s="8" t="s">
        <v>17361</v>
      </c>
      <c r="M2426" s="9" t="s">
        <v>49</v>
      </c>
      <c r="N2426" s="9" t="s">
        <v>66</v>
      </c>
      <c r="O2426" s="9">
        <f>HYPERLINK("https://www.google.com/maps/search/?api=1&amp;query=37.570278,-4.842472", "https://www.google.com/maps/search/?api=1&amp;query=37.570278,-4.842472")</f>
      </c>
      <c r="P2426" s="9" t="s">
        <v>583</v>
      </c>
      <c r="Q2426" s="9" t="s">
        <v>112</v>
      </c>
    </row>
    <row r="2427" spans="1:17" x14ac:dyDescent="0.25">
      <c r="A2427" s="8" t="s">
        <v>17362</v>
      </c>
      <c r="B2427" s="8" t="s">
        <v>17363</v>
      </c>
      <c r="C2427" s="9" t="s">
        <v>17364</v>
      </c>
      <c r="D2427" s="9" t="s">
        <v>379</v>
      </c>
      <c r="E2427" s="9" t="s">
        <v>17365</v>
      </c>
      <c r="F2427" s="10">
        <v>1.514</v>
      </c>
      <c r="G2427" s="10">
        <v>1.665</v>
      </c>
      <c r="H2427" s="10"/>
      <c r="I2427" s="9" t="s">
        <v>379</v>
      </c>
      <c r="J2427" s="9" t="s">
        <v>17366</v>
      </c>
      <c r="K2427" s="9" t="s">
        <v>17367</v>
      </c>
      <c r="L2427" s="8" t="s">
        <v>17368</v>
      </c>
      <c r="M2427" s="9" t="s">
        <v>49</v>
      </c>
      <c r="N2427" s="9" t="s">
        <v>873</v>
      </c>
      <c r="O2427" s="9">
        <f>HYPERLINK("https://www.google.com/maps/search/?api=1&amp;query=42.89097118,-2.16079292", "https://www.google.com/maps/search/?api=1&amp;query=42.89097118,-2.16079292")</f>
      </c>
      <c r="P2427" s="9" t="s">
        <v>1250</v>
      </c>
      <c r="Q2427" s="9" t="s">
        <v>17369</v>
      </c>
    </row>
    <row r="2428" spans="1:17" x14ac:dyDescent="0.25">
      <c r="A2428" s="8" t="s">
        <v>17370</v>
      </c>
      <c r="B2428" s="8" t="s">
        <v>17371</v>
      </c>
      <c r="C2428" s="9" t="s">
        <v>17372</v>
      </c>
      <c r="D2428" s="9" t="s">
        <v>177</v>
      </c>
      <c r="E2428" s="9" t="s">
        <v>177</v>
      </c>
      <c r="F2428" s="10">
        <v>1.514</v>
      </c>
      <c r="G2428" s="10">
        <v>1.665</v>
      </c>
      <c r="H2428" s="10"/>
      <c r="I2428" s="9" t="s">
        <v>74</v>
      </c>
      <c r="J2428" s="9" t="s">
        <v>17373</v>
      </c>
      <c r="K2428" s="9" t="s">
        <v>17374</v>
      </c>
      <c r="L2428" s="8" t="s">
        <v>17375</v>
      </c>
      <c r="M2428" s="9" t="s">
        <v>49</v>
      </c>
      <c r="N2428" s="9" t="s">
        <v>211</v>
      </c>
      <c r="O2428" s="9">
        <f>HYPERLINK("https://www.google.com/maps/search/?api=1&amp;query=41.66107924,-4.71755087", "https://www.google.com/maps/search/?api=1&amp;query=41.66107924,-4.71755087")</f>
      </c>
      <c r="P2428" s="9" t="s">
        <v>521</v>
      </c>
      <c r="Q2428" s="9" t="s">
        <v>5645</v>
      </c>
    </row>
    <row r="2429" spans="1:17" x14ac:dyDescent="0.25">
      <c r="A2429" s="8" t="s">
        <v>17376</v>
      </c>
      <c r="B2429" s="8" t="s">
        <v>17377</v>
      </c>
      <c r="C2429" s="9" t="s">
        <v>17378</v>
      </c>
      <c r="D2429" s="9" t="s">
        <v>197</v>
      </c>
      <c r="E2429" s="9" t="s">
        <v>17379</v>
      </c>
      <c r="F2429" s="10">
        <v>1.514</v>
      </c>
      <c r="G2429" s="10">
        <v>1.665</v>
      </c>
      <c r="H2429" s="10"/>
      <c r="I2429" s="9" t="s">
        <v>168</v>
      </c>
      <c r="J2429" s="9" t="s">
        <v>17380</v>
      </c>
      <c r="K2429" s="9" t="s">
        <v>17381</v>
      </c>
      <c r="L2429" s="8" t="s">
        <v>14467</v>
      </c>
      <c r="M2429" s="9" t="s">
        <v>49</v>
      </c>
      <c r="N2429" s="9" t="s">
        <v>1695</v>
      </c>
      <c r="O2429" s="9">
        <f>HYPERLINK("https://www.google.com/maps/search/?api=1&amp;query=39.57410193,-3.86743356", "https://www.google.com/maps/search/?api=1&amp;query=39.57410193,-3.86743356")</f>
      </c>
      <c r="P2429" s="9" t="s">
        <v>3165</v>
      </c>
      <c r="Q2429" s="9" t="s">
        <v>17382</v>
      </c>
    </row>
    <row r="2430" spans="1:17" x14ac:dyDescent="0.25">
      <c r="A2430" s="8" t="s">
        <v>17383</v>
      </c>
      <c r="B2430" s="8" t="s">
        <v>17384</v>
      </c>
      <c r="C2430" s="9" t="s">
        <v>17385</v>
      </c>
      <c r="D2430" s="9" t="s">
        <v>106</v>
      </c>
      <c r="E2430" s="9" t="s">
        <v>17386</v>
      </c>
      <c r="F2430" s="10">
        <v>1.514</v>
      </c>
      <c r="G2430" s="10">
        <v>1.665</v>
      </c>
      <c r="H2430" s="10"/>
      <c r="I2430" s="9" t="s">
        <v>106</v>
      </c>
      <c r="J2430" s="9" t="s">
        <v>17387</v>
      </c>
      <c r="K2430" s="9" t="s">
        <v>17388</v>
      </c>
      <c r="L2430" s="8" t="s">
        <v>17389</v>
      </c>
      <c r="M2430" s="9" t="s">
        <v>49</v>
      </c>
      <c r="N2430" s="9" t="s">
        <v>88</v>
      </c>
      <c r="O2430" s="9">
        <f>HYPERLINK("https://www.google.com/maps/search/?api=1&amp;query=38.1168493,-1.28542347", "https://www.google.com/maps/search/?api=1&amp;query=38.1168493,-1.28542347")</f>
      </c>
      <c r="P2430" s="9" t="s">
        <v>296</v>
      </c>
      <c r="Q2430" s="9" t="s">
        <v>1204</v>
      </c>
    </row>
    <row r="2431" spans="1:17" x14ac:dyDescent="0.25">
      <c r="A2431" s="8" t="s">
        <v>17390</v>
      </c>
      <c r="B2431" s="8" t="s">
        <v>17391</v>
      </c>
      <c r="C2431" s="9" t="s">
        <v>17392</v>
      </c>
      <c r="D2431" s="9" t="s">
        <v>2050</v>
      </c>
      <c r="E2431" s="9" t="s">
        <v>6685</v>
      </c>
      <c r="F2431" s="10">
        <v>1.514</v>
      </c>
      <c r="G2431" s="10">
        <v>1.665</v>
      </c>
      <c r="H2431" s="10"/>
      <c r="I2431" s="9" t="s">
        <v>140</v>
      </c>
      <c r="J2431" s="9" t="s">
        <v>17393</v>
      </c>
      <c r="K2431" s="9" t="s">
        <v>17394</v>
      </c>
      <c r="L2431" s="8" t="s">
        <v>6688</v>
      </c>
      <c r="M2431" s="9" t="s">
        <v>49</v>
      </c>
      <c r="N2431" s="9" t="s">
        <v>7001</v>
      </c>
      <c r="O2431" s="9">
        <f>HYPERLINK("https://www.google.com/maps/search/?api=1&amp;query=42.05850069,-7.6655359", "https://www.google.com/maps/search/?api=1&amp;query=42.05850069,-7.6655359")</f>
      </c>
      <c r="P2431" s="9" t="s">
        <v>182</v>
      </c>
      <c r="Q2431" s="9" t="s">
        <v>8541</v>
      </c>
    </row>
    <row r="2432" spans="1:17" x14ac:dyDescent="0.25">
      <c r="A2432" s="8" t="s">
        <v>17395</v>
      </c>
      <c r="B2432" s="8" t="s">
        <v>17396</v>
      </c>
      <c r="C2432" s="9" t="s">
        <v>17397</v>
      </c>
      <c r="D2432" s="9" t="s">
        <v>30</v>
      </c>
      <c r="E2432" s="9" t="s">
        <v>17398</v>
      </c>
      <c r="F2432" s="10">
        <v>1.514</v>
      </c>
      <c r="G2432" s="10">
        <v>1.665</v>
      </c>
      <c r="H2432" s="10"/>
      <c r="I2432" s="9" t="s">
        <v>32</v>
      </c>
      <c r="J2432" s="9" t="s">
        <v>17399</v>
      </c>
      <c r="K2432" s="9" t="s">
        <v>17400</v>
      </c>
      <c r="L2432" s="8" t="s">
        <v>17401</v>
      </c>
      <c r="M2432" s="9" t="s">
        <v>36</v>
      </c>
      <c r="N2432" s="9" t="s">
        <v>8282</v>
      </c>
      <c r="O2432" s="9">
        <f>HYPERLINK("https://www.google.com/maps/search/?api=1&amp;query=39.17505146,-6.621001", "https://www.google.com/maps/search/?api=1&amp;query=39.17505146,-6.621001")</f>
      </c>
      <c r="P2432" s="9" t="s">
        <v>1803</v>
      </c>
      <c r="Q2432" s="9" t="s">
        <v>1131</v>
      </c>
    </row>
    <row r="2433" spans="1:17" x14ac:dyDescent="0.25">
      <c r="A2433" s="8" t="s">
        <v>17402</v>
      </c>
      <c r="B2433" s="8" t="s">
        <v>17403</v>
      </c>
      <c r="C2433" s="9" t="s">
        <v>17404</v>
      </c>
      <c r="D2433" s="9" t="s">
        <v>1560</v>
      </c>
      <c r="E2433" s="9" t="s">
        <v>17405</v>
      </c>
      <c r="F2433" s="10">
        <v>1.514</v>
      </c>
      <c r="G2433" s="10">
        <v>1.665</v>
      </c>
      <c r="H2433" s="10"/>
      <c r="I2433" s="9" t="s">
        <v>400</v>
      </c>
      <c r="J2433" s="9" t="s">
        <v>17406</v>
      </c>
      <c r="K2433" s="9" t="s">
        <v>17407</v>
      </c>
      <c r="L2433" s="8" t="s">
        <v>17408</v>
      </c>
      <c r="M2433" s="9" t="s">
        <v>49</v>
      </c>
      <c r="N2433" s="9" t="s">
        <v>1695</v>
      </c>
      <c r="O2433" s="9">
        <f>HYPERLINK("https://www.google.com/maps/search/?api=1&amp;query=40.45819876,0.17996446", "https://www.google.com/maps/search/?api=1&amp;query=40.45819876,0.17996446")</f>
      </c>
      <c r="P2433" s="9" t="s">
        <v>430</v>
      </c>
      <c r="Q2433" s="9" t="s">
        <v>17409</v>
      </c>
    </row>
    <row r="2434" spans="1:17" x14ac:dyDescent="0.25">
      <c r="A2434" s="8" t="s">
        <v>17410</v>
      </c>
      <c r="B2434" s="8" t="s">
        <v>17411</v>
      </c>
      <c r="C2434" s="9" t="s">
        <v>17412</v>
      </c>
      <c r="D2434" s="9" t="s">
        <v>658</v>
      </c>
      <c r="E2434" s="9" t="s">
        <v>17413</v>
      </c>
      <c r="F2434" s="10">
        <v>1.514</v>
      </c>
      <c r="G2434" s="10">
        <v>1.665</v>
      </c>
      <c r="H2434" s="10"/>
      <c r="I2434" s="9" t="s">
        <v>45</v>
      </c>
      <c r="J2434" s="9" t="s">
        <v>17414</v>
      </c>
      <c r="K2434" s="9" t="s">
        <v>17415</v>
      </c>
      <c r="L2434" s="8" t="s">
        <v>17416</v>
      </c>
      <c r="M2434" s="9" t="s">
        <v>36</v>
      </c>
      <c r="N2434" s="9" t="s">
        <v>17417</v>
      </c>
      <c r="O2434" s="9">
        <f>HYPERLINK("https://www.google.com/maps/search/?api=1&amp;query=36.98860969,-2.9113333", "https://www.google.com/maps/search/?api=1&amp;query=36.98860969,-2.9113333")</f>
      </c>
      <c r="P2434" s="9" t="s">
        <v>16544</v>
      </c>
      <c r="Q2434" s="9" t="s">
        <v>13462</v>
      </c>
    </row>
    <row r="2435" spans="1:17" x14ac:dyDescent="0.25">
      <c r="A2435" s="8" t="s">
        <v>17418</v>
      </c>
      <c r="B2435" s="8" t="s">
        <v>17419</v>
      </c>
      <c r="C2435" s="9" t="s">
        <v>17420</v>
      </c>
      <c r="D2435" s="9" t="s">
        <v>400</v>
      </c>
      <c r="E2435" s="9" t="s">
        <v>400</v>
      </c>
      <c r="F2435" s="10">
        <v>1.514</v>
      </c>
      <c r="G2435" s="10">
        <v>1.665</v>
      </c>
      <c r="H2435" s="10"/>
      <c r="I2435" s="9" t="s">
        <v>400</v>
      </c>
      <c r="J2435" s="9" t="s">
        <v>17421</v>
      </c>
      <c r="K2435" s="9" t="s">
        <v>17422</v>
      </c>
      <c r="L2435" s="8" t="s">
        <v>17423</v>
      </c>
      <c r="M2435" s="9" t="s">
        <v>49</v>
      </c>
      <c r="N2435" s="9" t="s">
        <v>645</v>
      </c>
      <c r="O2435" s="9">
        <f>HYPERLINK("https://www.google.com/maps/search/?api=1&amp;query=39.48126727,-0.39205103", "https://www.google.com/maps/search/?api=1&amp;query=39.48126727,-0.39205103")</f>
      </c>
      <c r="P2435" s="9" t="s">
        <v>13669</v>
      </c>
      <c r="Q2435" s="9" t="s">
        <v>1566</v>
      </c>
    </row>
    <row r="2436" spans="1:17" x14ac:dyDescent="0.25">
      <c r="A2436" s="8" t="s">
        <v>17424</v>
      </c>
      <c r="B2436" s="8" t="s">
        <v>17425</v>
      </c>
      <c r="C2436" s="9" t="s">
        <v>17426</v>
      </c>
      <c r="D2436" s="9" t="s">
        <v>434</v>
      </c>
      <c r="E2436" s="9" t="s">
        <v>17427</v>
      </c>
      <c r="F2436" s="10">
        <v>1.514</v>
      </c>
      <c r="G2436" s="10">
        <v>1.665</v>
      </c>
      <c r="H2436" s="10"/>
      <c r="I2436" s="9" t="s">
        <v>96</v>
      </c>
      <c r="J2436" s="9" t="s">
        <v>17428</v>
      </c>
      <c r="K2436" s="9" t="s">
        <v>17429</v>
      </c>
      <c r="L2436" s="8" t="s">
        <v>17430</v>
      </c>
      <c r="M2436" s="9" t="s">
        <v>36</v>
      </c>
      <c r="N2436" s="9" t="s">
        <v>88</v>
      </c>
      <c r="O2436" s="9">
        <f>HYPERLINK("https://www.google.com/maps/search/?api=1&amp;query=42.08654916,2.88858536", "https://www.google.com/maps/search/?api=1&amp;query=42.08654916,2.88858536")</f>
      </c>
      <c r="P2436" s="9" t="s">
        <v>144</v>
      </c>
      <c r="Q2436" s="9" t="s">
        <v>17431</v>
      </c>
    </row>
    <row r="2437" spans="1:17" x14ac:dyDescent="0.25">
      <c r="A2437" s="8" t="s">
        <v>17432</v>
      </c>
      <c r="B2437" s="8" t="s">
        <v>17433</v>
      </c>
      <c r="C2437" s="9" t="s">
        <v>9398</v>
      </c>
      <c r="D2437" s="9" t="s">
        <v>2288</v>
      </c>
      <c r="E2437" s="9" t="s">
        <v>17434</v>
      </c>
      <c r="F2437" s="10">
        <v>1.514</v>
      </c>
      <c r="G2437" s="10">
        <v>1.665</v>
      </c>
      <c r="H2437" s="10"/>
      <c r="I2437" s="9" t="s">
        <v>168</v>
      </c>
      <c r="J2437" s="9" t="s">
        <v>17435</v>
      </c>
      <c r="K2437" s="9" t="s">
        <v>17436</v>
      </c>
      <c r="L2437" s="8" t="s">
        <v>17437</v>
      </c>
      <c r="M2437" s="9" t="s">
        <v>49</v>
      </c>
      <c r="N2437" s="9" t="s">
        <v>16231</v>
      </c>
      <c r="O2437" s="9">
        <f>HYPERLINK("https://www.google.com/maps/search/?api=1&amp;query=38.90198237,-1.99274142", "https://www.google.com/maps/search/?api=1&amp;query=38.90198237,-1.99274142")</f>
      </c>
      <c r="P2437" s="9" t="s">
        <v>296</v>
      </c>
      <c r="Q2437" s="9" t="s">
        <v>3744</v>
      </c>
    </row>
    <row r="2438" spans="1:17" x14ac:dyDescent="0.25">
      <c r="A2438" s="8" t="s">
        <v>17438</v>
      </c>
      <c r="B2438" s="8" t="s">
        <v>17439</v>
      </c>
      <c r="C2438" s="9" t="s">
        <v>17440</v>
      </c>
      <c r="D2438" s="9" t="s">
        <v>1483</v>
      </c>
      <c r="E2438" s="9" t="s">
        <v>1483</v>
      </c>
      <c r="F2438" s="10">
        <v>1.514</v>
      </c>
      <c r="G2438" s="10">
        <v>1.665</v>
      </c>
      <c r="H2438" s="10"/>
      <c r="I2438" s="9" t="s">
        <v>74</v>
      </c>
      <c r="J2438" s="9" t="s">
        <v>17441</v>
      </c>
      <c r="K2438" s="9" t="s">
        <v>17442</v>
      </c>
      <c r="L2438" s="8" t="s">
        <v>8096</v>
      </c>
      <c r="M2438" s="9" t="s">
        <v>49</v>
      </c>
      <c r="N2438" s="9" t="s">
        <v>37</v>
      </c>
      <c r="O2438" s="9">
        <f>HYPERLINK("https://www.google.com/maps/search/?api=1&amp;query=42.34869804,-3.6778641", "https://www.google.com/maps/search/?api=1&amp;query=42.34869804,-3.6778641")</f>
      </c>
      <c r="P2438" s="9" t="s">
        <v>1250</v>
      </c>
      <c r="Q2438" s="9" t="s">
        <v>102</v>
      </c>
    </row>
    <row r="2439" spans="1:17" x14ac:dyDescent="0.25">
      <c r="A2439" s="8" t="s">
        <v>17443</v>
      </c>
      <c r="B2439" s="8" t="s">
        <v>17444</v>
      </c>
      <c r="C2439" s="9" t="s">
        <v>9468</v>
      </c>
      <c r="D2439" s="9" t="s">
        <v>83</v>
      </c>
      <c r="E2439" s="9" t="s">
        <v>83</v>
      </c>
      <c r="F2439" s="10">
        <v>1.514</v>
      </c>
      <c r="G2439" s="10">
        <v>1.665</v>
      </c>
      <c r="H2439" s="10"/>
      <c r="I2439" s="9" t="s">
        <v>83</v>
      </c>
      <c r="J2439" s="9" t="s">
        <v>17445</v>
      </c>
      <c r="K2439" s="9" t="s">
        <v>17446</v>
      </c>
      <c r="L2439" s="8" t="s">
        <v>1956</v>
      </c>
      <c r="M2439" s="9" t="s">
        <v>49</v>
      </c>
      <c r="N2439" s="9" t="s">
        <v>15690</v>
      </c>
      <c r="O2439" s="9">
        <f>HYPERLINK("https://www.google.com/maps/search/?api=1&amp;query=40.42919467,-3.6941771", "https://www.google.com/maps/search/?api=1&amp;query=40.42919467,-3.6941771")</f>
      </c>
      <c r="P2439" s="9" t="s">
        <v>2594</v>
      </c>
      <c r="Q2439" s="9" t="s">
        <v>1131</v>
      </c>
    </row>
    <row r="2440" spans="1:17" x14ac:dyDescent="0.25">
      <c r="A2440" s="8" t="s">
        <v>17447</v>
      </c>
      <c r="B2440" s="8" t="s">
        <v>17448</v>
      </c>
      <c r="C2440" s="9" t="s">
        <v>17449</v>
      </c>
      <c r="D2440" s="9" t="s">
        <v>379</v>
      </c>
      <c r="E2440" s="9" t="s">
        <v>17450</v>
      </c>
      <c r="F2440" s="10">
        <v>1.514</v>
      </c>
      <c r="G2440" s="10">
        <v>1.665</v>
      </c>
      <c r="H2440" s="10"/>
      <c r="I2440" s="9" t="s">
        <v>379</v>
      </c>
      <c r="J2440" s="9" t="s">
        <v>17451</v>
      </c>
      <c r="K2440" s="9" t="s">
        <v>17452</v>
      </c>
      <c r="L2440" s="8" t="s">
        <v>17453</v>
      </c>
      <c r="M2440" s="9" t="s">
        <v>36</v>
      </c>
      <c r="N2440" s="9" t="s">
        <v>88</v>
      </c>
      <c r="O2440" s="9">
        <f>HYPERLINK("https://www.google.com/maps/search/?api=1&amp;query=42.67058187,-1.81556941", "https://www.google.com/maps/search/?api=1&amp;query=42.67058187,-1.81556941")</f>
      </c>
      <c r="P2440" s="9" t="s">
        <v>1439</v>
      </c>
      <c r="Q2440" s="9" t="s">
        <v>1131</v>
      </c>
    </row>
    <row r="2441" spans="1:17" x14ac:dyDescent="0.25">
      <c r="A2441" s="8" t="s">
        <v>17454</v>
      </c>
      <c r="B2441" s="8" t="s">
        <v>17455</v>
      </c>
      <c r="C2441" s="9" t="s">
        <v>17456</v>
      </c>
      <c r="D2441" s="9" t="s">
        <v>444</v>
      </c>
      <c r="E2441" s="9" t="s">
        <v>17457</v>
      </c>
      <c r="F2441" s="10">
        <v>1.514</v>
      </c>
      <c r="G2441" s="10">
        <v>1.665</v>
      </c>
      <c r="H2441" s="10"/>
      <c r="I2441" s="9" t="s">
        <v>444</v>
      </c>
      <c r="J2441" s="9" t="s">
        <v>17458</v>
      </c>
      <c r="K2441" s="9" t="s">
        <v>17459</v>
      </c>
      <c r="L2441" s="8" t="s">
        <v>3990</v>
      </c>
      <c r="M2441" s="9" t="s">
        <v>49</v>
      </c>
      <c r="N2441" s="9" t="s">
        <v>88</v>
      </c>
      <c r="O2441" s="9">
        <f>HYPERLINK("https://www.google.com/maps/search/?api=1&amp;query=43.43218046,-5.84182635", "https://www.google.com/maps/search/?api=1&amp;query=43.43218046,-5.84182635")</f>
      </c>
      <c r="P2441" s="9" t="s">
        <v>906</v>
      </c>
      <c r="Q2441" s="9" t="s">
        <v>11593</v>
      </c>
    </row>
    <row r="2442" spans="1:17" x14ac:dyDescent="0.25">
      <c r="A2442" s="8" t="s">
        <v>17460</v>
      </c>
      <c r="B2442" s="8" t="s">
        <v>17461</v>
      </c>
      <c r="C2442" s="9" t="s">
        <v>17462</v>
      </c>
      <c r="D2442" s="9" t="s">
        <v>344</v>
      </c>
      <c r="E2442" s="9" t="s">
        <v>17463</v>
      </c>
      <c r="F2442" s="10">
        <v>1.514</v>
      </c>
      <c r="G2442" s="10">
        <v>1.665</v>
      </c>
      <c r="H2442" s="10"/>
      <c r="I2442" s="9" t="s">
        <v>140</v>
      </c>
      <c r="J2442" s="9" t="s">
        <v>17464</v>
      </c>
      <c r="K2442" s="9" t="s">
        <v>17465</v>
      </c>
      <c r="L2442" s="8" t="s">
        <v>17466</v>
      </c>
      <c r="M2442" s="9" t="s">
        <v>36</v>
      </c>
      <c r="N2442" s="9" t="s">
        <v>9247</v>
      </c>
      <c r="O2442" s="9">
        <f>HYPERLINK("https://www.google.com/maps/search/?api=1&amp;query=43.43628029,-8.06515831", "https://www.google.com/maps/search/?api=1&amp;query=43.43628029,-8.06515831")</f>
      </c>
      <c r="P2442" s="9" t="s">
        <v>1373</v>
      </c>
      <c r="Q2442" s="9" t="s">
        <v>17467</v>
      </c>
    </row>
    <row r="2443" spans="1:17" x14ac:dyDescent="0.25">
      <c r="A2443" s="8" t="s">
        <v>17468</v>
      </c>
      <c r="B2443" s="8" t="s">
        <v>17469</v>
      </c>
      <c r="C2443" s="9" t="s">
        <v>17470</v>
      </c>
      <c r="D2443" s="9" t="s">
        <v>217</v>
      </c>
      <c r="E2443" s="9" t="s">
        <v>271</v>
      </c>
      <c r="F2443" s="10">
        <v>1.514</v>
      </c>
      <c r="G2443" s="10">
        <v>1.665</v>
      </c>
      <c r="H2443" s="10"/>
      <c r="I2443" s="9" t="s">
        <v>45</v>
      </c>
      <c r="J2443" s="9" t="s">
        <v>17471</v>
      </c>
      <c r="K2443" s="9" t="s">
        <v>17472</v>
      </c>
      <c r="L2443" s="8" t="s">
        <v>5581</v>
      </c>
      <c r="M2443" s="9" t="s">
        <v>49</v>
      </c>
      <c r="N2443" s="9" t="s">
        <v>17473</v>
      </c>
      <c r="O2443" s="9">
        <f>HYPERLINK("https://www.google.com/maps/search/?api=1&amp;query=36.69278956,-4.46323246", "https://www.google.com/maps/search/?api=1&amp;query=36.69278956,-4.46323246")</f>
      </c>
      <c r="P2443" s="9" t="s">
        <v>557</v>
      </c>
      <c r="Q2443" s="9" t="s">
        <v>17474</v>
      </c>
    </row>
    <row r="2444" spans="1:17" x14ac:dyDescent="0.25">
      <c r="A2444" s="8" t="s">
        <v>17475</v>
      </c>
      <c r="B2444" s="8" t="s">
        <v>17476</v>
      </c>
      <c r="C2444" s="9" t="s">
        <v>17477</v>
      </c>
      <c r="D2444" s="9" t="s">
        <v>1617</v>
      </c>
      <c r="E2444" s="9" t="s">
        <v>17478</v>
      </c>
      <c r="F2444" s="10">
        <v>1.514</v>
      </c>
      <c r="G2444" s="10">
        <v>1.665</v>
      </c>
      <c r="H2444" s="10"/>
      <c r="I2444" s="9" t="s">
        <v>292</v>
      </c>
      <c r="J2444" s="9" t="s">
        <v>17479</v>
      </c>
      <c r="K2444" s="9" t="s">
        <v>17480</v>
      </c>
      <c r="L2444" s="8" t="s">
        <v>17481</v>
      </c>
      <c r="M2444" s="9" t="s">
        <v>49</v>
      </c>
      <c r="N2444" s="9" t="s">
        <v>17482</v>
      </c>
      <c r="O2444" s="9">
        <f>HYPERLINK("https://www.google.com/maps/search/?api=1&amp;query=42.21207579,-0.54850339", "https://www.google.com/maps/search/?api=1&amp;query=42.21207579,-0.54850339")</f>
      </c>
      <c r="P2444" s="9" t="s">
        <v>1373</v>
      </c>
      <c r="Q2444" s="9" t="s">
        <v>17483</v>
      </c>
    </row>
    <row r="2445" spans="1:17" x14ac:dyDescent="0.25">
      <c r="A2445" s="8" t="s">
        <v>17484</v>
      </c>
      <c r="B2445" s="8" t="s">
        <v>17485</v>
      </c>
      <c r="C2445" s="9" t="s">
        <v>17486</v>
      </c>
      <c r="D2445" s="9" t="s">
        <v>253</v>
      </c>
      <c r="E2445" s="9" t="s">
        <v>17487</v>
      </c>
      <c r="F2445" s="10">
        <v>1.514</v>
      </c>
      <c r="G2445" s="10">
        <v>1.665</v>
      </c>
      <c r="H2445" s="10"/>
      <c r="I2445" s="9" t="s">
        <v>96</v>
      </c>
      <c r="J2445" s="9" t="s">
        <v>17488</v>
      </c>
      <c r="K2445" s="9" t="s">
        <v>17489</v>
      </c>
      <c r="L2445" s="8" t="s">
        <v>17490</v>
      </c>
      <c r="M2445" s="9" t="s">
        <v>36</v>
      </c>
      <c r="N2445" s="9" t="s">
        <v>88</v>
      </c>
      <c r="O2445" s="9">
        <f>HYPERLINK("https://www.google.com/maps/search/?api=1&amp;query=40.76208469,0.64090668", "https://www.google.com/maps/search/?api=1&amp;query=40.76208469,0.64090668")</f>
      </c>
      <c r="P2445" s="9" t="s">
        <v>4183</v>
      </c>
      <c r="Q2445" s="9" t="s">
        <v>3744</v>
      </c>
    </row>
    <row r="2446" spans="1:17" x14ac:dyDescent="0.25">
      <c r="A2446" s="8" t="s">
        <v>17491</v>
      </c>
      <c r="B2446" s="8" t="s">
        <v>17492</v>
      </c>
      <c r="C2446" s="9" t="s">
        <v>17493</v>
      </c>
      <c r="D2446" s="9" t="s">
        <v>43</v>
      </c>
      <c r="E2446" s="9" t="s">
        <v>17494</v>
      </c>
      <c r="F2446" s="10">
        <v>1.514</v>
      </c>
      <c r="G2446" s="10">
        <v>1.665</v>
      </c>
      <c r="H2446" s="10"/>
      <c r="I2446" s="9" t="s">
        <v>45</v>
      </c>
      <c r="J2446" s="9" t="s">
        <v>17495</v>
      </c>
      <c r="K2446" s="9" t="s">
        <v>17496</v>
      </c>
      <c r="L2446" s="8" t="s">
        <v>17497</v>
      </c>
      <c r="M2446" s="9" t="s">
        <v>36</v>
      </c>
      <c r="N2446" s="9" t="s">
        <v>12552</v>
      </c>
      <c r="O2446" s="9">
        <f>HYPERLINK("https://www.google.com/maps/search/?api=1&amp;query=37.2635778,-6.52331148", "https://www.google.com/maps/search/?api=1&amp;query=37.2635778,-6.52331148")</f>
      </c>
      <c r="P2446" s="9" t="s">
        <v>493</v>
      </c>
      <c r="Q2446" s="9" t="s">
        <v>8298</v>
      </c>
    </row>
    <row r="2447" spans="1:17" x14ac:dyDescent="0.25">
      <c r="A2447" s="8" t="s">
        <v>17498</v>
      </c>
      <c r="B2447" s="8" t="s">
        <v>17499</v>
      </c>
      <c r="C2447" s="9" t="s">
        <v>17500</v>
      </c>
      <c r="D2447" s="9" t="s">
        <v>658</v>
      </c>
      <c r="E2447" s="9" t="s">
        <v>2846</v>
      </c>
      <c r="F2447" s="10">
        <v>1.514</v>
      </c>
      <c r="G2447" s="10">
        <v>1.665</v>
      </c>
      <c r="H2447" s="10"/>
      <c r="I2447" s="9" t="s">
        <v>45</v>
      </c>
      <c r="J2447" s="9" t="s">
        <v>17501</v>
      </c>
      <c r="K2447" s="9" t="s">
        <v>17502</v>
      </c>
      <c r="L2447" s="8" t="s">
        <v>2849</v>
      </c>
      <c r="M2447" s="9" t="s">
        <v>49</v>
      </c>
      <c r="N2447" s="9" t="s">
        <v>37</v>
      </c>
      <c r="O2447" s="9">
        <f>HYPERLINK("https://www.google.com/maps/search/?api=1&amp;query=36.87541885,-2.33787436", "https://www.google.com/maps/search/?api=1&amp;query=36.87541885,-2.33787436")</f>
      </c>
      <c r="P2447" s="9" t="s">
        <v>4023</v>
      </c>
      <c r="Q2447" s="9" t="s">
        <v>17503</v>
      </c>
    </row>
    <row r="2448" spans="1:17" x14ac:dyDescent="0.25">
      <c r="A2448" s="8" t="s">
        <v>17504</v>
      </c>
      <c r="B2448" s="8" t="s">
        <v>17505</v>
      </c>
      <c r="C2448" s="9" t="s">
        <v>17506</v>
      </c>
      <c r="D2448" s="9" t="s">
        <v>138</v>
      </c>
      <c r="E2448" s="9" t="s">
        <v>12139</v>
      </c>
      <c r="F2448" s="10">
        <v>1.514</v>
      </c>
      <c r="G2448" s="10">
        <v>1.665</v>
      </c>
      <c r="H2448" s="10"/>
      <c r="I2448" s="9" t="s">
        <v>140</v>
      </c>
      <c r="J2448" s="9" t="s">
        <v>17507</v>
      </c>
      <c r="K2448" s="9" t="s">
        <v>17508</v>
      </c>
      <c r="L2448" s="8" t="s">
        <v>12142</v>
      </c>
      <c r="M2448" s="9" t="s">
        <v>36</v>
      </c>
      <c r="N2448" s="9" t="s">
        <v>211</v>
      </c>
      <c r="O2448" s="9">
        <f>HYPERLINK("https://www.google.com/maps/search/?api=1&amp;query=42.21564567,-8.26791394", "https://www.google.com/maps/search/?api=1&amp;query=42.21564567,-8.26791394")</f>
      </c>
      <c r="P2448" s="9" t="s">
        <v>5394</v>
      </c>
      <c r="Q2448" s="9" t="s">
        <v>647</v>
      </c>
    </row>
    <row r="2449" spans="1:17" x14ac:dyDescent="0.25">
      <c r="A2449" s="8" t="s">
        <v>17509</v>
      </c>
      <c r="B2449" s="8" t="s">
        <v>17510</v>
      </c>
      <c r="C2449" s="9" t="s">
        <v>17511</v>
      </c>
      <c r="D2449" s="9" t="s">
        <v>434</v>
      </c>
      <c r="E2449" s="9" t="s">
        <v>17512</v>
      </c>
      <c r="F2449" s="10">
        <v>1.514</v>
      </c>
      <c r="G2449" s="10">
        <v>1.665</v>
      </c>
      <c r="H2449" s="10"/>
      <c r="I2449" s="9" t="s">
        <v>96</v>
      </c>
      <c r="J2449" s="9" t="s">
        <v>17513</v>
      </c>
      <c r="K2449" s="9" t="s">
        <v>17514</v>
      </c>
      <c r="L2449" s="8" t="s">
        <v>17515</v>
      </c>
      <c r="M2449" s="9" t="s">
        <v>49</v>
      </c>
      <c r="N2449" s="9" t="s">
        <v>12417</v>
      </c>
      <c r="O2449" s="9">
        <f>HYPERLINK("https://www.google.com/maps/search/?api=1&amp;query=42.12496391,3.12318016", "https://www.google.com/maps/search/?api=1&amp;query=42.12496391,3.12318016")</f>
      </c>
      <c r="P2449" s="9" t="s">
        <v>13052</v>
      </c>
      <c r="Q2449" s="9" t="s">
        <v>647</v>
      </c>
    </row>
    <row r="2450" spans="1:17" x14ac:dyDescent="0.25">
      <c r="A2450" s="8" t="s">
        <v>17516</v>
      </c>
      <c r="B2450" s="8" t="s">
        <v>17517</v>
      </c>
      <c r="C2450" s="9" t="s">
        <v>17518</v>
      </c>
      <c r="D2450" s="9" t="s">
        <v>30</v>
      </c>
      <c r="E2450" s="9" t="s">
        <v>17519</v>
      </c>
      <c r="F2450" s="10">
        <v>1.514</v>
      </c>
      <c r="G2450" s="10">
        <v>1.665</v>
      </c>
      <c r="H2450" s="10"/>
      <c r="I2450" s="9" t="s">
        <v>32</v>
      </c>
      <c r="J2450" s="9" t="s">
        <v>17520</v>
      </c>
      <c r="K2450" s="9" t="s">
        <v>17521</v>
      </c>
      <c r="L2450" s="8" t="s">
        <v>17522</v>
      </c>
      <c r="M2450" s="9" t="s">
        <v>49</v>
      </c>
      <c r="N2450" s="9" t="s">
        <v>8958</v>
      </c>
      <c r="O2450" s="9">
        <f>HYPERLINK("https://www.google.com/maps/search/?api=1&amp;query=38.68783221,-7.09488549", "https://www.google.com/maps/search/?api=1&amp;query=38.68783221,-7.09488549")</f>
      </c>
      <c r="P2450" s="9" t="s">
        <v>1439</v>
      </c>
      <c r="Q2450" s="9" t="s">
        <v>9529</v>
      </c>
    </row>
    <row r="2451" spans="1:17" x14ac:dyDescent="0.25">
      <c r="A2451" s="8" t="s">
        <v>17523</v>
      </c>
      <c r="B2451" s="8" t="s">
        <v>17524</v>
      </c>
      <c r="C2451" s="9" t="s">
        <v>12470</v>
      </c>
      <c r="D2451" s="9" t="s">
        <v>106</v>
      </c>
      <c r="E2451" s="9" t="s">
        <v>17525</v>
      </c>
      <c r="F2451" s="10">
        <v>1.514</v>
      </c>
      <c r="G2451" s="10">
        <v>1.665</v>
      </c>
      <c r="H2451" s="10"/>
      <c r="I2451" s="9" t="s">
        <v>106</v>
      </c>
      <c r="J2451" s="9" t="s">
        <v>17526</v>
      </c>
      <c r="K2451" s="9" t="s">
        <v>17527</v>
      </c>
      <c r="L2451" s="8" t="s">
        <v>17528</v>
      </c>
      <c r="M2451" s="9" t="s">
        <v>49</v>
      </c>
      <c r="N2451" s="9" t="s">
        <v>37</v>
      </c>
      <c r="O2451" s="9">
        <f>HYPERLINK("https://www.google.com/maps/search/?api=1&amp;query=37.86985448,-1.13010098", "https://www.google.com/maps/search/?api=1&amp;query=37.86985448,-1.13010098")</f>
      </c>
      <c r="P2451" s="9" t="s">
        <v>6210</v>
      </c>
      <c r="Q2451" s="9" t="s">
        <v>17529</v>
      </c>
    </row>
    <row r="2452" spans="1:17" x14ac:dyDescent="0.25">
      <c r="A2452" s="8" t="s">
        <v>17530</v>
      </c>
      <c r="B2452" s="8" t="s">
        <v>17531</v>
      </c>
      <c r="C2452" s="9" t="s">
        <v>17532</v>
      </c>
      <c r="D2452" s="9" t="s">
        <v>128</v>
      </c>
      <c r="E2452" s="9" t="s">
        <v>17533</v>
      </c>
      <c r="F2452" s="10">
        <v>1.514</v>
      </c>
      <c r="G2452" s="10">
        <v>1.665</v>
      </c>
      <c r="H2452" s="10"/>
      <c r="I2452" s="9" t="s">
        <v>45</v>
      </c>
      <c r="J2452" s="9" t="s">
        <v>17534</v>
      </c>
      <c r="K2452" s="9" t="s">
        <v>17535</v>
      </c>
      <c r="L2452" s="8" t="s">
        <v>17536</v>
      </c>
      <c r="M2452" s="9" t="s">
        <v>36</v>
      </c>
      <c r="N2452" s="9" t="s">
        <v>12625</v>
      </c>
      <c r="O2452" s="9">
        <f>HYPERLINK("https://www.google.com/maps/search/?api=1&amp;query=36.85618763,-5.65297737", "https://www.google.com/maps/search/?api=1&amp;query=36.85618763,-5.65297737")</f>
      </c>
      <c r="P2452" s="9" t="s">
        <v>321</v>
      </c>
      <c r="Q2452" s="9" t="s">
        <v>17537</v>
      </c>
    </row>
    <row r="2453" spans="1:17" x14ac:dyDescent="0.25">
      <c r="A2453" s="8" t="s">
        <v>17538</v>
      </c>
      <c r="B2453" s="8" t="s">
        <v>17539</v>
      </c>
      <c r="C2453" s="9" t="s">
        <v>10871</v>
      </c>
      <c r="D2453" s="9" t="s">
        <v>488</v>
      </c>
      <c r="E2453" s="9" t="s">
        <v>10872</v>
      </c>
      <c r="F2453" s="10">
        <v>1.514</v>
      </c>
      <c r="G2453" s="10">
        <v>1.665</v>
      </c>
      <c r="H2453" s="10"/>
      <c r="I2453" s="9" t="s">
        <v>45</v>
      </c>
      <c r="J2453" s="9" t="s">
        <v>17540</v>
      </c>
      <c r="K2453" s="9" t="s">
        <v>17541</v>
      </c>
      <c r="L2453" s="8" t="s">
        <v>10875</v>
      </c>
      <c r="M2453" s="9" t="s">
        <v>49</v>
      </c>
      <c r="N2453" s="9" t="s">
        <v>122</v>
      </c>
      <c r="O2453" s="9">
        <f>HYPERLINK("https://www.google.com/maps/search/?api=1&amp;query=38.02709513,-4.16593633", "https://www.google.com/maps/search/?api=1&amp;query=38.02709513,-4.16593633")</f>
      </c>
      <c r="P2453" s="9" t="s">
        <v>1100</v>
      </c>
      <c r="Q2453" s="9" t="s">
        <v>1982</v>
      </c>
    </row>
    <row r="2454" spans="1:17" x14ac:dyDescent="0.25">
      <c r="A2454" s="8" t="s">
        <v>17542</v>
      </c>
      <c r="B2454" s="8" t="s">
        <v>17543</v>
      </c>
      <c r="C2454" s="9" t="s">
        <v>17544</v>
      </c>
      <c r="D2454" s="9" t="s">
        <v>83</v>
      </c>
      <c r="E2454" s="9" t="s">
        <v>83</v>
      </c>
      <c r="F2454" s="10">
        <v>1.514</v>
      </c>
      <c r="G2454" s="10">
        <v>1.665</v>
      </c>
      <c r="H2454" s="10"/>
      <c r="I2454" s="9" t="s">
        <v>83</v>
      </c>
      <c r="J2454" s="9" t="s">
        <v>17545</v>
      </c>
      <c r="K2454" s="9" t="s">
        <v>17546</v>
      </c>
      <c r="L2454" s="8" t="s">
        <v>6324</v>
      </c>
      <c r="M2454" s="9" t="s">
        <v>49</v>
      </c>
      <c r="N2454" s="9" t="s">
        <v>37</v>
      </c>
      <c r="O2454" s="9">
        <f>HYPERLINK("https://www.google.com/maps/search/?api=1&amp;query=40.38294636,-3.69604171", "https://www.google.com/maps/search/?api=1&amp;query=40.38294636,-3.69604171")</f>
      </c>
      <c r="P2454" s="9" t="s">
        <v>144</v>
      </c>
      <c r="Q2454" s="9" t="s">
        <v>17547</v>
      </c>
    </row>
    <row r="2455" spans="1:17" x14ac:dyDescent="0.25">
      <c r="A2455" s="8" t="s">
        <v>17548</v>
      </c>
      <c r="B2455" s="8" t="s">
        <v>17549</v>
      </c>
      <c r="C2455" s="9" t="s">
        <v>17550</v>
      </c>
      <c r="D2455" s="9" t="s">
        <v>128</v>
      </c>
      <c r="E2455" s="9" t="s">
        <v>17533</v>
      </c>
      <c r="F2455" s="10">
        <v>1.514</v>
      </c>
      <c r="G2455" s="10">
        <v>1.665</v>
      </c>
      <c r="H2455" s="10"/>
      <c r="I2455" s="9" t="s">
        <v>45</v>
      </c>
      <c r="J2455" s="9" t="s">
        <v>17551</v>
      </c>
      <c r="K2455" s="9" t="s">
        <v>17552</v>
      </c>
      <c r="L2455" s="8" t="s">
        <v>17536</v>
      </c>
      <c r="M2455" s="9" t="s">
        <v>49</v>
      </c>
      <c r="N2455" s="9" t="s">
        <v>592</v>
      </c>
      <c r="O2455" s="9">
        <f>HYPERLINK("https://www.google.com/maps/search/?api=1&amp;query=36.86381277,-5.6105387", "https://www.google.com/maps/search/?api=1&amp;query=36.86381277,-5.6105387")</f>
      </c>
      <c r="P2455" s="9" t="s">
        <v>880</v>
      </c>
      <c r="Q2455" s="9" t="s">
        <v>17553</v>
      </c>
    </row>
    <row r="2456" spans="1:17" x14ac:dyDescent="0.25">
      <c r="A2456" s="8" t="s">
        <v>17554</v>
      </c>
      <c r="B2456" s="8" t="s">
        <v>17555</v>
      </c>
      <c r="C2456" s="9" t="s">
        <v>17556</v>
      </c>
      <c r="D2456" s="9" t="s">
        <v>197</v>
      </c>
      <c r="E2456" s="9" t="s">
        <v>17557</v>
      </c>
      <c r="F2456" s="10">
        <v>1.514</v>
      </c>
      <c r="G2456" s="10">
        <v>1.665</v>
      </c>
      <c r="H2456" s="10"/>
      <c r="I2456" s="9" t="s">
        <v>168</v>
      </c>
      <c r="J2456" s="9" t="s">
        <v>17558</v>
      </c>
      <c r="K2456" s="9" t="s">
        <v>17559</v>
      </c>
      <c r="L2456" s="8" t="s">
        <v>17560</v>
      </c>
      <c r="M2456" s="9" t="s">
        <v>49</v>
      </c>
      <c r="N2456" s="9" t="s">
        <v>7851</v>
      </c>
      <c r="O2456" s="9">
        <f>HYPERLINK("https://www.google.com/maps/search/?api=1&amp;query=39.98348935,-3.37011383", "https://www.google.com/maps/search/?api=1&amp;query=39.98348935,-3.37011383")</f>
      </c>
      <c r="P2456" s="9" t="s">
        <v>5394</v>
      </c>
      <c r="Q2456" s="9" t="s">
        <v>1742</v>
      </c>
    </row>
    <row r="2457" spans="1:17" x14ac:dyDescent="0.25">
      <c r="A2457" s="8" t="s">
        <v>17561</v>
      </c>
      <c r="B2457" s="8" t="s">
        <v>17562</v>
      </c>
      <c r="C2457" s="9" t="s">
        <v>17563</v>
      </c>
      <c r="D2457" s="9" t="s">
        <v>30</v>
      </c>
      <c r="E2457" s="9" t="s">
        <v>17564</v>
      </c>
      <c r="F2457" s="10">
        <v>1.514</v>
      </c>
      <c r="G2457" s="10">
        <v>1.665</v>
      </c>
      <c r="H2457" s="10"/>
      <c r="I2457" s="9" t="s">
        <v>32</v>
      </c>
      <c r="J2457" s="9" t="s">
        <v>17565</v>
      </c>
      <c r="K2457" s="9" t="s">
        <v>17566</v>
      </c>
      <c r="L2457" s="8" t="s">
        <v>17567</v>
      </c>
      <c r="M2457" s="9" t="s">
        <v>36</v>
      </c>
      <c r="N2457" s="9" t="s">
        <v>13862</v>
      </c>
      <c r="O2457" s="9">
        <f>HYPERLINK("https://www.google.com/maps/search/?api=1&amp;query=38.38127538,-6.58512792", "https://www.google.com/maps/search/?api=1&amp;query=38.38127538,-6.58512792")</f>
      </c>
      <c r="P2457" s="9" t="s">
        <v>7403</v>
      </c>
      <c r="Q2457" s="9" t="s">
        <v>1131</v>
      </c>
    </row>
    <row r="2458" spans="1:17" x14ac:dyDescent="0.25">
      <c r="A2458" s="8" t="s">
        <v>17568</v>
      </c>
      <c r="B2458" s="8" t="s">
        <v>17569</v>
      </c>
      <c r="C2458" s="9" t="s">
        <v>17570</v>
      </c>
      <c r="D2458" s="9" t="s">
        <v>61</v>
      </c>
      <c r="E2458" s="9" t="s">
        <v>8293</v>
      </c>
      <c r="F2458" s="10">
        <v>1.514</v>
      </c>
      <c r="G2458" s="10">
        <v>1.665</v>
      </c>
      <c r="H2458" s="10"/>
      <c r="I2458" s="9" t="s">
        <v>45</v>
      </c>
      <c r="J2458" s="9" t="s">
        <v>17571</v>
      </c>
      <c r="K2458" s="9" t="s">
        <v>17572</v>
      </c>
      <c r="L2458" s="8" t="s">
        <v>8296</v>
      </c>
      <c r="M2458" s="9" t="s">
        <v>49</v>
      </c>
      <c r="N2458" s="9" t="s">
        <v>37</v>
      </c>
      <c r="O2458" s="9">
        <f>HYPERLINK("https://www.google.com/maps/search/?api=1&amp;query=37.52669542,-5.08514886", "https://www.google.com/maps/search/?api=1&amp;query=37.52669542,-5.08514886")</f>
      </c>
      <c r="P2458" s="9" t="s">
        <v>8348</v>
      </c>
      <c r="Q2458" s="9" t="s">
        <v>16691</v>
      </c>
    </row>
    <row r="2459" spans="1:17" x14ac:dyDescent="0.25">
      <c r="A2459" s="8" t="s">
        <v>17573</v>
      </c>
      <c r="B2459" s="8" t="s">
        <v>17574</v>
      </c>
      <c r="C2459" s="9" t="s">
        <v>17575</v>
      </c>
      <c r="D2459" s="9" t="s">
        <v>577</v>
      </c>
      <c r="E2459" s="9" t="s">
        <v>17576</v>
      </c>
      <c r="F2459" s="10">
        <v>1.514</v>
      </c>
      <c r="G2459" s="10">
        <v>1.665</v>
      </c>
      <c r="H2459" s="10"/>
      <c r="I2459" s="9" t="s">
        <v>74</v>
      </c>
      <c r="J2459" s="9" t="s">
        <v>17577</v>
      </c>
      <c r="K2459" s="9" t="s">
        <v>17578</v>
      </c>
      <c r="L2459" s="8" t="s">
        <v>15968</v>
      </c>
      <c r="M2459" s="9" t="s">
        <v>49</v>
      </c>
      <c r="N2459" s="9" t="s">
        <v>10497</v>
      </c>
      <c r="O2459" s="9">
        <f>HYPERLINK("https://www.google.com/maps/search/?api=1&amp;query=40.58063436,-5.0140932", "https://www.google.com/maps/search/?api=1&amp;query=40.58063436,-5.0140932")</f>
      </c>
      <c r="P2459" s="9" t="s">
        <v>880</v>
      </c>
      <c r="Q2459" s="9" t="s">
        <v>1742</v>
      </c>
    </row>
    <row r="2460" spans="1:17" x14ac:dyDescent="0.25">
      <c r="A2460" s="8" t="s">
        <v>17579</v>
      </c>
      <c r="B2460" s="8" t="s">
        <v>17580</v>
      </c>
      <c r="C2460" s="9" t="s">
        <v>17581</v>
      </c>
      <c r="D2460" s="9" t="s">
        <v>83</v>
      </c>
      <c r="E2460" s="9" t="s">
        <v>2461</v>
      </c>
      <c r="F2460" s="10">
        <v>1.514</v>
      </c>
      <c r="G2460" s="10">
        <v>1.665</v>
      </c>
      <c r="H2460" s="10"/>
      <c r="I2460" s="9" t="s">
        <v>83</v>
      </c>
      <c r="J2460" s="9" t="s">
        <v>17582</v>
      </c>
      <c r="K2460" s="9" t="s">
        <v>17583</v>
      </c>
      <c r="L2460" s="8" t="s">
        <v>2464</v>
      </c>
      <c r="M2460" s="9" t="s">
        <v>49</v>
      </c>
      <c r="N2460" s="9" t="s">
        <v>211</v>
      </c>
      <c r="O2460" s="9">
        <f>HYPERLINK("https://www.google.com/maps/search/?api=1&amp;query=40.65213678,-3.73675578", "https://www.google.com/maps/search/?api=1&amp;query=40.65213678,-3.73675578")</f>
      </c>
      <c r="P2460" s="9" t="s">
        <v>38</v>
      </c>
      <c r="Q2460" s="9" t="s">
        <v>2554</v>
      </c>
    </row>
    <row r="2461" spans="1:17" x14ac:dyDescent="0.25">
      <c r="A2461" s="8" t="s">
        <v>17584</v>
      </c>
      <c r="B2461" s="8" t="s">
        <v>17585</v>
      </c>
      <c r="C2461" s="9" t="s">
        <v>17586</v>
      </c>
      <c r="D2461" s="9" t="s">
        <v>187</v>
      </c>
      <c r="E2461" s="9" t="s">
        <v>17587</v>
      </c>
      <c r="F2461" s="10">
        <v>1.514</v>
      </c>
      <c r="G2461" s="10">
        <v>1.665</v>
      </c>
      <c r="H2461" s="10"/>
      <c r="I2461" s="9" t="s">
        <v>74</v>
      </c>
      <c r="J2461" s="9" t="s">
        <v>17588</v>
      </c>
      <c r="K2461" s="9" t="s">
        <v>17589</v>
      </c>
      <c r="L2461" s="8" t="s">
        <v>17590</v>
      </c>
      <c r="M2461" s="9" t="s">
        <v>49</v>
      </c>
      <c r="N2461" s="9" t="s">
        <v>17591</v>
      </c>
      <c r="O2461" s="9">
        <f>HYPERLINK("https://www.google.com/maps/search/?api=1&amp;query=42.6073776,-6.39894404", "https://www.google.com/maps/search/?api=1&amp;query=42.6073776,-6.39894404")</f>
      </c>
      <c r="P2461" s="9" t="s">
        <v>880</v>
      </c>
      <c r="Q2461" s="9" t="s">
        <v>10239</v>
      </c>
    </row>
    <row r="2462" spans="1:17" x14ac:dyDescent="0.25">
      <c r="A2462" s="8" t="s">
        <v>17592</v>
      </c>
      <c r="B2462" s="8" t="s">
        <v>17593</v>
      </c>
      <c r="C2462" s="9" t="s">
        <v>17594</v>
      </c>
      <c r="D2462" s="9" t="s">
        <v>94</v>
      </c>
      <c r="E2462" s="9" t="s">
        <v>17595</v>
      </c>
      <c r="F2462" s="10">
        <v>1.514</v>
      </c>
      <c r="G2462" s="10">
        <v>1.665</v>
      </c>
      <c r="H2462" s="10"/>
      <c r="I2462" s="9" t="s">
        <v>96</v>
      </c>
      <c r="J2462" s="9" t="s">
        <v>17596</v>
      </c>
      <c r="K2462" s="9" t="s">
        <v>17597</v>
      </c>
      <c r="L2462" s="8" t="s">
        <v>17598</v>
      </c>
      <c r="M2462" s="9" t="s">
        <v>100</v>
      </c>
      <c r="N2462" s="9" t="s">
        <v>37</v>
      </c>
      <c r="O2462" s="9">
        <f>HYPERLINK("https://www.google.com/maps/search/?api=1&amp;query=41.37833706,1.73047888", "https://www.google.com/maps/search/?api=1&amp;query=41.37833706,1.73047888")</f>
      </c>
      <c r="P2462" s="9" t="s">
        <v>915</v>
      </c>
      <c r="Q2462" s="9" t="s">
        <v>3744</v>
      </c>
    </row>
    <row r="2463" spans="1:17" x14ac:dyDescent="0.25">
      <c r="A2463" s="8" t="s">
        <v>17599</v>
      </c>
      <c r="B2463" s="8" t="s">
        <v>17600</v>
      </c>
      <c r="C2463" s="9" t="s">
        <v>17601</v>
      </c>
      <c r="D2463" s="9" t="s">
        <v>1617</v>
      </c>
      <c r="E2463" s="9" t="s">
        <v>1617</v>
      </c>
      <c r="F2463" s="10">
        <v>1.514</v>
      </c>
      <c r="G2463" s="10">
        <v>1.665</v>
      </c>
      <c r="H2463" s="10"/>
      <c r="I2463" s="9" t="s">
        <v>292</v>
      </c>
      <c r="J2463" s="9" t="s">
        <v>17602</v>
      </c>
      <c r="K2463" s="9" t="s">
        <v>17603</v>
      </c>
      <c r="L2463" s="8" t="s">
        <v>14737</v>
      </c>
      <c r="M2463" s="9" t="s">
        <v>36</v>
      </c>
      <c r="N2463" s="9" t="s">
        <v>37</v>
      </c>
      <c r="O2463" s="9">
        <f>HYPERLINK("https://www.google.com/maps/search/?api=1&amp;query=42.14266684,-0.41296781", "https://www.google.com/maps/search/?api=1&amp;query=42.14266684,-0.41296781")</f>
      </c>
      <c r="P2463" s="9" t="s">
        <v>2594</v>
      </c>
      <c r="Q2463" s="9" t="s">
        <v>1131</v>
      </c>
    </row>
    <row r="2464" spans="1:17" x14ac:dyDescent="0.25">
      <c r="A2464" s="8" t="s">
        <v>17604</v>
      </c>
      <c r="B2464" s="8" t="s">
        <v>17605</v>
      </c>
      <c r="C2464" s="9" t="s">
        <v>17606</v>
      </c>
      <c r="D2464" s="9" t="s">
        <v>398</v>
      </c>
      <c r="E2464" s="9" t="s">
        <v>17607</v>
      </c>
      <c r="F2464" s="10">
        <v>1.514</v>
      </c>
      <c r="G2464" s="10">
        <v>1.665</v>
      </c>
      <c r="H2464" s="10"/>
      <c r="I2464" s="9" t="s">
        <v>400</v>
      </c>
      <c r="J2464" s="9" t="s">
        <v>17608</v>
      </c>
      <c r="K2464" s="9" t="s">
        <v>17609</v>
      </c>
      <c r="L2464" s="8" t="s">
        <v>17610</v>
      </c>
      <c r="M2464" s="9" t="s">
        <v>49</v>
      </c>
      <c r="N2464" s="9" t="s">
        <v>357</v>
      </c>
      <c r="O2464" s="9">
        <f>HYPERLINK("https://www.google.com/maps/search/?api=1&amp;query=38.10472207,-0.79707764", "https://www.google.com/maps/search/?api=1&amp;query=38.10472207,-0.79707764")</f>
      </c>
      <c r="P2464" s="9" t="s">
        <v>771</v>
      </c>
      <c r="Q2464" s="9" t="s">
        <v>7794</v>
      </c>
    </row>
    <row r="2465" spans="1:17" x14ac:dyDescent="0.25">
      <c r="A2465" s="8" t="s">
        <v>17611</v>
      </c>
      <c r="B2465" s="8" t="s">
        <v>17612</v>
      </c>
      <c r="C2465" s="9" t="s">
        <v>17613</v>
      </c>
      <c r="D2465" s="9" t="s">
        <v>106</v>
      </c>
      <c r="E2465" s="9" t="s">
        <v>17614</v>
      </c>
      <c r="F2465" s="10">
        <v>1.514</v>
      </c>
      <c r="G2465" s="10">
        <v>1.665</v>
      </c>
      <c r="H2465" s="10"/>
      <c r="I2465" s="9" t="s">
        <v>106</v>
      </c>
      <c r="J2465" s="9" t="s">
        <v>17615</v>
      </c>
      <c r="K2465" s="9" t="s">
        <v>17616</v>
      </c>
      <c r="L2465" s="8" t="s">
        <v>9897</v>
      </c>
      <c r="M2465" s="9" t="s">
        <v>49</v>
      </c>
      <c r="N2465" s="9" t="s">
        <v>37</v>
      </c>
      <c r="O2465" s="9">
        <f>HYPERLINK("https://www.google.com/maps/search/?api=1&amp;query=38.48051605,-1.32159155", "https://www.google.com/maps/search/?api=1&amp;query=38.48051605,-1.32159155")</f>
      </c>
      <c r="P2465" s="9" t="s">
        <v>1203</v>
      </c>
      <c r="Q2465" s="9" t="s">
        <v>17617</v>
      </c>
    </row>
    <row r="2466" spans="1:17" x14ac:dyDescent="0.25">
      <c r="A2466" s="8" t="s">
        <v>17618</v>
      </c>
      <c r="B2466" s="8" t="s">
        <v>17619</v>
      </c>
      <c r="C2466" s="9" t="s">
        <v>17620</v>
      </c>
      <c r="D2466" s="9" t="s">
        <v>398</v>
      </c>
      <c r="E2466" s="9" t="s">
        <v>9979</v>
      </c>
      <c r="F2466" s="10">
        <v>1.514</v>
      </c>
      <c r="G2466" s="10">
        <v>1.665</v>
      </c>
      <c r="H2466" s="10"/>
      <c r="I2466" s="9" t="s">
        <v>400</v>
      </c>
      <c r="J2466" s="9" t="s">
        <v>17621</v>
      </c>
      <c r="K2466" s="9" t="s">
        <v>17622</v>
      </c>
      <c r="L2466" s="8" t="s">
        <v>9982</v>
      </c>
      <c r="M2466" s="9" t="s">
        <v>49</v>
      </c>
      <c r="N2466" s="9" t="s">
        <v>88</v>
      </c>
      <c r="O2466" s="9">
        <f>HYPERLINK("https://www.google.com/maps/search/?api=1&amp;query=38.12582629,-0.86729728", "https://www.google.com/maps/search/?api=1&amp;query=38.12582629,-0.86729728")</f>
      </c>
      <c r="P2466" s="9" t="s">
        <v>3400</v>
      </c>
      <c r="Q2466" s="9" t="s">
        <v>1382</v>
      </c>
    </row>
    <row r="2467" spans="1:17" x14ac:dyDescent="0.25">
      <c r="A2467" s="8" t="s">
        <v>17623</v>
      </c>
      <c r="B2467" s="8" t="s">
        <v>17624</v>
      </c>
      <c r="C2467" s="9" t="s">
        <v>17625</v>
      </c>
      <c r="D2467" s="9" t="s">
        <v>30</v>
      </c>
      <c r="E2467" s="9" t="s">
        <v>17626</v>
      </c>
      <c r="F2467" s="10">
        <v>1.514</v>
      </c>
      <c r="G2467" s="10">
        <v>1.665</v>
      </c>
      <c r="H2467" s="10"/>
      <c r="I2467" s="9" t="s">
        <v>32</v>
      </c>
      <c r="J2467" s="9" t="s">
        <v>17627</v>
      </c>
      <c r="K2467" s="9" t="s">
        <v>17628</v>
      </c>
      <c r="L2467" s="8" t="s">
        <v>17629</v>
      </c>
      <c r="M2467" s="9" t="s">
        <v>36</v>
      </c>
      <c r="N2467" s="9" t="s">
        <v>12552</v>
      </c>
      <c r="O2467" s="9">
        <f>HYPERLINK("https://www.google.com/maps/search/?api=1&amp;query=39.00736927,-6.00614497", "https://www.google.com/maps/search/?api=1&amp;query=39.00736927,-6.00614497")</f>
      </c>
      <c r="P2467" s="9" t="s">
        <v>182</v>
      </c>
      <c r="Q2467" s="9" t="s">
        <v>823</v>
      </c>
    </row>
    <row r="2468" spans="1:17" x14ac:dyDescent="0.25">
      <c r="A2468" s="8" t="s">
        <v>17630</v>
      </c>
      <c r="B2468" s="8" t="s">
        <v>17631</v>
      </c>
      <c r="C2468" s="9" t="s">
        <v>17632</v>
      </c>
      <c r="D2468" s="9" t="s">
        <v>187</v>
      </c>
      <c r="E2468" s="9" t="s">
        <v>17633</v>
      </c>
      <c r="F2468" s="10">
        <v>1.514</v>
      </c>
      <c r="G2468" s="10">
        <v>1.665</v>
      </c>
      <c r="H2468" s="10"/>
      <c r="I2468" s="9" t="s">
        <v>74</v>
      </c>
      <c r="J2468" s="9" t="s">
        <v>17634</v>
      </c>
      <c r="K2468" s="9" t="s">
        <v>17635</v>
      </c>
      <c r="L2468" s="8" t="s">
        <v>17636</v>
      </c>
      <c r="M2468" s="9" t="s">
        <v>100</v>
      </c>
      <c r="N2468" s="9" t="s">
        <v>17637</v>
      </c>
      <c r="O2468" s="9">
        <f>HYPERLINK("https://www.google.com/maps/search/?api=1&amp;query=42.24200083,-5.57057824", "https://www.google.com/maps/search/?api=1&amp;query=42.24200083,-5.57057824")</f>
      </c>
      <c r="P2468" s="9" t="s">
        <v>144</v>
      </c>
      <c r="Q2468" s="9" t="s">
        <v>17638</v>
      </c>
    </row>
    <row r="2469" spans="1:17" x14ac:dyDescent="0.25">
      <c r="A2469" s="8" t="s">
        <v>17639</v>
      </c>
      <c r="B2469" s="8" t="s">
        <v>17640</v>
      </c>
      <c r="C2469" s="9" t="s">
        <v>17641</v>
      </c>
      <c r="D2469" s="9" t="s">
        <v>444</v>
      </c>
      <c r="E2469" s="9" t="s">
        <v>17642</v>
      </c>
      <c r="F2469" s="10">
        <v>1.514</v>
      </c>
      <c r="G2469" s="10">
        <v>1.665</v>
      </c>
      <c r="H2469" s="10"/>
      <c r="I2469" s="9" t="s">
        <v>444</v>
      </c>
      <c r="J2469" s="9" t="s">
        <v>17643</v>
      </c>
      <c r="K2469" s="9" t="s">
        <v>17644</v>
      </c>
      <c r="L2469" s="8" t="s">
        <v>9557</v>
      </c>
      <c r="M2469" s="9" t="s">
        <v>49</v>
      </c>
      <c r="N2469" s="9" t="s">
        <v>88</v>
      </c>
      <c r="O2469" s="9">
        <f>HYPERLINK("https://www.google.com/maps/search/?api=1&amp;query=43.36584312,-5.27146936", "https://www.google.com/maps/search/?api=1&amp;query=43.36584312,-5.27146936")</f>
      </c>
      <c r="P2469" s="9" t="s">
        <v>1927</v>
      </c>
      <c r="Q2469" s="9" t="s">
        <v>2764</v>
      </c>
    </row>
    <row r="2470" spans="1:17" x14ac:dyDescent="0.25">
      <c r="A2470" s="8" t="s">
        <v>17645</v>
      </c>
      <c r="B2470" s="8" t="s">
        <v>17646</v>
      </c>
      <c r="C2470" s="9" t="s">
        <v>17647</v>
      </c>
      <c r="D2470" s="9" t="s">
        <v>344</v>
      </c>
      <c r="E2470" s="9" t="s">
        <v>17648</v>
      </c>
      <c r="F2470" s="10">
        <v>1.514</v>
      </c>
      <c r="G2470" s="10">
        <v>1.665</v>
      </c>
      <c r="H2470" s="10"/>
      <c r="I2470" s="9" t="s">
        <v>140</v>
      </c>
      <c r="J2470" s="9" t="s">
        <v>17649</v>
      </c>
      <c r="K2470" s="9" t="s">
        <v>17650</v>
      </c>
      <c r="L2470" s="8" t="s">
        <v>17651</v>
      </c>
      <c r="M2470" s="9" t="s">
        <v>49</v>
      </c>
      <c r="N2470" s="9" t="s">
        <v>17652</v>
      </c>
      <c r="O2470" s="9">
        <f>HYPERLINK("https://www.google.com/maps/search/?api=1&amp;query=43.3240833,-8.38111429", "https://www.google.com/maps/search/?api=1&amp;query=43.3240833,-8.38111429")</f>
      </c>
      <c r="P2470" s="9" t="s">
        <v>2135</v>
      </c>
      <c r="Q2470" s="9" t="s">
        <v>3459</v>
      </c>
    </row>
    <row r="2471" spans="1:17" x14ac:dyDescent="0.25">
      <c r="A2471" s="8" t="s">
        <v>17653</v>
      </c>
      <c r="B2471" s="8" t="s">
        <v>17654</v>
      </c>
      <c r="C2471" s="9" t="s">
        <v>17655</v>
      </c>
      <c r="D2471" s="9" t="s">
        <v>138</v>
      </c>
      <c r="E2471" s="9" t="s">
        <v>17656</v>
      </c>
      <c r="F2471" s="10">
        <v>1.514</v>
      </c>
      <c r="G2471" s="10">
        <v>1.665</v>
      </c>
      <c r="H2471" s="10"/>
      <c r="I2471" s="9" t="s">
        <v>140</v>
      </c>
      <c r="J2471" s="9" t="s">
        <v>17657</v>
      </c>
      <c r="K2471" s="9" t="s">
        <v>17658</v>
      </c>
      <c r="L2471" s="8" t="s">
        <v>17659</v>
      </c>
      <c r="M2471" s="9" t="s">
        <v>36</v>
      </c>
      <c r="N2471" s="9" t="s">
        <v>211</v>
      </c>
      <c r="O2471" s="9">
        <f>HYPERLINK("https://www.google.com/maps/search/?api=1&amp;query=42.43643198,-8.67353675", "https://www.google.com/maps/search/?api=1&amp;query=42.43643198,-8.67353675")</f>
      </c>
      <c r="P2471" s="9" t="s">
        <v>955</v>
      </c>
      <c r="Q2471" s="9" t="s">
        <v>17660</v>
      </c>
    </row>
    <row r="2472" spans="1:17" x14ac:dyDescent="0.25">
      <c r="A2472" s="8" t="s">
        <v>17661</v>
      </c>
      <c r="B2472" s="8" t="s">
        <v>17662</v>
      </c>
      <c r="C2472" s="9" t="s">
        <v>17663</v>
      </c>
      <c r="D2472" s="9" t="s">
        <v>400</v>
      </c>
      <c r="E2472" s="9" t="s">
        <v>400</v>
      </c>
      <c r="F2472" s="10">
        <v>1.514</v>
      </c>
      <c r="G2472" s="10">
        <v>1.665</v>
      </c>
      <c r="H2472" s="10"/>
      <c r="I2472" s="9" t="s">
        <v>400</v>
      </c>
      <c r="J2472" s="9" t="s">
        <v>17664</v>
      </c>
      <c r="K2472" s="9" t="s">
        <v>17665</v>
      </c>
      <c r="L2472" s="8" t="s">
        <v>17666</v>
      </c>
      <c r="M2472" s="9" t="s">
        <v>49</v>
      </c>
      <c r="N2472" s="9" t="s">
        <v>37</v>
      </c>
      <c r="O2472" s="9">
        <f>HYPERLINK("https://www.google.com/maps/search/?api=1&amp;query=39.44520884,-0.36965039", "https://www.google.com/maps/search/?api=1&amp;query=39.44520884,-0.36965039")</f>
      </c>
      <c r="P2472" s="9" t="s">
        <v>780</v>
      </c>
      <c r="Q2472" s="9" t="s">
        <v>14395</v>
      </c>
    </row>
    <row r="2473" spans="1:17" x14ac:dyDescent="0.25">
      <c r="A2473" s="8" t="s">
        <v>17667</v>
      </c>
      <c r="B2473" s="8" t="s">
        <v>17668</v>
      </c>
      <c r="C2473" s="9" t="s">
        <v>17669</v>
      </c>
      <c r="D2473" s="9" t="s">
        <v>138</v>
      </c>
      <c r="E2473" s="9" t="s">
        <v>138</v>
      </c>
      <c r="F2473" s="10">
        <v>1.514</v>
      </c>
      <c r="G2473" s="10">
        <v>1.665</v>
      </c>
      <c r="H2473" s="10"/>
      <c r="I2473" s="9" t="s">
        <v>140</v>
      </c>
      <c r="J2473" s="9" t="s">
        <v>17670</v>
      </c>
      <c r="K2473" s="9" t="s">
        <v>17671</v>
      </c>
      <c r="L2473" s="8" t="s">
        <v>17672</v>
      </c>
      <c r="M2473" s="9" t="s">
        <v>36</v>
      </c>
      <c r="N2473" s="9" t="s">
        <v>211</v>
      </c>
      <c r="O2473" s="9">
        <f>HYPERLINK("https://www.google.com/maps/search/?api=1&amp;query=42.42137085,-8.65979851", "https://www.google.com/maps/search/?api=1&amp;query=42.42137085,-8.65979851")</f>
      </c>
      <c r="P2473" s="9" t="s">
        <v>2213</v>
      </c>
      <c r="Q2473" s="9" t="s">
        <v>17673</v>
      </c>
    </row>
    <row r="2474" spans="1:17" x14ac:dyDescent="0.25">
      <c r="A2474" s="8" t="s">
        <v>17674</v>
      </c>
      <c r="B2474" s="8" t="s">
        <v>17675</v>
      </c>
      <c r="C2474" s="9" t="s">
        <v>17676</v>
      </c>
      <c r="D2474" s="9" t="s">
        <v>1617</v>
      </c>
      <c r="E2474" s="9" t="s">
        <v>17677</v>
      </c>
      <c r="F2474" s="10">
        <v>1.514</v>
      </c>
      <c r="G2474" s="10">
        <v>1.665</v>
      </c>
      <c r="H2474" s="10"/>
      <c r="I2474" s="9" t="s">
        <v>292</v>
      </c>
      <c r="J2474" s="9" t="s">
        <v>17678</v>
      </c>
      <c r="K2474" s="9" t="s">
        <v>17679</v>
      </c>
      <c r="L2474" s="8" t="s">
        <v>17680</v>
      </c>
      <c r="M2474" s="9" t="s">
        <v>36</v>
      </c>
      <c r="N2474" s="9" t="s">
        <v>88</v>
      </c>
      <c r="O2474" s="9">
        <f>HYPERLINK("https://www.google.com/maps/search/?api=1&amp;query=42.67771373,-0.53821324", "https://www.google.com/maps/search/?api=1&amp;query=42.67771373,-0.53821324")</f>
      </c>
      <c r="P2474" s="9" t="s">
        <v>17681</v>
      </c>
      <c r="Q2474" s="9" t="s">
        <v>17682</v>
      </c>
    </row>
    <row r="2475" spans="1:17" x14ac:dyDescent="0.25">
      <c r="A2475" s="8" t="s">
        <v>17683</v>
      </c>
      <c r="B2475" s="8" t="s">
        <v>17684</v>
      </c>
      <c r="C2475" s="9" t="s">
        <v>17685</v>
      </c>
      <c r="D2475" s="9" t="s">
        <v>516</v>
      </c>
      <c r="E2475" s="9" t="s">
        <v>17686</v>
      </c>
      <c r="F2475" s="10">
        <v>1.514</v>
      </c>
      <c r="G2475" s="10">
        <v>1.665</v>
      </c>
      <c r="H2475" s="10"/>
      <c r="I2475" s="9" t="s">
        <v>140</v>
      </c>
      <c r="J2475" s="9" t="s">
        <v>17687</v>
      </c>
      <c r="K2475" s="9" t="s">
        <v>17688</v>
      </c>
      <c r="L2475" s="8" t="s">
        <v>17689</v>
      </c>
      <c r="M2475" s="9" t="s">
        <v>36</v>
      </c>
      <c r="N2475" s="9" t="s">
        <v>1130</v>
      </c>
      <c r="O2475" s="9">
        <f>HYPERLINK("https://www.google.com/maps/search/?api=1&amp;query=42.50485877,-7.62766568", "https://www.google.com/maps/search/?api=1&amp;query=42.50485877,-7.62766568")</f>
      </c>
      <c r="P2475" s="9" t="s">
        <v>17690</v>
      </c>
      <c r="Q2475" s="9" t="s">
        <v>1131</v>
      </c>
    </row>
    <row r="2476" spans="1:17" x14ac:dyDescent="0.25">
      <c r="A2476" s="8" t="s">
        <v>17691</v>
      </c>
      <c r="B2476" s="8" t="s">
        <v>17692</v>
      </c>
      <c r="C2476" s="9" t="s">
        <v>17693</v>
      </c>
      <c r="D2476" s="9" t="s">
        <v>155</v>
      </c>
      <c r="E2476" s="9" t="s">
        <v>2394</v>
      </c>
      <c r="F2476" s="10">
        <v>1.514</v>
      </c>
      <c r="G2476" s="10">
        <v>1.665</v>
      </c>
      <c r="H2476" s="10"/>
      <c r="I2476" s="9" t="s">
        <v>157</v>
      </c>
      <c r="J2476" s="9" t="s">
        <v>17694</v>
      </c>
      <c r="K2476" s="9" t="s">
        <v>17695</v>
      </c>
      <c r="L2476" s="8" t="s">
        <v>5605</v>
      </c>
      <c r="M2476" s="9" t="s">
        <v>49</v>
      </c>
      <c r="N2476" s="9" t="s">
        <v>9686</v>
      </c>
      <c r="O2476" s="9">
        <f>HYPERLINK("https://www.google.com/maps/search/?api=1&amp;query=39.61014671,2.66121994", "https://www.google.com/maps/search/?api=1&amp;query=39.61014671,2.66121994")</f>
      </c>
      <c r="P2476" s="9" t="s">
        <v>17696</v>
      </c>
      <c r="Q2476" s="9" t="s">
        <v>4200</v>
      </c>
    </row>
    <row r="2477" spans="1:17" x14ac:dyDescent="0.25">
      <c r="A2477" s="8" t="s">
        <v>17697</v>
      </c>
      <c r="B2477" s="8" t="s">
        <v>17698</v>
      </c>
      <c r="C2477" s="9" t="s">
        <v>17699</v>
      </c>
      <c r="D2477" s="9" t="s">
        <v>83</v>
      </c>
      <c r="E2477" s="9" t="s">
        <v>1135</v>
      </c>
      <c r="F2477" s="10">
        <v>1.514</v>
      </c>
      <c r="G2477" s="10">
        <v>1.665</v>
      </c>
      <c r="H2477" s="10"/>
      <c r="I2477" s="9" t="s">
        <v>83</v>
      </c>
      <c r="J2477" s="9" t="s">
        <v>17700</v>
      </c>
      <c r="K2477" s="9" t="s">
        <v>17701</v>
      </c>
      <c r="L2477" s="8" t="s">
        <v>1138</v>
      </c>
      <c r="M2477" s="9" t="s">
        <v>36</v>
      </c>
      <c r="N2477" s="9" t="s">
        <v>211</v>
      </c>
      <c r="O2477" s="9">
        <f>HYPERLINK("https://www.google.com/maps/search/?api=1&amp;query=40.42013513,-3.79826368", "https://www.google.com/maps/search/?api=1&amp;query=40.42013513,-3.79826368")</f>
      </c>
      <c r="P2477" s="9" t="s">
        <v>144</v>
      </c>
      <c r="Q2477" s="9" t="s">
        <v>1742</v>
      </c>
    </row>
    <row r="2478" spans="1:17" x14ac:dyDescent="0.25">
      <c r="A2478" s="8" t="s">
        <v>17702</v>
      </c>
      <c r="B2478" s="8" t="s">
        <v>17703</v>
      </c>
      <c r="C2478" s="9" t="s">
        <v>17704</v>
      </c>
      <c r="D2478" s="9" t="s">
        <v>631</v>
      </c>
      <c r="E2478" s="9" t="s">
        <v>17705</v>
      </c>
      <c r="F2478" s="10">
        <v>1.514</v>
      </c>
      <c r="G2478" s="10">
        <v>1.665</v>
      </c>
      <c r="H2478" s="10"/>
      <c r="I2478" s="9" t="s">
        <v>45</v>
      </c>
      <c r="J2478" s="9" t="s">
        <v>17706</v>
      </c>
      <c r="K2478" s="9" t="s">
        <v>17707</v>
      </c>
      <c r="L2478" s="8" t="s">
        <v>17708</v>
      </c>
      <c r="M2478" s="9" t="s">
        <v>36</v>
      </c>
      <c r="N2478" s="9" t="s">
        <v>13862</v>
      </c>
      <c r="O2478" s="9">
        <f>HYPERLINK("https://www.google.com/maps/search/?api=1&amp;query=38.07425124,-5.01053288", "https://www.google.com/maps/search/?api=1&amp;query=38.07425124,-5.01053288")</f>
      </c>
      <c r="P2478" s="9" t="s">
        <v>1803</v>
      </c>
      <c r="Q2478" s="9" t="s">
        <v>112</v>
      </c>
    </row>
    <row r="2479" spans="1:17" x14ac:dyDescent="0.25">
      <c r="A2479" s="8" t="s">
        <v>17709</v>
      </c>
      <c r="B2479" s="8" t="s">
        <v>17710</v>
      </c>
      <c r="C2479" s="9" t="s">
        <v>17711</v>
      </c>
      <c r="D2479" s="9" t="s">
        <v>197</v>
      </c>
      <c r="E2479" s="9" t="s">
        <v>17712</v>
      </c>
      <c r="F2479" s="10">
        <v>1.514</v>
      </c>
      <c r="G2479" s="10">
        <v>1.665</v>
      </c>
      <c r="H2479" s="10"/>
      <c r="I2479" s="9" t="s">
        <v>168</v>
      </c>
      <c r="J2479" s="9" t="s">
        <v>17713</v>
      </c>
      <c r="K2479" s="9" t="s">
        <v>17714</v>
      </c>
      <c r="L2479" s="8" t="s">
        <v>17715</v>
      </c>
      <c r="M2479" s="9" t="s">
        <v>49</v>
      </c>
      <c r="N2479" s="9" t="s">
        <v>13124</v>
      </c>
      <c r="O2479" s="9">
        <f>HYPERLINK("https://www.google.com/maps/search/?api=1&amp;query=39.41781526,-3.71274919", "https://www.google.com/maps/search/?api=1&amp;query=39.41781526,-3.71274919")</f>
      </c>
      <c r="P2479" s="9" t="s">
        <v>7311</v>
      </c>
      <c r="Q2479" s="9" t="s">
        <v>3657</v>
      </c>
    </row>
    <row r="2480" spans="1:17" x14ac:dyDescent="0.25">
      <c r="A2480" s="8" t="s">
        <v>17716</v>
      </c>
      <c r="B2480" s="8" t="s">
        <v>17717</v>
      </c>
      <c r="C2480" s="9" t="s">
        <v>17718</v>
      </c>
      <c r="D2480" s="9" t="s">
        <v>217</v>
      </c>
      <c r="E2480" s="9" t="s">
        <v>17719</v>
      </c>
      <c r="F2480" s="10">
        <v>1.514</v>
      </c>
      <c r="G2480" s="10">
        <v>1.665</v>
      </c>
      <c r="H2480" s="10"/>
      <c r="I2480" s="9" t="s">
        <v>45</v>
      </c>
      <c r="J2480" s="9" t="s">
        <v>17720</v>
      </c>
      <c r="K2480" s="9" t="s">
        <v>17721</v>
      </c>
      <c r="L2480" s="8" t="s">
        <v>17722</v>
      </c>
      <c r="M2480" s="9" t="s">
        <v>100</v>
      </c>
      <c r="N2480" s="9" t="s">
        <v>17723</v>
      </c>
      <c r="O2480" s="9">
        <f>HYPERLINK("https://www.google.com/maps/search/?api=1&amp;query=36.73531763,-3.97846688", "https://www.google.com/maps/search/?api=1&amp;query=36.73531763,-3.97846688")</f>
      </c>
      <c r="P2480" s="9" t="s">
        <v>349</v>
      </c>
      <c r="Q2480" s="9" t="s">
        <v>8215</v>
      </c>
    </row>
    <row r="2481" spans="1:17" x14ac:dyDescent="0.25">
      <c r="A2481" s="8" t="s">
        <v>17724</v>
      </c>
      <c r="B2481" s="8" t="s">
        <v>17725</v>
      </c>
      <c r="C2481" s="9" t="s">
        <v>17726</v>
      </c>
      <c r="D2481" s="9" t="s">
        <v>398</v>
      </c>
      <c r="E2481" s="9" t="s">
        <v>17727</v>
      </c>
      <c r="F2481" s="10">
        <v>1.514</v>
      </c>
      <c r="G2481" s="10">
        <v>1.665</v>
      </c>
      <c r="H2481" s="10"/>
      <c r="I2481" s="9" t="s">
        <v>400</v>
      </c>
      <c r="J2481" s="9" t="s">
        <v>17728</v>
      </c>
      <c r="K2481" s="9" t="s">
        <v>17729</v>
      </c>
      <c r="L2481" s="8" t="s">
        <v>17730</v>
      </c>
      <c r="M2481" s="9" t="s">
        <v>49</v>
      </c>
      <c r="N2481" s="9" t="s">
        <v>17731</v>
      </c>
      <c r="O2481" s="9">
        <f>HYPERLINK("https://www.google.com/maps/search/?api=1&amp;query=38.38641372,-0.75840186", "https://www.google.com/maps/search/?api=1&amp;query=38.38641372,-0.75840186")</f>
      </c>
      <c r="P2481" s="9" t="s">
        <v>3165</v>
      </c>
      <c r="Q2481" s="9" t="s">
        <v>8636</v>
      </c>
    </row>
    <row r="2482" spans="1:17" x14ac:dyDescent="0.25">
      <c r="A2482" s="8" t="s">
        <v>17732</v>
      </c>
      <c r="B2482" s="8" t="s">
        <v>17733</v>
      </c>
      <c r="C2482" s="9" t="s">
        <v>17734</v>
      </c>
      <c r="D2482" s="9" t="s">
        <v>106</v>
      </c>
      <c r="E2482" s="9" t="s">
        <v>17735</v>
      </c>
      <c r="F2482" s="10">
        <v>1.514</v>
      </c>
      <c r="G2482" s="10">
        <v>1.665</v>
      </c>
      <c r="H2482" s="10"/>
      <c r="I2482" s="9" t="s">
        <v>106</v>
      </c>
      <c r="J2482" s="9" t="s">
        <v>17736</v>
      </c>
      <c r="K2482" s="9" t="s">
        <v>17737</v>
      </c>
      <c r="L2482" s="8" t="s">
        <v>17738</v>
      </c>
      <c r="M2482" s="9" t="s">
        <v>49</v>
      </c>
      <c r="N2482" s="9" t="s">
        <v>88</v>
      </c>
      <c r="O2482" s="9">
        <f>HYPERLINK("https://www.google.com/maps/search/?api=1&amp;query=37.92953795,-1.21836792", "https://www.google.com/maps/search/?api=1&amp;query=37.92953795,-1.21836792")</f>
      </c>
      <c r="P2482" s="9" t="s">
        <v>11911</v>
      </c>
      <c r="Q2482" s="9" t="s">
        <v>11895</v>
      </c>
    </row>
    <row r="2483" spans="1:17" x14ac:dyDescent="0.25">
      <c r="A2483" s="8" t="s">
        <v>17739</v>
      </c>
      <c r="B2483" s="8" t="s">
        <v>17740</v>
      </c>
      <c r="C2483" s="9" t="s">
        <v>17741</v>
      </c>
      <c r="D2483" s="9" t="s">
        <v>138</v>
      </c>
      <c r="E2483" s="9" t="s">
        <v>17742</v>
      </c>
      <c r="F2483" s="10">
        <v>1.514</v>
      </c>
      <c r="G2483" s="10">
        <v>1.665</v>
      </c>
      <c r="H2483" s="10"/>
      <c r="I2483" s="9" t="s">
        <v>140</v>
      </c>
      <c r="J2483" s="9" t="s">
        <v>17743</v>
      </c>
      <c r="K2483" s="9" t="s">
        <v>17744</v>
      </c>
      <c r="L2483" s="8" t="s">
        <v>17745</v>
      </c>
      <c r="M2483" s="9" t="s">
        <v>100</v>
      </c>
      <c r="N2483" s="9" t="s">
        <v>211</v>
      </c>
      <c r="O2483" s="9">
        <f>HYPERLINK("https://www.google.com/maps/search/?api=1&amp;query=42.53245569,-8.40568304", "https://www.google.com/maps/search/?api=1&amp;query=42.53245569,-8.40568304")</f>
      </c>
      <c r="P2483" s="9" t="s">
        <v>880</v>
      </c>
      <c r="Q2483" s="9" t="s">
        <v>9899</v>
      </c>
    </row>
    <row r="2484" spans="1:17" x14ac:dyDescent="0.25">
      <c r="A2484" s="8" t="s">
        <v>17746</v>
      </c>
      <c r="B2484" s="8" t="s">
        <v>17747</v>
      </c>
      <c r="C2484" s="9" t="s">
        <v>17748</v>
      </c>
      <c r="D2484" s="9" t="s">
        <v>516</v>
      </c>
      <c r="E2484" s="9" t="s">
        <v>17749</v>
      </c>
      <c r="F2484" s="10">
        <v>1.514</v>
      </c>
      <c r="G2484" s="10">
        <v>1.665</v>
      </c>
      <c r="H2484" s="10"/>
      <c r="I2484" s="9" t="s">
        <v>140</v>
      </c>
      <c r="J2484" s="9" t="s">
        <v>17750</v>
      </c>
      <c r="K2484" s="9" t="s">
        <v>17751</v>
      </c>
      <c r="L2484" s="8" t="s">
        <v>17752</v>
      </c>
      <c r="M2484" s="9" t="s">
        <v>49</v>
      </c>
      <c r="N2484" s="9" t="s">
        <v>211</v>
      </c>
      <c r="O2484" s="9">
        <f>HYPERLINK("https://www.google.com/maps/search/?api=1&amp;query=42.71975546,-7.44594191", "https://www.google.com/maps/search/?api=1&amp;query=42.71975546,-7.44594191")</f>
      </c>
      <c r="P2484" s="9" t="s">
        <v>583</v>
      </c>
      <c r="Q2484" s="9" t="s">
        <v>1131</v>
      </c>
    </row>
    <row r="2485" spans="1:17" x14ac:dyDescent="0.25">
      <c r="A2485" s="8" t="s">
        <v>17753</v>
      </c>
      <c r="B2485" s="8" t="s">
        <v>17754</v>
      </c>
      <c r="C2485" s="9" t="s">
        <v>17755</v>
      </c>
      <c r="D2485" s="9" t="s">
        <v>2050</v>
      </c>
      <c r="E2485" s="9" t="s">
        <v>17334</v>
      </c>
      <c r="F2485" s="10">
        <v>1.514</v>
      </c>
      <c r="G2485" s="10">
        <v>1.665</v>
      </c>
      <c r="H2485" s="10"/>
      <c r="I2485" s="9" t="s">
        <v>140</v>
      </c>
      <c r="J2485" s="9" t="s">
        <v>17756</v>
      </c>
      <c r="K2485" s="9" t="s">
        <v>17757</v>
      </c>
      <c r="L2485" s="8" t="s">
        <v>17337</v>
      </c>
      <c r="M2485" s="9" t="s">
        <v>49</v>
      </c>
      <c r="N2485" s="9" t="s">
        <v>211</v>
      </c>
      <c r="O2485" s="9">
        <f>HYPERLINK("https://www.google.com/maps/search/?api=1&amp;query=42.42962978,-8.09046578", "https://www.google.com/maps/search/?api=1&amp;query=42.42962978,-8.09046578")</f>
      </c>
      <c r="P2485" s="9" t="s">
        <v>2442</v>
      </c>
      <c r="Q2485" s="9" t="s">
        <v>17758</v>
      </c>
    </row>
    <row r="2486" spans="1:17" x14ac:dyDescent="0.25">
      <c r="A2486" s="8" t="s">
        <v>17759</v>
      </c>
      <c r="B2486" s="8" t="s">
        <v>17760</v>
      </c>
      <c r="C2486" s="9" t="s">
        <v>17761</v>
      </c>
      <c r="D2486" s="9" t="s">
        <v>83</v>
      </c>
      <c r="E2486" s="9" t="s">
        <v>17762</v>
      </c>
      <c r="F2486" s="10">
        <v>1.514</v>
      </c>
      <c r="G2486" s="10">
        <v>1.665</v>
      </c>
      <c r="H2486" s="10"/>
      <c r="I2486" s="9" t="s">
        <v>83</v>
      </c>
      <c r="J2486" s="9" t="s">
        <v>17763</v>
      </c>
      <c r="K2486" s="9" t="s">
        <v>17764</v>
      </c>
      <c r="L2486" s="8" t="s">
        <v>17765</v>
      </c>
      <c r="M2486" s="9" t="s">
        <v>49</v>
      </c>
      <c r="N2486" s="9" t="s">
        <v>11722</v>
      </c>
      <c r="O2486" s="9">
        <f>HYPERLINK("https://www.google.com/maps/search/?api=1&amp;query=40.53336038,-3.65250222", "https://www.google.com/maps/search/?api=1&amp;query=40.53336038,-3.65250222")</f>
      </c>
      <c r="P2486" s="9" t="s">
        <v>646</v>
      </c>
      <c r="Q2486" s="9" t="s">
        <v>17766</v>
      </c>
    </row>
    <row r="2487" spans="1:17" x14ac:dyDescent="0.25">
      <c r="A2487" s="8" t="s">
        <v>17767</v>
      </c>
      <c r="B2487" s="8" t="s">
        <v>17768</v>
      </c>
      <c r="C2487" s="9" t="s">
        <v>17769</v>
      </c>
      <c r="D2487" s="9" t="s">
        <v>72</v>
      </c>
      <c r="E2487" s="9" t="s">
        <v>17770</v>
      </c>
      <c r="F2487" s="10">
        <v>1.514</v>
      </c>
      <c r="G2487" s="10">
        <v>1.665</v>
      </c>
      <c r="H2487" s="10"/>
      <c r="I2487" s="9" t="s">
        <v>74</v>
      </c>
      <c r="J2487" s="9" t="s">
        <v>17771</v>
      </c>
      <c r="K2487" s="9" t="s">
        <v>17772</v>
      </c>
      <c r="L2487" s="8" t="s">
        <v>17773</v>
      </c>
      <c r="M2487" s="9" t="s">
        <v>36</v>
      </c>
      <c r="N2487" s="9" t="s">
        <v>17774</v>
      </c>
      <c r="O2487" s="9">
        <f>HYPERLINK("https://www.google.com/maps/search/?api=1&amp;query=42.80308749,-4.73771814", "https://www.google.com/maps/search/?api=1&amp;query=42.80308749,-4.73771814")</f>
      </c>
      <c r="P2487" s="9" t="s">
        <v>880</v>
      </c>
      <c r="Q2487" s="9" t="s">
        <v>15251</v>
      </c>
    </row>
    <row r="2488" spans="1:17" x14ac:dyDescent="0.25">
      <c r="A2488" s="8" t="s">
        <v>17775</v>
      </c>
      <c r="B2488" s="8" t="s">
        <v>17776</v>
      </c>
      <c r="C2488" s="9" t="s">
        <v>17777</v>
      </c>
      <c r="D2488" s="9" t="s">
        <v>444</v>
      </c>
      <c r="E2488" s="9" t="s">
        <v>17778</v>
      </c>
      <c r="F2488" s="10">
        <v>1.514</v>
      </c>
      <c r="G2488" s="10">
        <v>1.665</v>
      </c>
      <c r="H2488" s="10"/>
      <c r="I2488" s="9" t="s">
        <v>444</v>
      </c>
      <c r="J2488" s="9" t="s">
        <v>17779</v>
      </c>
      <c r="K2488" s="9" t="s">
        <v>17780</v>
      </c>
      <c r="L2488" s="8" t="s">
        <v>17781</v>
      </c>
      <c r="M2488" s="9" t="s">
        <v>49</v>
      </c>
      <c r="N2488" s="9" t="s">
        <v>88</v>
      </c>
      <c r="O2488" s="9">
        <f>HYPERLINK("https://www.google.com/maps/search/?api=1&amp;query=43.45686944,-5.0612672", "https://www.google.com/maps/search/?api=1&amp;query=43.45686944,-5.0612672")</f>
      </c>
      <c r="P2488" s="9" t="s">
        <v>12689</v>
      </c>
      <c r="Q2488" s="9" t="s">
        <v>17782</v>
      </c>
    </row>
    <row r="2489" spans="1:17" x14ac:dyDescent="0.25">
      <c r="A2489" s="8" t="s">
        <v>17783</v>
      </c>
      <c r="B2489" s="8" t="s">
        <v>17784</v>
      </c>
      <c r="C2489" s="9" t="s">
        <v>17785</v>
      </c>
      <c r="D2489" s="9" t="s">
        <v>892</v>
      </c>
      <c r="E2489" s="9" t="s">
        <v>17786</v>
      </c>
      <c r="F2489" s="10">
        <v>1.514</v>
      </c>
      <c r="G2489" s="10">
        <v>1.665</v>
      </c>
      <c r="H2489" s="10"/>
      <c r="I2489" s="9" t="s">
        <v>32</v>
      </c>
      <c r="J2489" s="9" t="s">
        <v>17787</v>
      </c>
      <c r="K2489" s="9" t="s">
        <v>17788</v>
      </c>
      <c r="L2489" s="8" t="s">
        <v>17789</v>
      </c>
      <c r="M2489" s="9" t="s">
        <v>36</v>
      </c>
      <c r="N2489" s="9" t="s">
        <v>7163</v>
      </c>
      <c r="O2489" s="9">
        <f>HYPERLINK("https://www.google.com/maps/search/?api=1&amp;query=40.23232106,-6.03856088", "https://www.google.com/maps/search/?api=1&amp;query=40.23232106,-6.03856088")</f>
      </c>
      <c r="P2489" s="9" t="s">
        <v>1373</v>
      </c>
      <c r="Q2489" s="9" t="s">
        <v>1742</v>
      </c>
    </row>
    <row r="2490" spans="1:17" x14ac:dyDescent="0.25">
      <c r="A2490" s="8" t="s">
        <v>17790</v>
      </c>
      <c r="B2490" s="8" t="s">
        <v>17791</v>
      </c>
      <c r="C2490" s="9" t="s">
        <v>17792</v>
      </c>
      <c r="D2490" s="9" t="s">
        <v>409</v>
      </c>
      <c r="E2490" s="9" t="s">
        <v>17793</v>
      </c>
      <c r="F2490" s="10">
        <v>1.514</v>
      </c>
      <c r="G2490" s="10">
        <v>1.665</v>
      </c>
      <c r="H2490" s="10"/>
      <c r="I2490" s="9" t="s">
        <v>292</v>
      </c>
      <c r="J2490" s="9" t="s">
        <v>6021</v>
      </c>
      <c r="K2490" s="9" t="s">
        <v>17794</v>
      </c>
      <c r="L2490" s="8" t="s">
        <v>17795</v>
      </c>
      <c r="M2490" s="9" t="s">
        <v>36</v>
      </c>
      <c r="N2490" s="9" t="s">
        <v>37</v>
      </c>
      <c r="O2490" s="9">
        <f>HYPERLINK("https://www.google.com/maps/search/?api=1&amp;query=41.92530488,-1.25495766", "https://www.google.com/maps/search/?api=1&amp;query=41.92530488,-1.25495766")</f>
      </c>
      <c r="P2490" s="9" t="s">
        <v>1203</v>
      </c>
      <c r="Q2490" s="9" t="s">
        <v>7303</v>
      </c>
    </row>
    <row r="2491" spans="1:17" x14ac:dyDescent="0.25">
      <c r="A2491" s="8" t="s">
        <v>17796</v>
      </c>
      <c r="B2491" s="8" t="s">
        <v>17797</v>
      </c>
      <c r="C2491" s="9" t="s">
        <v>17798</v>
      </c>
      <c r="D2491" s="9" t="s">
        <v>469</v>
      </c>
      <c r="E2491" s="9" t="s">
        <v>469</v>
      </c>
      <c r="F2491" s="10">
        <v>1.514</v>
      </c>
      <c r="G2491" s="10">
        <v>1.665</v>
      </c>
      <c r="H2491" s="10"/>
      <c r="I2491" s="9" t="s">
        <v>74</v>
      </c>
      <c r="J2491" s="9" t="s">
        <v>17799</v>
      </c>
      <c r="K2491" s="9" t="s">
        <v>17800</v>
      </c>
      <c r="L2491" s="8" t="s">
        <v>1732</v>
      </c>
      <c r="M2491" s="9" t="s">
        <v>49</v>
      </c>
      <c r="N2491" s="9" t="s">
        <v>2617</v>
      </c>
      <c r="O2491" s="9">
        <f>HYPERLINK("https://www.google.com/maps/search/?api=1&amp;query=40.94749941,-5.67019526", "https://www.google.com/maps/search/?api=1&amp;query=40.94749941,-5.67019526")</f>
      </c>
      <c r="P2491" s="9" t="s">
        <v>4612</v>
      </c>
      <c r="Q2491" s="9" t="s">
        <v>14292</v>
      </c>
    </row>
    <row r="2492" spans="1:17" x14ac:dyDescent="0.25">
      <c r="A2492" s="8" t="s">
        <v>17801</v>
      </c>
      <c r="B2492" s="8" t="s">
        <v>17802</v>
      </c>
      <c r="C2492" s="9" t="s">
        <v>17803</v>
      </c>
      <c r="D2492" s="9" t="s">
        <v>434</v>
      </c>
      <c r="E2492" s="9" t="s">
        <v>861</v>
      </c>
      <c r="F2492" s="10">
        <v>1.514</v>
      </c>
      <c r="G2492" s="10">
        <v>1.665</v>
      </c>
      <c r="H2492" s="10"/>
      <c r="I2492" s="9" t="s">
        <v>96</v>
      </c>
      <c r="J2492" s="9" t="s">
        <v>17804</v>
      </c>
      <c r="K2492" s="9" t="s">
        <v>17805</v>
      </c>
      <c r="L2492" s="8" t="s">
        <v>864</v>
      </c>
      <c r="M2492" s="9" t="s">
        <v>49</v>
      </c>
      <c r="N2492" s="9" t="s">
        <v>37</v>
      </c>
      <c r="O2492" s="9">
        <f>HYPERLINK("https://www.google.com/maps/search/?api=1&amp;query=41.85007803,3.11747575", "https://www.google.com/maps/search/?api=1&amp;query=41.85007803,3.11747575")</f>
      </c>
      <c r="P2492" s="9" t="s">
        <v>258</v>
      </c>
      <c r="Q2492" s="9" t="s">
        <v>14408</v>
      </c>
    </row>
    <row r="2493" spans="1:17" x14ac:dyDescent="0.25">
      <c r="A2493" s="8" t="s">
        <v>17806</v>
      </c>
      <c r="B2493" s="8" t="s">
        <v>17807</v>
      </c>
      <c r="C2493" s="9" t="s">
        <v>17808</v>
      </c>
      <c r="D2493" s="9" t="s">
        <v>400</v>
      </c>
      <c r="E2493" s="9" t="s">
        <v>2485</v>
      </c>
      <c r="F2493" s="10">
        <v>1.514</v>
      </c>
      <c r="G2493" s="10">
        <v>1.665</v>
      </c>
      <c r="H2493" s="10"/>
      <c r="I2493" s="9" t="s">
        <v>400</v>
      </c>
      <c r="J2493" s="9" t="s">
        <v>17809</v>
      </c>
      <c r="K2493" s="9" t="s">
        <v>17810</v>
      </c>
      <c r="L2493" s="8" t="s">
        <v>721</v>
      </c>
      <c r="M2493" s="9" t="s">
        <v>49</v>
      </c>
      <c r="N2493" s="9" t="s">
        <v>17811</v>
      </c>
      <c r="O2493" s="9">
        <f>HYPERLINK("https://www.google.com/maps/search/?api=1&amp;query=39.42138532,-0.37908807", "https://www.google.com/maps/search/?api=1&amp;query=39.42138532,-0.37908807")</f>
      </c>
      <c r="P2493" s="9" t="s">
        <v>897</v>
      </c>
      <c r="Q2493" s="9" t="s">
        <v>102</v>
      </c>
    </row>
    <row r="2494" spans="1:17" x14ac:dyDescent="0.25">
      <c r="A2494" s="8" t="s">
        <v>17812</v>
      </c>
      <c r="B2494" s="8" t="s">
        <v>17813</v>
      </c>
      <c r="C2494" s="9" t="s">
        <v>17814</v>
      </c>
      <c r="D2494" s="9" t="s">
        <v>398</v>
      </c>
      <c r="E2494" s="9" t="s">
        <v>17815</v>
      </c>
      <c r="F2494" s="10">
        <v>1.514</v>
      </c>
      <c r="G2494" s="10">
        <v>1.665</v>
      </c>
      <c r="H2494" s="10"/>
      <c r="I2494" s="9" t="s">
        <v>400</v>
      </c>
      <c r="J2494" s="9" t="s">
        <v>17816</v>
      </c>
      <c r="K2494" s="9" t="s">
        <v>17817</v>
      </c>
      <c r="L2494" s="8" t="s">
        <v>17818</v>
      </c>
      <c r="M2494" s="9" t="s">
        <v>36</v>
      </c>
      <c r="N2494" s="9" t="s">
        <v>37</v>
      </c>
      <c r="O2494" s="9">
        <f>HYPERLINK("https://www.google.com/maps/search/?api=1&amp;query=38.0292505,-0.73063542", "https://www.google.com/maps/search/?api=1&amp;query=38.0292505,-0.73063542")</f>
      </c>
      <c r="P2494" s="9" t="s">
        <v>6210</v>
      </c>
      <c r="Q2494" s="9" t="s">
        <v>14635</v>
      </c>
    </row>
    <row r="2495" spans="1:17" x14ac:dyDescent="0.25">
      <c r="A2495" s="8" t="s">
        <v>17819</v>
      </c>
      <c r="B2495" s="8" t="s">
        <v>17820</v>
      </c>
      <c r="C2495" s="9" t="s">
        <v>17821</v>
      </c>
      <c r="D2495" s="9" t="s">
        <v>398</v>
      </c>
      <c r="E2495" s="9" t="s">
        <v>2361</v>
      </c>
      <c r="F2495" s="10">
        <v>1.514</v>
      </c>
      <c r="G2495" s="10">
        <v>1.665</v>
      </c>
      <c r="H2495" s="10"/>
      <c r="I2495" s="9" t="s">
        <v>400</v>
      </c>
      <c r="J2495" s="9" t="s">
        <v>17822</v>
      </c>
      <c r="K2495" s="9" t="s">
        <v>17823</v>
      </c>
      <c r="L2495" s="8" t="s">
        <v>17824</v>
      </c>
      <c r="M2495" s="9" t="s">
        <v>49</v>
      </c>
      <c r="N2495" s="9" t="s">
        <v>88</v>
      </c>
      <c r="O2495" s="9">
        <f>HYPERLINK("https://www.google.com/maps/search/?api=1&amp;query=37.99135564,-0.67494878", "https://www.google.com/maps/search/?api=1&amp;query=37.99135564,-0.67494878")</f>
      </c>
      <c r="P2495" s="9" t="s">
        <v>258</v>
      </c>
      <c r="Q2495" s="9" t="s">
        <v>17825</v>
      </c>
    </row>
    <row r="2496" spans="1:17" x14ac:dyDescent="0.25">
      <c r="A2496" s="8" t="s">
        <v>17826</v>
      </c>
      <c r="B2496" s="8" t="s">
        <v>17827</v>
      </c>
      <c r="C2496" s="9" t="s">
        <v>17828</v>
      </c>
      <c r="D2496" s="9" t="s">
        <v>424</v>
      </c>
      <c r="E2496" s="9" t="s">
        <v>424</v>
      </c>
      <c r="F2496" s="10">
        <v>1.514</v>
      </c>
      <c r="G2496" s="10">
        <v>1.665</v>
      </c>
      <c r="H2496" s="10"/>
      <c r="I2496" s="9" t="s">
        <v>96</v>
      </c>
      <c r="J2496" s="9" t="s">
        <v>17829</v>
      </c>
      <c r="K2496" s="9" t="s">
        <v>17830</v>
      </c>
      <c r="L2496" s="8" t="s">
        <v>17831</v>
      </c>
      <c r="M2496" s="9" t="s">
        <v>49</v>
      </c>
      <c r="N2496" s="9" t="s">
        <v>7163</v>
      </c>
      <c r="O2496" s="9">
        <f>HYPERLINK("https://www.google.com/maps/search/?api=1&amp;query=41.625444,0.628889", "https://www.google.com/maps/search/?api=1&amp;query=41.625444,0.628889")</f>
      </c>
      <c r="P2496" s="9" t="s">
        <v>1287</v>
      </c>
      <c r="Q2496" s="9" t="s">
        <v>7794</v>
      </c>
    </row>
    <row r="2497" spans="1:17" x14ac:dyDescent="0.25">
      <c r="A2497" s="8" t="s">
        <v>17832</v>
      </c>
      <c r="B2497" s="8" t="s">
        <v>17833</v>
      </c>
      <c r="C2497" s="9" t="s">
        <v>17834</v>
      </c>
      <c r="D2497" s="9" t="s">
        <v>83</v>
      </c>
      <c r="E2497" s="9" t="s">
        <v>83</v>
      </c>
      <c r="F2497" s="10">
        <v>1.514</v>
      </c>
      <c r="G2497" s="10">
        <v>1.665</v>
      </c>
      <c r="H2497" s="10"/>
      <c r="I2497" s="9" t="s">
        <v>83</v>
      </c>
      <c r="J2497" s="9" t="s">
        <v>17835</v>
      </c>
      <c r="K2497" s="9" t="s">
        <v>17836</v>
      </c>
      <c r="L2497" s="8" t="s">
        <v>4960</v>
      </c>
      <c r="M2497" s="9" t="s">
        <v>49</v>
      </c>
      <c r="N2497" s="9" t="s">
        <v>37</v>
      </c>
      <c r="O2497" s="9">
        <f>HYPERLINK("https://www.google.com/maps/search/?api=1&amp;query=40.37386484,-3.77155496", "https://www.google.com/maps/search/?api=1&amp;query=40.37386484,-3.77155496")</f>
      </c>
      <c r="P2497" s="9" t="s">
        <v>4612</v>
      </c>
      <c r="Q2497" s="9" t="s">
        <v>17837</v>
      </c>
    </row>
    <row r="2498" spans="1:17" x14ac:dyDescent="0.25">
      <c r="A2498" s="8" t="s">
        <v>17838</v>
      </c>
      <c r="B2498" s="8" t="s">
        <v>17839</v>
      </c>
      <c r="C2498" s="9" t="s">
        <v>17840</v>
      </c>
      <c r="D2498" s="9" t="s">
        <v>409</v>
      </c>
      <c r="E2498" s="9" t="s">
        <v>409</v>
      </c>
      <c r="F2498" s="10">
        <v>1.514</v>
      </c>
      <c r="G2498" s="10">
        <v>1.665</v>
      </c>
      <c r="H2498" s="10"/>
      <c r="I2498" s="9" t="s">
        <v>292</v>
      </c>
      <c r="J2498" s="9" t="s">
        <v>17841</v>
      </c>
      <c r="K2498" s="9" t="s">
        <v>17842</v>
      </c>
      <c r="L2498" s="8" t="s">
        <v>17843</v>
      </c>
      <c r="M2498" s="9" t="s">
        <v>49</v>
      </c>
      <c r="N2498" s="9" t="s">
        <v>88</v>
      </c>
      <c r="O2498" s="9">
        <f>HYPERLINK("https://www.google.com/maps/search/?api=1&amp;query=41.64709791,-0.89527314", "https://www.google.com/maps/search/?api=1&amp;query=41.64709791,-0.89527314")</f>
      </c>
      <c r="P2498" s="9" t="s">
        <v>1203</v>
      </c>
      <c r="Q2498" s="9" t="s">
        <v>1131</v>
      </c>
    </row>
    <row r="2499" spans="1:17" x14ac:dyDescent="0.25">
      <c r="A2499" s="8" t="s">
        <v>17844</v>
      </c>
      <c r="B2499" s="8" t="s">
        <v>17845</v>
      </c>
      <c r="C2499" s="9" t="s">
        <v>7298</v>
      </c>
      <c r="D2499" s="9" t="s">
        <v>106</v>
      </c>
      <c r="E2499" s="9" t="s">
        <v>17846</v>
      </c>
      <c r="F2499" s="10">
        <v>1.514</v>
      </c>
      <c r="G2499" s="10">
        <v>1.665</v>
      </c>
      <c r="H2499" s="10"/>
      <c r="I2499" s="9" t="s">
        <v>106</v>
      </c>
      <c r="J2499" s="9" t="s">
        <v>17847</v>
      </c>
      <c r="K2499" s="9" t="s">
        <v>17848</v>
      </c>
      <c r="L2499" s="8" t="s">
        <v>17849</v>
      </c>
      <c r="M2499" s="9" t="s">
        <v>36</v>
      </c>
      <c r="N2499" s="9" t="s">
        <v>8757</v>
      </c>
      <c r="O2499" s="9">
        <f>HYPERLINK("https://www.google.com/maps/search/?api=1&amp;query=37.97737266,-1.05935149", "https://www.google.com/maps/search/?api=1&amp;query=37.97737266,-1.05935149")</f>
      </c>
      <c r="P2499" s="9" t="s">
        <v>16103</v>
      </c>
      <c r="Q2499" s="9" t="s">
        <v>151</v>
      </c>
    </row>
    <row r="2500" spans="1:17" x14ac:dyDescent="0.25">
      <c r="A2500" s="8" t="s">
        <v>17850</v>
      </c>
      <c r="B2500" s="8" t="s">
        <v>17851</v>
      </c>
      <c r="C2500" s="9" t="s">
        <v>17852</v>
      </c>
      <c r="D2500" s="9" t="s">
        <v>1282</v>
      </c>
      <c r="E2500" s="9" t="s">
        <v>17853</v>
      </c>
      <c r="F2500" s="10">
        <v>1.514</v>
      </c>
      <c r="G2500" s="10">
        <v>1.665</v>
      </c>
      <c r="H2500" s="10"/>
      <c r="I2500" s="9" t="s">
        <v>45</v>
      </c>
      <c r="J2500" s="9" t="s">
        <v>17854</v>
      </c>
      <c r="K2500" s="9" t="s">
        <v>17855</v>
      </c>
      <c r="L2500" s="8" t="s">
        <v>17856</v>
      </c>
      <c r="M2500" s="9" t="s">
        <v>49</v>
      </c>
      <c r="N2500" s="9" t="s">
        <v>8548</v>
      </c>
      <c r="O2500" s="9">
        <f>HYPERLINK("https://www.google.com/maps/search/?api=1&amp;query=37.56170396,-3.40055452", "https://www.google.com/maps/search/?api=1&amp;query=37.56170396,-3.40055452")</f>
      </c>
      <c r="P2500" s="9" t="s">
        <v>583</v>
      </c>
      <c r="Q2500" s="9" t="s">
        <v>17857</v>
      </c>
    </row>
    <row r="2501" spans="1:17" x14ac:dyDescent="0.25">
      <c r="A2501" s="8" t="s">
        <v>17858</v>
      </c>
      <c r="B2501" s="8" t="s">
        <v>17859</v>
      </c>
      <c r="C2501" s="9" t="s">
        <v>17860</v>
      </c>
      <c r="D2501" s="9" t="s">
        <v>61</v>
      </c>
      <c r="E2501" s="9" t="s">
        <v>2813</v>
      </c>
      <c r="F2501" s="10">
        <v>1.514</v>
      </c>
      <c r="G2501" s="10">
        <v>1.665</v>
      </c>
      <c r="H2501" s="10"/>
      <c r="I2501" s="9" t="s">
        <v>45</v>
      </c>
      <c r="J2501" s="9" t="s">
        <v>17861</v>
      </c>
      <c r="K2501" s="9" t="s">
        <v>17862</v>
      </c>
      <c r="L2501" s="8" t="s">
        <v>2816</v>
      </c>
      <c r="M2501" s="9" t="s">
        <v>49</v>
      </c>
      <c r="N2501" s="9" t="s">
        <v>37</v>
      </c>
      <c r="O2501" s="9">
        <f>HYPERLINK("https://www.google.com/maps/search/?api=1&amp;query=37.47891366,-5.64758134", "https://www.google.com/maps/search/?api=1&amp;query=37.47891366,-5.64758134")</f>
      </c>
      <c r="P2501" s="9" t="s">
        <v>17863</v>
      </c>
      <c r="Q2501" s="9" t="s">
        <v>1742</v>
      </c>
    </row>
    <row r="2502" spans="1:17" x14ac:dyDescent="0.25">
      <c r="A2502" s="8" t="s">
        <v>17864</v>
      </c>
      <c r="B2502" s="8" t="s">
        <v>17865</v>
      </c>
      <c r="C2502" s="9" t="s">
        <v>17866</v>
      </c>
      <c r="D2502" s="9" t="s">
        <v>892</v>
      </c>
      <c r="E2502" s="9" t="s">
        <v>17867</v>
      </c>
      <c r="F2502" s="10">
        <v>1.514</v>
      </c>
      <c r="G2502" s="10">
        <v>1.665</v>
      </c>
      <c r="H2502" s="10"/>
      <c r="I2502" s="9" t="s">
        <v>32</v>
      </c>
      <c r="J2502" s="9" t="s">
        <v>17868</v>
      </c>
      <c r="K2502" s="9" t="s">
        <v>17869</v>
      </c>
      <c r="L2502" s="8" t="s">
        <v>896</v>
      </c>
      <c r="M2502" s="9" t="s">
        <v>36</v>
      </c>
      <c r="N2502" s="9" t="s">
        <v>37</v>
      </c>
      <c r="O2502" s="9">
        <f>HYPERLINK("https://www.google.com/maps/search/?api=1&amp;query=39.87363946,-5.54992194", "https://www.google.com/maps/search/?api=1&amp;query=39.87363946,-5.54992194")</f>
      </c>
      <c r="P2502" s="9" t="s">
        <v>1479</v>
      </c>
      <c r="Q2502" s="9" t="s">
        <v>4551</v>
      </c>
    </row>
    <row r="2503" spans="1:17" x14ac:dyDescent="0.25">
      <c r="A2503" s="8" t="s">
        <v>17870</v>
      </c>
      <c r="B2503" s="8" t="s">
        <v>17871</v>
      </c>
      <c r="C2503" s="9" t="s">
        <v>17872</v>
      </c>
      <c r="D2503" s="9" t="s">
        <v>226</v>
      </c>
      <c r="E2503" s="9" t="s">
        <v>17873</v>
      </c>
      <c r="F2503" s="10">
        <v>1.514</v>
      </c>
      <c r="G2503" s="10">
        <v>1.665</v>
      </c>
      <c r="H2503" s="10"/>
      <c r="I2503" s="9" t="s">
        <v>168</v>
      </c>
      <c r="J2503" s="9" t="s">
        <v>17874</v>
      </c>
      <c r="K2503" s="9" t="s">
        <v>17875</v>
      </c>
      <c r="L2503" s="8" t="s">
        <v>17876</v>
      </c>
      <c r="M2503" s="9" t="s">
        <v>100</v>
      </c>
      <c r="N2503" s="9" t="s">
        <v>13330</v>
      </c>
      <c r="O2503" s="9">
        <f>HYPERLINK("https://www.google.com/maps/search/?api=1&amp;query=39.43993238,-1.94310947", "https://www.google.com/maps/search/?api=1&amp;query=39.43993238,-1.94310947")</f>
      </c>
      <c r="P2503" s="9" t="s">
        <v>8820</v>
      </c>
      <c r="Q2503" s="9" t="s">
        <v>6500</v>
      </c>
    </row>
    <row r="2504" spans="1:17" x14ac:dyDescent="0.25">
      <c r="A2504" s="8" t="s">
        <v>17877</v>
      </c>
      <c r="B2504" s="8" t="s">
        <v>17878</v>
      </c>
      <c r="C2504" s="9" t="s">
        <v>17879</v>
      </c>
      <c r="D2504" s="9" t="s">
        <v>1282</v>
      </c>
      <c r="E2504" s="9" t="s">
        <v>17880</v>
      </c>
      <c r="F2504" s="10">
        <v>1.514</v>
      </c>
      <c r="G2504" s="10">
        <v>1.665</v>
      </c>
      <c r="H2504" s="10"/>
      <c r="I2504" s="9" t="s">
        <v>45</v>
      </c>
      <c r="J2504" s="9" t="s">
        <v>17881</v>
      </c>
      <c r="K2504" s="9" t="s">
        <v>17882</v>
      </c>
      <c r="L2504" s="8" t="s">
        <v>17883</v>
      </c>
      <c r="M2504" s="9" t="s">
        <v>49</v>
      </c>
      <c r="N2504" s="9" t="s">
        <v>7632</v>
      </c>
      <c r="O2504" s="9">
        <f>HYPERLINK("https://www.google.com/maps/search/?api=1&amp;query=37.75264784,-2.55141856", "https://www.google.com/maps/search/?api=1&amp;query=37.75264784,-2.55141856")</f>
      </c>
      <c r="P2504" s="9" t="s">
        <v>2786</v>
      </c>
      <c r="Q2504" s="9" t="s">
        <v>1982</v>
      </c>
    </row>
    <row r="2505" spans="1:17" x14ac:dyDescent="0.25">
      <c r="A2505" s="8" t="s">
        <v>17884</v>
      </c>
      <c r="B2505" s="8" t="s">
        <v>17885</v>
      </c>
      <c r="C2505" s="9" t="s">
        <v>17886</v>
      </c>
      <c r="D2505" s="9" t="s">
        <v>398</v>
      </c>
      <c r="E2505" s="9" t="s">
        <v>827</v>
      </c>
      <c r="F2505" s="10">
        <v>1.514</v>
      </c>
      <c r="G2505" s="10">
        <v>1.665</v>
      </c>
      <c r="H2505" s="10"/>
      <c r="I2505" s="9" t="s">
        <v>400</v>
      </c>
      <c r="J2505" s="9" t="s">
        <v>17887</v>
      </c>
      <c r="K2505" s="9" t="s">
        <v>17888</v>
      </c>
      <c r="L2505" s="8" t="s">
        <v>13770</v>
      </c>
      <c r="M2505" s="9" t="s">
        <v>49</v>
      </c>
      <c r="N2505" s="9" t="s">
        <v>88</v>
      </c>
      <c r="O2505" s="9">
        <f>HYPERLINK("https://www.google.com/maps/search/?api=1&amp;query=38.24479291,-0.6445734", "https://www.google.com/maps/search/?api=1&amp;query=38.24479291,-0.6445734")</f>
      </c>
      <c r="P2505" s="9" t="s">
        <v>3400</v>
      </c>
      <c r="Q2505" s="9" t="s">
        <v>1131</v>
      </c>
    </row>
    <row r="2506" spans="1:17" x14ac:dyDescent="0.25">
      <c r="A2506" s="8" t="s">
        <v>17889</v>
      </c>
      <c r="B2506" s="8" t="s">
        <v>17890</v>
      </c>
      <c r="C2506" s="9" t="s">
        <v>17891</v>
      </c>
      <c r="D2506" s="9" t="s">
        <v>128</v>
      </c>
      <c r="E2506" s="9" t="s">
        <v>17892</v>
      </c>
      <c r="F2506" s="10">
        <v>1.514</v>
      </c>
      <c r="G2506" s="10">
        <v>1.665</v>
      </c>
      <c r="H2506" s="10"/>
      <c r="I2506" s="9" t="s">
        <v>45</v>
      </c>
      <c r="J2506" s="9" t="s">
        <v>17893</v>
      </c>
      <c r="K2506" s="9" t="s">
        <v>17894</v>
      </c>
      <c r="L2506" s="8" t="s">
        <v>17895</v>
      </c>
      <c r="M2506" s="9" t="s">
        <v>49</v>
      </c>
      <c r="N2506" s="9" t="s">
        <v>9790</v>
      </c>
      <c r="O2506" s="9">
        <f>HYPERLINK("https://www.google.com/maps/search/?api=1&amp;query=36.47358403,-6.20339596", "https://www.google.com/maps/search/?api=1&amp;query=36.47358403,-6.20339596")</f>
      </c>
      <c r="P2506" s="9" t="s">
        <v>321</v>
      </c>
      <c r="Q2506" s="9" t="s">
        <v>9270</v>
      </c>
    </row>
    <row r="2507" spans="1:17" x14ac:dyDescent="0.25">
      <c r="A2507" s="8" t="s">
        <v>17896</v>
      </c>
      <c r="B2507" s="8" t="s">
        <v>17897</v>
      </c>
      <c r="C2507" s="9" t="s">
        <v>17898</v>
      </c>
      <c r="D2507" s="9" t="s">
        <v>177</v>
      </c>
      <c r="E2507" s="9" t="s">
        <v>177</v>
      </c>
      <c r="F2507" s="10">
        <v>1.514</v>
      </c>
      <c r="G2507" s="10">
        <v>1.665</v>
      </c>
      <c r="H2507" s="10"/>
      <c r="I2507" s="9" t="s">
        <v>74</v>
      </c>
      <c r="J2507" s="9" t="s">
        <v>17899</v>
      </c>
      <c r="K2507" s="9" t="s">
        <v>17900</v>
      </c>
      <c r="L2507" s="8" t="s">
        <v>13143</v>
      </c>
      <c r="M2507" s="9" t="s">
        <v>36</v>
      </c>
      <c r="N2507" s="9" t="s">
        <v>211</v>
      </c>
      <c r="O2507" s="9">
        <f>HYPERLINK("https://www.google.com/maps/search/?api=1&amp;query=41.63715308,-4.72191377", "https://www.google.com/maps/search/?api=1&amp;query=41.63715308,-4.72191377")</f>
      </c>
      <c r="P2507" s="9" t="s">
        <v>1250</v>
      </c>
      <c r="Q2507" s="9" t="s">
        <v>151</v>
      </c>
    </row>
    <row r="2508" spans="1:17" x14ac:dyDescent="0.25">
      <c r="A2508" s="8" t="s">
        <v>17901</v>
      </c>
      <c r="B2508" s="8" t="s">
        <v>17902</v>
      </c>
      <c r="C2508" s="9" t="s">
        <v>17903</v>
      </c>
      <c r="D2508" s="9" t="s">
        <v>344</v>
      </c>
      <c r="E2508" s="9" t="s">
        <v>17904</v>
      </c>
      <c r="F2508" s="10">
        <v>1.514</v>
      </c>
      <c r="G2508" s="10">
        <v>1.665</v>
      </c>
      <c r="H2508" s="10"/>
      <c r="I2508" s="9" t="s">
        <v>140</v>
      </c>
      <c r="J2508" s="9" t="s">
        <v>17905</v>
      </c>
      <c r="K2508" s="9" t="s">
        <v>17906</v>
      </c>
      <c r="L2508" s="8" t="s">
        <v>2575</v>
      </c>
      <c r="M2508" s="9" t="s">
        <v>49</v>
      </c>
      <c r="N2508" s="9" t="s">
        <v>8843</v>
      </c>
      <c r="O2508" s="9">
        <f>HYPERLINK("https://www.google.com/maps/search/?api=1&amp;query=42.89883318,-8.52766123", "https://www.google.com/maps/search/?api=1&amp;query=42.89883318,-8.52766123")</f>
      </c>
      <c r="P2508" s="9" t="s">
        <v>2213</v>
      </c>
      <c r="Q2508" s="9" t="s">
        <v>6036</v>
      </c>
    </row>
    <row r="2509" spans="1:17" x14ac:dyDescent="0.25">
      <c r="A2509" s="8" t="s">
        <v>17907</v>
      </c>
      <c r="B2509" s="8" t="s">
        <v>17908</v>
      </c>
      <c r="C2509" s="9" t="s">
        <v>17909</v>
      </c>
      <c r="D2509" s="9" t="s">
        <v>444</v>
      </c>
      <c r="E2509" s="9" t="s">
        <v>844</v>
      </c>
      <c r="F2509" s="10">
        <v>1.514</v>
      </c>
      <c r="G2509" s="10">
        <v>1.665</v>
      </c>
      <c r="H2509" s="10"/>
      <c r="I2509" s="9" t="s">
        <v>444</v>
      </c>
      <c r="J2509" s="9" t="s">
        <v>17910</v>
      </c>
      <c r="K2509" s="9" t="s">
        <v>17911</v>
      </c>
      <c r="L2509" s="8" t="s">
        <v>17912</v>
      </c>
      <c r="M2509" s="9" t="s">
        <v>49</v>
      </c>
      <c r="N2509" s="9" t="s">
        <v>66</v>
      </c>
      <c r="O2509" s="9">
        <f>HYPERLINK("https://www.google.com/maps/search/?api=1&amp;query=43.52527079,-5.65596573", "https://www.google.com/maps/search/?api=1&amp;query=43.52527079,-5.65596573")</f>
      </c>
      <c r="P2509" s="9" t="s">
        <v>17913</v>
      </c>
      <c r="Q2509" s="9" t="s">
        <v>3885</v>
      </c>
    </row>
    <row r="2510" spans="1:17" x14ac:dyDescent="0.25">
      <c r="A2510" s="8" t="s">
        <v>17914</v>
      </c>
      <c r="B2510" s="8" t="s">
        <v>17915</v>
      </c>
      <c r="C2510" s="9" t="s">
        <v>17916</v>
      </c>
      <c r="D2510" s="9" t="s">
        <v>83</v>
      </c>
      <c r="E2510" s="9" t="s">
        <v>1538</v>
      </c>
      <c r="F2510" s="10">
        <v>1.514</v>
      </c>
      <c r="G2510" s="10">
        <v>1.665</v>
      </c>
      <c r="H2510" s="10"/>
      <c r="I2510" s="9" t="s">
        <v>83</v>
      </c>
      <c r="J2510" s="9" t="s">
        <v>17917</v>
      </c>
      <c r="K2510" s="9" t="s">
        <v>17918</v>
      </c>
      <c r="L2510" s="8" t="s">
        <v>17919</v>
      </c>
      <c r="M2510" s="9" t="s">
        <v>49</v>
      </c>
      <c r="N2510" s="9" t="s">
        <v>37</v>
      </c>
      <c r="O2510" s="9">
        <f>HYPERLINK("https://www.google.com/maps/search/?api=1&amp;query=40.45069416,-3.88157185", "https://www.google.com/maps/search/?api=1&amp;query=40.45069416,-3.88157185")</f>
      </c>
      <c r="P2510" s="9" t="s">
        <v>321</v>
      </c>
      <c r="Q2510" s="9" t="s">
        <v>17920</v>
      </c>
    </row>
    <row r="2511" spans="1:17" x14ac:dyDescent="0.25">
      <c r="A2511" s="8" t="s">
        <v>17921</v>
      </c>
      <c r="B2511" s="8" t="s">
        <v>17922</v>
      </c>
      <c r="C2511" s="9" t="s">
        <v>17923</v>
      </c>
      <c r="D2511" s="9" t="s">
        <v>2050</v>
      </c>
      <c r="E2511" s="9" t="s">
        <v>3245</v>
      </c>
      <c r="F2511" s="10">
        <v>1.514</v>
      </c>
      <c r="G2511" s="10">
        <v>1.665</v>
      </c>
      <c r="H2511" s="10"/>
      <c r="I2511" s="9" t="s">
        <v>140</v>
      </c>
      <c r="J2511" s="9" t="s">
        <v>17924</v>
      </c>
      <c r="K2511" s="9" t="s">
        <v>17925</v>
      </c>
      <c r="L2511" s="8" t="s">
        <v>15981</v>
      </c>
      <c r="M2511" s="9" t="s">
        <v>100</v>
      </c>
      <c r="N2511" s="9" t="s">
        <v>3234</v>
      </c>
      <c r="O2511" s="9">
        <f>HYPERLINK("https://www.google.com/maps/search/?api=1&amp;query=42.33203123,-7.86533434", "https://www.google.com/maps/search/?api=1&amp;query=42.33203123,-7.86533434")</f>
      </c>
      <c r="P2511" s="9" t="s">
        <v>1439</v>
      </c>
      <c r="Q2511" s="9" t="s">
        <v>1204</v>
      </c>
    </row>
    <row r="2512" spans="1:17" x14ac:dyDescent="0.25">
      <c r="A2512" s="8" t="s">
        <v>17926</v>
      </c>
      <c r="B2512" s="8" t="s">
        <v>17927</v>
      </c>
      <c r="C2512" s="9" t="s">
        <v>17928</v>
      </c>
      <c r="D2512" s="9" t="s">
        <v>187</v>
      </c>
      <c r="E2512" s="9" t="s">
        <v>17929</v>
      </c>
      <c r="F2512" s="10">
        <v>1.514</v>
      </c>
      <c r="G2512" s="10">
        <v>1.665</v>
      </c>
      <c r="H2512" s="10"/>
      <c r="I2512" s="9" t="s">
        <v>74</v>
      </c>
      <c r="J2512" s="9" t="s">
        <v>17930</v>
      </c>
      <c r="K2512" s="9" t="s">
        <v>17931</v>
      </c>
      <c r="L2512" s="8" t="s">
        <v>17932</v>
      </c>
      <c r="M2512" s="9" t="s">
        <v>49</v>
      </c>
      <c r="N2512" s="9" t="s">
        <v>17933</v>
      </c>
      <c r="O2512" s="9">
        <f>HYPERLINK("https://www.google.com/maps/search/?api=1&amp;query=42.23496157,-5.66555412", "https://www.google.com/maps/search/?api=1&amp;query=42.23496157,-5.66555412")</f>
      </c>
      <c r="P2512" s="9" t="s">
        <v>8200</v>
      </c>
      <c r="Q2512" s="9" t="s">
        <v>1131</v>
      </c>
    </row>
    <row r="2513" spans="1:17" x14ac:dyDescent="0.25">
      <c r="A2513" s="8" t="s">
        <v>17934</v>
      </c>
      <c r="B2513" s="8" t="s">
        <v>17935</v>
      </c>
      <c r="C2513" s="9" t="s">
        <v>17936</v>
      </c>
      <c r="D2513" s="9" t="s">
        <v>83</v>
      </c>
      <c r="E2513" s="9" t="s">
        <v>17937</v>
      </c>
      <c r="F2513" s="10">
        <v>1.514</v>
      </c>
      <c r="G2513" s="10">
        <v>1.665</v>
      </c>
      <c r="H2513" s="10"/>
      <c r="I2513" s="9" t="s">
        <v>83</v>
      </c>
      <c r="J2513" s="9" t="s">
        <v>17938</v>
      </c>
      <c r="K2513" s="9" t="s">
        <v>17939</v>
      </c>
      <c r="L2513" s="8" t="s">
        <v>3770</v>
      </c>
      <c r="M2513" s="9" t="s">
        <v>49</v>
      </c>
      <c r="N2513" s="9" t="s">
        <v>37</v>
      </c>
      <c r="O2513" s="9">
        <f>HYPERLINK("https://www.google.com/maps/search/?api=1&amp;query=40.34668916,-3.45081144", "https://www.google.com/maps/search/?api=1&amp;query=40.34668916,-3.45081144")</f>
      </c>
      <c r="P2513" s="9" t="s">
        <v>1250</v>
      </c>
      <c r="Q2513" s="9" t="s">
        <v>3744</v>
      </c>
    </row>
    <row r="2514" spans="1:17" x14ac:dyDescent="0.25">
      <c r="A2514" s="8" t="s">
        <v>17940</v>
      </c>
      <c r="B2514" s="8" t="s">
        <v>17941</v>
      </c>
      <c r="C2514" s="9" t="s">
        <v>17942</v>
      </c>
      <c r="D2514" s="9" t="s">
        <v>155</v>
      </c>
      <c r="E2514" s="9" t="s">
        <v>17943</v>
      </c>
      <c r="F2514" s="10">
        <v>1.514</v>
      </c>
      <c r="G2514" s="10">
        <v>1.665</v>
      </c>
      <c r="H2514" s="10"/>
      <c r="I2514" s="9" t="s">
        <v>157</v>
      </c>
      <c r="J2514" s="9" t="s">
        <v>17944</v>
      </c>
      <c r="K2514" s="9" t="s">
        <v>17945</v>
      </c>
      <c r="L2514" s="8" t="s">
        <v>17946</v>
      </c>
      <c r="M2514" s="9" t="s">
        <v>49</v>
      </c>
      <c r="N2514" s="9" t="s">
        <v>37</v>
      </c>
      <c r="O2514" s="9">
        <f>HYPERLINK("https://www.google.com/maps/search/?api=1&amp;query=39.53552553,2.7350157", "https://www.google.com/maps/search/?api=1&amp;query=39.53552553,2.7350157")</f>
      </c>
      <c r="P2514" s="9" t="s">
        <v>1524</v>
      </c>
      <c r="Q2514" s="9" t="s">
        <v>17947</v>
      </c>
    </row>
    <row r="2515" spans="1:17" x14ac:dyDescent="0.25">
      <c r="A2515" s="8" t="s">
        <v>17948</v>
      </c>
      <c r="B2515" s="8" t="s">
        <v>17949</v>
      </c>
      <c r="C2515" s="9" t="s">
        <v>17950</v>
      </c>
      <c r="D2515" s="9" t="s">
        <v>516</v>
      </c>
      <c r="E2515" s="9" t="s">
        <v>17951</v>
      </c>
      <c r="F2515" s="10">
        <v>1.514</v>
      </c>
      <c r="G2515" s="10">
        <v>1.665</v>
      </c>
      <c r="H2515" s="10"/>
      <c r="I2515" s="9" t="s">
        <v>140</v>
      </c>
      <c r="J2515" s="9" t="s">
        <v>17952</v>
      </c>
      <c r="K2515" s="9" t="s">
        <v>17953</v>
      </c>
      <c r="L2515" s="8" t="s">
        <v>17954</v>
      </c>
      <c r="M2515" s="9" t="s">
        <v>49</v>
      </c>
      <c r="N2515" s="9" t="s">
        <v>211</v>
      </c>
      <c r="O2515" s="9">
        <f>HYPERLINK("https://www.google.com/maps/search/?api=1&amp;query=43.3513809,-7.19166522", "https://www.google.com/maps/search/?api=1&amp;query=43.3513809,-7.19166522")</f>
      </c>
      <c r="P2515" s="9" t="s">
        <v>646</v>
      </c>
      <c r="Q2515" s="9" t="s">
        <v>17955</v>
      </c>
    </row>
    <row r="2516" spans="1:17" x14ac:dyDescent="0.25">
      <c r="A2516" s="8" t="s">
        <v>17956</v>
      </c>
      <c r="B2516" s="8" t="s">
        <v>17957</v>
      </c>
      <c r="C2516" s="9" t="s">
        <v>17958</v>
      </c>
      <c r="D2516" s="9" t="s">
        <v>155</v>
      </c>
      <c r="E2516" s="9" t="s">
        <v>2394</v>
      </c>
      <c r="F2516" s="10">
        <v>1.514</v>
      </c>
      <c r="G2516" s="10">
        <v>1.665</v>
      </c>
      <c r="H2516" s="10"/>
      <c r="I2516" s="9" t="s">
        <v>157</v>
      </c>
      <c r="J2516" s="9" t="s">
        <v>17959</v>
      </c>
      <c r="K2516" s="9" t="s">
        <v>17960</v>
      </c>
      <c r="L2516" s="8" t="s">
        <v>17961</v>
      </c>
      <c r="M2516" s="9" t="s">
        <v>49</v>
      </c>
      <c r="N2516" s="9" t="s">
        <v>37</v>
      </c>
      <c r="O2516" s="9">
        <f>HYPERLINK("https://www.google.com/maps/search/?api=1&amp;query=39.57174175,2.6361626", "https://www.google.com/maps/search/?api=1&amp;query=39.57174175,2.6361626")</f>
      </c>
      <c r="P2516" s="9" t="s">
        <v>240</v>
      </c>
      <c r="Q2516" s="9" t="s">
        <v>1131</v>
      </c>
    </row>
    <row r="2517" spans="1:17" x14ac:dyDescent="0.25">
      <c r="A2517" s="8" t="s">
        <v>17962</v>
      </c>
      <c r="B2517" s="8" t="s">
        <v>17963</v>
      </c>
      <c r="C2517" s="9" t="s">
        <v>17964</v>
      </c>
      <c r="D2517" s="9" t="s">
        <v>128</v>
      </c>
      <c r="E2517" s="9" t="s">
        <v>3834</v>
      </c>
      <c r="F2517" s="10">
        <v>1.514</v>
      </c>
      <c r="G2517" s="10">
        <v>1.665</v>
      </c>
      <c r="H2517" s="10"/>
      <c r="I2517" s="9" t="s">
        <v>45</v>
      </c>
      <c r="J2517" s="9" t="s">
        <v>17965</v>
      </c>
      <c r="K2517" s="9" t="s">
        <v>17966</v>
      </c>
      <c r="L2517" s="8" t="s">
        <v>3837</v>
      </c>
      <c r="M2517" s="9" t="s">
        <v>49</v>
      </c>
      <c r="N2517" s="9" t="s">
        <v>357</v>
      </c>
      <c r="O2517" s="9">
        <f>HYPERLINK("https://www.google.com/maps/search/?api=1&amp;query=36.41834691,-6.13957816", "https://www.google.com/maps/search/?api=1&amp;query=36.41834691,-6.13957816")</f>
      </c>
      <c r="P2517" s="9" t="s">
        <v>9840</v>
      </c>
      <c r="Q2517" s="9" t="s">
        <v>8298</v>
      </c>
    </row>
    <row r="2518" spans="1:17" x14ac:dyDescent="0.25">
      <c r="A2518" s="8" t="s">
        <v>17967</v>
      </c>
      <c r="B2518" s="8" t="s">
        <v>17968</v>
      </c>
      <c r="C2518" s="9" t="s">
        <v>17969</v>
      </c>
      <c r="D2518" s="9" t="s">
        <v>30</v>
      </c>
      <c r="E2518" s="9" t="s">
        <v>17970</v>
      </c>
      <c r="F2518" s="10">
        <v>1.514</v>
      </c>
      <c r="G2518" s="10">
        <v>1.665</v>
      </c>
      <c r="H2518" s="10"/>
      <c r="I2518" s="9" t="s">
        <v>32</v>
      </c>
      <c r="J2518" s="9" t="s">
        <v>17971</v>
      </c>
      <c r="K2518" s="9" t="s">
        <v>17972</v>
      </c>
      <c r="L2518" s="8" t="s">
        <v>17973</v>
      </c>
      <c r="M2518" s="9" t="s">
        <v>49</v>
      </c>
      <c r="N2518" s="9" t="s">
        <v>37</v>
      </c>
      <c r="O2518" s="9">
        <f>HYPERLINK("https://www.google.com/maps/search/?api=1&amp;query=38.5677287,-6.35072149", "https://www.google.com/maps/search/?api=1&amp;query=38.5677287,-6.35072149")</f>
      </c>
      <c r="P2518" s="9" t="s">
        <v>1645</v>
      </c>
      <c r="Q2518" s="9" t="s">
        <v>17974</v>
      </c>
    </row>
    <row r="2519" spans="1:17" x14ac:dyDescent="0.25">
      <c r="A2519" s="8" t="s">
        <v>17975</v>
      </c>
      <c r="B2519" s="8" t="s">
        <v>17976</v>
      </c>
      <c r="C2519" s="9" t="s">
        <v>17977</v>
      </c>
      <c r="D2519" s="9" t="s">
        <v>217</v>
      </c>
      <c r="E2519" s="9" t="s">
        <v>271</v>
      </c>
      <c r="F2519" s="10">
        <v>1.514</v>
      </c>
      <c r="G2519" s="10">
        <v>1.665</v>
      </c>
      <c r="H2519" s="10"/>
      <c r="I2519" s="9" t="s">
        <v>45</v>
      </c>
      <c r="J2519" s="9" t="s">
        <v>17978</v>
      </c>
      <c r="K2519" s="9" t="s">
        <v>17979</v>
      </c>
      <c r="L2519" s="8" t="s">
        <v>1017</v>
      </c>
      <c r="M2519" s="9" t="s">
        <v>49</v>
      </c>
      <c r="N2519" s="9" t="s">
        <v>88</v>
      </c>
      <c r="O2519" s="9">
        <f>HYPERLINK("https://www.google.com/maps/search/?api=1&amp;query=36.73840241,-4.4245776", "https://www.google.com/maps/search/?api=1&amp;query=36.73840241,-4.4245776")</f>
      </c>
      <c r="P2519" s="9" t="s">
        <v>521</v>
      </c>
      <c r="Q2519" s="9" t="s">
        <v>17980</v>
      </c>
    </row>
    <row r="2520" spans="1:17" x14ac:dyDescent="0.25">
      <c r="A2520" s="8" t="s">
        <v>17981</v>
      </c>
      <c r="B2520" s="8" t="s">
        <v>17982</v>
      </c>
      <c r="C2520" s="9" t="s">
        <v>17983</v>
      </c>
      <c r="D2520" s="9" t="s">
        <v>658</v>
      </c>
      <c r="E2520" s="9" t="s">
        <v>17984</v>
      </c>
      <c r="F2520" s="10">
        <v>1.514</v>
      </c>
      <c r="G2520" s="10">
        <v>1.665</v>
      </c>
      <c r="H2520" s="10"/>
      <c r="I2520" s="9" t="s">
        <v>45</v>
      </c>
      <c r="J2520" s="9" t="s">
        <v>17985</v>
      </c>
      <c r="K2520" s="9" t="s">
        <v>17986</v>
      </c>
      <c r="L2520" s="8" t="s">
        <v>17987</v>
      </c>
      <c r="M2520" s="9" t="s">
        <v>49</v>
      </c>
      <c r="N2520" s="9" t="s">
        <v>7163</v>
      </c>
      <c r="O2520" s="9">
        <f>HYPERLINK("https://www.google.com/maps/search/?api=1&amp;query=37.70803354,-2.16831691", "https://www.google.com/maps/search/?api=1&amp;query=37.70803354,-2.16831691")</f>
      </c>
      <c r="P2520" s="9" t="s">
        <v>296</v>
      </c>
      <c r="Q2520" s="9" t="s">
        <v>17988</v>
      </c>
    </row>
    <row r="2521" spans="1:17" x14ac:dyDescent="0.25">
      <c r="A2521" s="8" t="s">
        <v>17989</v>
      </c>
      <c r="B2521" s="8" t="s">
        <v>17990</v>
      </c>
      <c r="C2521" s="9" t="s">
        <v>17991</v>
      </c>
      <c r="D2521" s="9" t="s">
        <v>83</v>
      </c>
      <c r="E2521" s="9" t="s">
        <v>3487</v>
      </c>
      <c r="F2521" s="10">
        <v>1.514</v>
      </c>
      <c r="G2521" s="10">
        <v>1.665</v>
      </c>
      <c r="H2521" s="10"/>
      <c r="I2521" s="9" t="s">
        <v>83</v>
      </c>
      <c r="J2521" s="9" t="s">
        <v>17992</v>
      </c>
      <c r="K2521" s="9" t="s">
        <v>17993</v>
      </c>
      <c r="L2521" s="8" t="s">
        <v>17994</v>
      </c>
      <c r="M2521" s="9" t="s">
        <v>49</v>
      </c>
      <c r="N2521" s="9" t="s">
        <v>17995</v>
      </c>
      <c r="O2521" s="9">
        <f>HYPERLINK("https://www.google.com/maps/search/?api=1&amp;query=40.35724794,-3.82513346", "https://www.google.com/maps/search/?api=1&amp;query=40.35724794,-3.82513346")</f>
      </c>
      <c r="P2521" s="9" t="s">
        <v>38</v>
      </c>
      <c r="Q2521" s="9" t="s">
        <v>17996</v>
      </c>
    </row>
    <row r="2522" spans="1:17" x14ac:dyDescent="0.25">
      <c r="A2522" s="8" t="s">
        <v>17997</v>
      </c>
      <c r="B2522" s="8" t="s">
        <v>17998</v>
      </c>
      <c r="C2522" s="9" t="s">
        <v>17999</v>
      </c>
      <c r="D2522" s="9" t="s">
        <v>444</v>
      </c>
      <c r="E2522" s="9" t="s">
        <v>18000</v>
      </c>
      <c r="F2522" s="10">
        <v>1.514</v>
      </c>
      <c r="G2522" s="10">
        <v>1.665</v>
      </c>
      <c r="H2522" s="10"/>
      <c r="I2522" s="9" t="s">
        <v>444</v>
      </c>
      <c r="J2522" s="9" t="s">
        <v>18001</v>
      </c>
      <c r="K2522" s="9" t="s">
        <v>18002</v>
      </c>
      <c r="L2522" s="8" t="s">
        <v>10133</v>
      </c>
      <c r="M2522" s="9" t="s">
        <v>49</v>
      </c>
      <c r="N2522" s="9" t="s">
        <v>88</v>
      </c>
      <c r="O2522" s="9">
        <f>HYPERLINK("https://www.google.com/maps/search/?api=1&amp;query=43.3055066,-5.68819565", "https://www.google.com/maps/search/?api=1&amp;query=43.3055066,-5.68819565")</f>
      </c>
      <c r="P2522" s="9" t="s">
        <v>1637</v>
      </c>
      <c r="Q2522" s="9" t="s">
        <v>1424</v>
      </c>
    </row>
    <row r="2523" spans="1:17" x14ac:dyDescent="0.25">
      <c r="A2523" s="8" t="s">
        <v>18003</v>
      </c>
      <c r="B2523" s="8" t="s">
        <v>18004</v>
      </c>
      <c r="C2523" s="9" t="s">
        <v>18005</v>
      </c>
      <c r="D2523" s="9" t="s">
        <v>2050</v>
      </c>
      <c r="E2523" s="9" t="s">
        <v>18006</v>
      </c>
      <c r="F2523" s="10">
        <v>1.514</v>
      </c>
      <c r="G2523" s="10">
        <v>1.665</v>
      </c>
      <c r="H2523" s="10"/>
      <c r="I2523" s="9" t="s">
        <v>140</v>
      </c>
      <c r="J2523" s="9" t="s">
        <v>18007</v>
      </c>
      <c r="K2523" s="9" t="s">
        <v>18008</v>
      </c>
      <c r="L2523" s="8" t="s">
        <v>18009</v>
      </c>
      <c r="M2523" s="9" t="s">
        <v>36</v>
      </c>
      <c r="N2523" s="9" t="s">
        <v>211</v>
      </c>
      <c r="O2523" s="9">
        <f>HYPERLINK("https://www.google.com/maps/search/?api=1&amp;query=42.37120711,-7.42397777", "https://www.google.com/maps/search/?api=1&amp;query=42.37120711,-7.42397777")</f>
      </c>
      <c r="P2523" s="9" t="s">
        <v>8364</v>
      </c>
      <c r="Q2523" s="9" t="s">
        <v>1742</v>
      </c>
    </row>
    <row r="2524" spans="1:17" x14ac:dyDescent="0.25">
      <c r="A2524" s="8" t="s">
        <v>12814</v>
      </c>
      <c r="B2524" s="8" t="s">
        <v>18010</v>
      </c>
      <c r="C2524" s="9" t="s">
        <v>18011</v>
      </c>
      <c r="D2524" s="9" t="s">
        <v>424</v>
      </c>
      <c r="E2524" s="9" t="s">
        <v>18012</v>
      </c>
      <c r="F2524" s="10">
        <v>1.514</v>
      </c>
      <c r="G2524" s="10">
        <v>1.665</v>
      </c>
      <c r="H2524" s="10"/>
      <c r="I2524" s="9" t="s">
        <v>96</v>
      </c>
      <c r="J2524" s="9" t="s">
        <v>18013</v>
      </c>
      <c r="K2524" s="9" t="s">
        <v>18014</v>
      </c>
      <c r="L2524" s="8" t="s">
        <v>18015</v>
      </c>
      <c r="M2524" s="9" t="s">
        <v>49</v>
      </c>
      <c r="N2524" s="9" t="s">
        <v>37</v>
      </c>
      <c r="O2524" s="9">
        <f>HYPERLINK("https://www.google.com/maps/search/?api=1&amp;query=41.65260657,0.39296131", "https://www.google.com/maps/search/?api=1&amp;query=41.65260657,0.39296131")</f>
      </c>
      <c r="P2524" s="9" t="s">
        <v>1927</v>
      </c>
      <c r="Q2524" s="9" t="s">
        <v>17306</v>
      </c>
    </row>
    <row r="2525" spans="1:17" x14ac:dyDescent="0.25">
      <c r="A2525" s="8" t="s">
        <v>18016</v>
      </c>
      <c r="B2525" s="8" t="s">
        <v>18017</v>
      </c>
      <c r="C2525" s="9" t="s">
        <v>18018</v>
      </c>
      <c r="D2525" s="9" t="s">
        <v>488</v>
      </c>
      <c r="E2525" s="9" t="s">
        <v>11087</v>
      </c>
      <c r="F2525" s="10">
        <v>1.514</v>
      </c>
      <c r="G2525" s="10">
        <v>1.665</v>
      </c>
      <c r="H2525" s="10"/>
      <c r="I2525" s="9" t="s">
        <v>45</v>
      </c>
      <c r="J2525" s="9" t="s">
        <v>18019</v>
      </c>
      <c r="K2525" s="9" t="s">
        <v>18020</v>
      </c>
      <c r="L2525" s="8" t="s">
        <v>11090</v>
      </c>
      <c r="M2525" s="9" t="s">
        <v>49</v>
      </c>
      <c r="N2525" s="9" t="s">
        <v>88</v>
      </c>
      <c r="O2525" s="9">
        <f>HYPERLINK("https://www.google.com/maps/search/?api=1&amp;query=38.02612772,-3.36957828", "https://www.google.com/maps/search/?api=1&amp;query=38.02612772,-3.36957828")</f>
      </c>
      <c r="P2525" s="9" t="s">
        <v>617</v>
      </c>
      <c r="Q2525" s="9" t="s">
        <v>8298</v>
      </c>
    </row>
    <row r="2526" spans="1:17" x14ac:dyDescent="0.25">
      <c r="A2526" s="8" t="s">
        <v>18021</v>
      </c>
      <c r="B2526" s="8" t="s">
        <v>18022</v>
      </c>
      <c r="C2526" s="9" t="s">
        <v>18023</v>
      </c>
      <c r="D2526" s="9" t="s">
        <v>30</v>
      </c>
      <c r="E2526" s="9" t="s">
        <v>18024</v>
      </c>
      <c r="F2526" s="10">
        <v>1.514</v>
      </c>
      <c r="G2526" s="10">
        <v>1.665</v>
      </c>
      <c r="H2526" s="10"/>
      <c r="I2526" s="9" t="s">
        <v>32</v>
      </c>
      <c r="J2526" s="9" t="s">
        <v>18025</v>
      </c>
      <c r="K2526" s="9" t="s">
        <v>18026</v>
      </c>
      <c r="L2526" s="8" t="s">
        <v>18027</v>
      </c>
      <c r="M2526" s="9" t="s">
        <v>36</v>
      </c>
      <c r="N2526" s="9" t="s">
        <v>18028</v>
      </c>
      <c r="O2526" s="9">
        <f>HYPERLINK("https://www.google.com/maps/search/?api=1&amp;query=38.61558422,-6.63122241", "https://www.google.com/maps/search/?api=1&amp;query=38.61558422,-6.63122241")</f>
      </c>
      <c r="P2526" s="9" t="s">
        <v>111</v>
      </c>
      <c r="Q2526" s="9" t="s">
        <v>1131</v>
      </c>
    </row>
    <row r="2527" spans="1:17" x14ac:dyDescent="0.25">
      <c r="A2527" s="8" t="s">
        <v>18029</v>
      </c>
      <c r="B2527" s="8" t="s">
        <v>18030</v>
      </c>
      <c r="C2527" s="9" t="s">
        <v>18031</v>
      </c>
      <c r="D2527" s="9" t="s">
        <v>658</v>
      </c>
      <c r="E2527" s="9" t="s">
        <v>2266</v>
      </c>
      <c r="F2527" s="10">
        <v>1.514</v>
      </c>
      <c r="G2527" s="10">
        <v>1.665</v>
      </c>
      <c r="H2527" s="10"/>
      <c r="I2527" s="9" t="s">
        <v>45</v>
      </c>
      <c r="J2527" s="9" t="s">
        <v>18032</v>
      </c>
      <c r="K2527" s="9" t="s">
        <v>18033</v>
      </c>
      <c r="L2527" s="8" t="s">
        <v>18034</v>
      </c>
      <c r="M2527" s="9" t="s">
        <v>49</v>
      </c>
      <c r="N2527" s="9" t="s">
        <v>37</v>
      </c>
      <c r="O2527" s="9">
        <f>HYPERLINK("https://www.google.com/maps/search/?api=1&amp;query=36.8684199,-2.23003401", "https://www.google.com/maps/search/?api=1&amp;query=36.8684199,-2.23003401")</f>
      </c>
      <c r="P2527" s="9" t="s">
        <v>2850</v>
      </c>
      <c r="Q2527" s="9" t="s">
        <v>18035</v>
      </c>
    </row>
    <row r="2528" spans="1:17" x14ac:dyDescent="0.25">
      <c r="A2528" s="8" t="s">
        <v>18036</v>
      </c>
      <c r="B2528" s="8" t="s">
        <v>18037</v>
      </c>
      <c r="C2528" s="9" t="s">
        <v>18038</v>
      </c>
      <c r="D2528" s="9" t="s">
        <v>1192</v>
      </c>
      <c r="E2528" s="9" t="s">
        <v>18039</v>
      </c>
      <c r="F2528" s="10">
        <v>1.514</v>
      </c>
      <c r="G2528" s="10">
        <v>1.665</v>
      </c>
      <c r="H2528" s="10"/>
      <c r="I2528" s="9" t="s">
        <v>168</v>
      </c>
      <c r="J2528" s="9" t="s">
        <v>18040</v>
      </c>
      <c r="K2528" s="9" t="s">
        <v>18041</v>
      </c>
      <c r="L2528" s="8" t="s">
        <v>18042</v>
      </c>
      <c r="M2528" s="9" t="s">
        <v>36</v>
      </c>
      <c r="N2528" s="9" t="s">
        <v>88</v>
      </c>
      <c r="O2528" s="9">
        <f>HYPERLINK("https://www.google.com/maps/search/?api=1&amp;query=38.82484832,-3.56758223", "https://www.google.com/maps/search/?api=1&amp;query=38.82484832,-3.56758223")</f>
      </c>
      <c r="P2528" s="9" t="s">
        <v>16103</v>
      </c>
      <c r="Q2528" s="9" t="s">
        <v>9270</v>
      </c>
    </row>
    <row r="2529" spans="1:17" x14ac:dyDescent="0.25">
      <c r="A2529" s="8" t="s">
        <v>18043</v>
      </c>
      <c r="B2529" s="8" t="s">
        <v>18044</v>
      </c>
      <c r="C2529" s="9" t="s">
        <v>18045</v>
      </c>
      <c r="D2529" s="9" t="s">
        <v>217</v>
      </c>
      <c r="E2529" s="9" t="s">
        <v>1144</v>
      </c>
      <c r="F2529" s="10">
        <v>1.514</v>
      </c>
      <c r="G2529" s="10">
        <v>1.665</v>
      </c>
      <c r="H2529" s="10"/>
      <c r="I2529" s="9" t="s">
        <v>45</v>
      </c>
      <c r="J2529" s="9" t="s">
        <v>18046</v>
      </c>
      <c r="K2529" s="9" t="s">
        <v>18047</v>
      </c>
      <c r="L2529" s="8" t="s">
        <v>1147</v>
      </c>
      <c r="M2529" s="9" t="s">
        <v>49</v>
      </c>
      <c r="N2529" s="9" t="s">
        <v>211</v>
      </c>
      <c r="O2529" s="9">
        <f>HYPERLINK("https://www.google.com/maps/search/?api=1&amp;query=36.78287411,-4.10995087", "https://www.google.com/maps/search/?api=1&amp;query=36.78287411,-4.10995087")</f>
      </c>
      <c r="P2529" s="9" t="s">
        <v>296</v>
      </c>
      <c r="Q2529" s="9" t="s">
        <v>4729</v>
      </c>
    </row>
    <row r="2530" spans="1:17" x14ac:dyDescent="0.25">
      <c r="A2530" s="8" t="s">
        <v>18048</v>
      </c>
      <c r="B2530" s="8" t="s">
        <v>18049</v>
      </c>
      <c r="C2530" s="9" t="s">
        <v>18050</v>
      </c>
      <c r="D2530" s="9" t="s">
        <v>1282</v>
      </c>
      <c r="E2530" s="9" t="s">
        <v>11995</v>
      </c>
      <c r="F2530" s="10">
        <v>1.514</v>
      </c>
      <c r="G2530" s="10">
        <v>1.665</v>
      </c>
      <c r="H2530" s="10"/>
      <c r="I2530" s="9" t="s">
        <v>45</v>
      </c>
      <c r="J2530" s="9" t="s">
        <v>18051</v>
      </c>
      <c r="K2530" s="9" t="s">
        <v>18052</v>
      </c>
      <c r="L2530" s="8" t="s">
        <v>11998</v>
      </c>
      <c r="M2530" s="9" t="s">
        <v>36</v>
      </c>
      <c r="N2530" s="9" t="s">
        <v>211</v>
      </c>
      <c r="O2530" s="9">
        <f>HYPERLINK("https://www.google.com/maps/search/?api=1&amp;query=37.1216547,-3.63128172", "https://www.google.com/maps/search/?api=1&amp;query=37.1216547,-3.63128172")</f>
      </c>
      <c r="P2530" s="9" t="s">
        <v>1100</v>
      </c>
      <c r="Q2530" s="9" t="s">
        <v>18053</v>
      </c>
    </row>
    <row r="2531" spans="1:17" x14ac:dyDescent="0.25">
      <c r="A2531" s="8" t="s">
        <v>18054</v>
      </c>
      <c r="B2531" s="8" t="s">
        <v>18055</v>
      </c>
      <c r="C2531" s="9" t="s">
        <v>18056</v>
      </c>
      <c r="D2531" s="9" t="s">
        <v>187</v>
      </c>
      <c r="E2531" s="9" t="s">
        <v>188</v>
      </c>
      <c r="F2531" s="10">
        <v>1.514</v>
      </c>
      <c r="G2531" s="10">
        <v>1.665</v>
      </c>
      <c r="H2531" s="10"/>
      <c r="I2531" s="9" t="s">
        <v>74</v>
      </c>
      <c r="J2531" s="9" t="s">
        <v>18057</v>
      </c>
      <c r="K2531" s="9" t="s">
        <v>18058</v>
      </c>
      <c r="L2531" s="8" t="s">
        <v>191</v>
      </c>
      <c r="M2531" s="9" t="s">
        <v>49</v>
      </c>
      <c r="N2531" s="9" t="s">
        <v>1719</v>
      </c>
      <c r="O2531" s="9">
        <f>HYPERLINK("https://www.google.com/maps/search/?api=1&amp;query=42.56079756,-6.62561424", "https://www.google.com/maps/search/?api=1&amp;query=42.56079756,-6.62561424")</f>
      </c>
      <c r="P2531" s="9" t="s">
        <v>626</v>
      </c>
      <c r="Q2531" s="9" t="s">
        <v>1534</v>
      </c>
    </row>
    <row r="2532" spans="1:17" x14ac:dyDescent="0.25">
      <c r="A2532" s="8" t="s">
        <v>18059</v>
      </c>
      <c r="B2532" s="8" t="s">
        <v>18060</v>
      </c>
      <c r="C2532" s="9" t="s">
        <v>18061</v>
      </c>
      <c r="D2532" s="9" t="s">
        <v>400</v>
      </c>
      <c r="E2532" s="9" t="s">
        <v>18062</v>
      </c>
      <c r="F2532" s="10">
        <v>1.514</v>
      </c>
      <c r="G2532" s="10">
        <v>1.665</v>
      </c>
      <c r="H2532" s="10"/>
      <c r="I2532" s="9" t="s">
        <v>400</v>
      </c>
      <c r="J2532" s="9" t="s">
        <v>18063</v>
      </c>
      <c r="K2532" s="9" t="s">
        <v>18064</v>
      </c>
      <c r="L2532" s="8" t="s">
        <v>5808</v>
      </c>
      <c r="M2532" s="9" t="s">
        <v>36</v>
      </c>
      <c r="N2532" s="9" t="s">
        <v>37</v>
      </c>
      <c r="O2532" s="9">
        <f>HYPERLINK("https://www.google.com/maps/search/?api=1&amp;query=39.55904955,-0.50536906", "https://www.google.com/maps/search/?api=1&amp;query=39.55904955,-0.50536906")</f>
      </c>
      <c r="P2532" s="9" t="s">
        <v>13481</v>
      </c>
      <c r="Q2532" s="9" t="s">
        <v>18065</v>
      </c>
    </row>
    <row r="2533" spans="1:17" x14ac:dyDescent="0.25">
      <c r="A2533" s="8" t="s">
        <v>18066</v>
      </c>
      <c r="B2533" s="8" t="s">
        <v>18067</v>
      </c>
      <c r="C2533" s="9" t="s">
        <v>18068</v>
      </c>
      <c r="D2533" s="9" t="s">
        <v>808</v>
      </c>
      <c r="E2533" s="9" t="s">
        <v>18069</v>
      </c>
      <c r="F2533" s="10">
        <v>1.514</v>
      </c>
      <c r="G2533" s="10">
        <v>1.665</v>
      </c>
      <c r="H2533" s="10"/>
      <c r="I2533" s="9" t="s">
        <v>808</v>
      </c>
      <c r="J2533" s="9" t="s">
        <v>18070</v>
      </c>
      <c r="K2533" s="9" t="s">
        <v>18071</v>
      </c>
      <c r="L2533" s="8" t="s">
        <v>18072</v>
      </c>
      <c r="M2533" s="9" t="s">
        <v>36</v>
      </c>
      <c r="N2533" s="9" t="s">
        <v>88</v>
      </c>
      <c r="O2533" s="9">
        <f>HYPERLINK("https://www.google.com/maps/search/?api=1&amp;query=43.41426142,-3.57859775", "https://www.google.com/maps/search/?api=1&amp;query=43.41426142,-3.57859775")</f>
      </c>
      <c r="P2533" s="9" t="s">
        <v>7900</v>
      </c>
      <c r="Q2533" s="9" t="s">
        <v>18073</v>
      </c>
    </row>
    <row r="2534" spans="1:17" x14ac:dyDescent="0.25">
      <c r="A2534" s="8" t="s">
        <v>18074</v>
      </c>
      <c r="B2534" s="8" t="s">
        <v>18075</v>
      </c>
      <c r="C2534" s="9" t="s">
        <v>18076</v>
      </c>
      <c r="D2534" s="9" t="s">
        <v>155</v>
      </c>
      <c r="E2534" s="9" t="s">
        <v>2394</v>
      </c>
      <c r="F2534" s="10">
        <v>1.514</v>
      </c>
      <c r="G2534" s="10">
        <v>1.665</v>
      </c>
      <c r="H2534" s="10"/>
      <c r="I2534" s="9" t="s">
        <v>157</v>
      </c>
      <c r="J2534" s="9" t="s">
        <v>18077</v>
      </c>
      <c r="K2534" s="9" t="s">
        <v>18078</v>
      </c>
      <c r="L2534" s="8" t="s">
        <v>18079</v>
      </c>
      <c r="M2534" s="9" t="s">
        <v>49</v>
      </c>
      <c r="N2534" s="9" t="s">
        <v>88</v>
      </c>
      <c r="O2534" s="9">
        <f>HYPERLINK("https://www.google.com/maps/search/?api=1&amp;query=39.60501537,2.63455143", "https://www.google.com/maps/search/?api=1&amp;query=39.60501537,2.63455143")</f>
      </c>
      <c r="P2534" s="9" t="s">
        <v>13052</v>
      </c>
      <c r="Q2534" s="9" t="s">
        <v>647</v>
      </c>
    </row>
    <row r="2535" spans="1:17" x14ac:dyDescent="0.25">
      <c r="A2535" s="8" t="s">
        <v>18080</v>
      </c>
      <c r="B2535" s="8" t="s">
        <v>18081</v>
      </c>
      <c r="C2535" s="9" t="s">
        <v>18082</v>
      </c>
      <c r="D2535" s="9" t="s">
        <v>61</v>
      </c>
      <c r="E2535" s="9" t="s">
        <v>61</v>
      </c>
      <c r="F2535" s="10">
        <v>1.514</v>
      </c>
      <c r="G2535" s="10">
        <v>1.665</v>
      </c>
      <c r="H2535" s="10"/>
      <c r="I2535" s="9" t="s">
        <v>45</v>
      </c>
      <c r="J2535" s="9" t="s">
        <v>18083</v>
      </c>
      <c r="K2535" s="9" t="s">
        <v>18084</v>
      </c>
      <c r="L2535" s="8" t="s">
        <v>2515</v>
      </c>
      <c r="M2535" s="9" t="s">
        <v>36</v>
      </c>
      <c r="N2535" s="9" t="s">
        <v>37</v>
      </c>
      <c r="O2535" s="9">
        <f>HYPERLINK("https://www.google.com/maps/search/?api=1&amp;query=37.36061718,-5.98945433", "https://www.google.com/maps/search/?api=1&amp;query=37.36061718,-5.98945433")</f>
      </c>
      <c r="P2535" s="9" t="s">
        <v>1287</v>
      </c>
      <c r="Q2535" s="9" t="s">
        <v>12757</v>
      </c>
    </row>
    <row r="2536" spans="1:17" x14ac:dyDescent="0.25">
      <c r="A2536" s="8" t="s">
        <v>3415</v>
      </c>
      <c r="B2536" s="8" t="s">
        <v>18085</v>
      </c>
      <c r="C2536" s="9" t="s">
        <v>18086</v>
      </c>
      <c r="D2536" s="9" t="s">
        <v>217</v>
      </c>
      <c r="E2536" s="9" t="s">
        <v>18087</v>
      </c>
      <c r="F2536" s="10">
        <v>1.514</v>
      </c>
      <c r="G2536" s="10">
        <v>1.665</v>
      </c>
      <c r="H2536" s="10"/>
      <c r="I2536" s="9" t="s">
        <v>45</v>
      </c>
      <c r="J2536" s="9" t="s">
        <v>6021</v>
      </c>
      <c r="K2536" s="9" t="s">
        <v>18088</v>
      </c>
      <c r="L2536" s="8" t="s">
        <v>18089</v>
      </c>
      <c r="M2536" s="9" t="s">
        <v>36</v>
      </c>
      <c r="N2536" s="9" t="s">
        <v>37</v>
      </c>
      <c r="O2536" s="9">
        <f>HYPERLINK("https://www.google.com/maps/search/?api=1&amp;query=36.82423868,-4.70106138", "https://www.google.com/maps/search/?api=1&amp;query=36.82423868,-4.70106138")</f>
      </c>
      <c r="P2536" s="9" t="s">
        <v>16747</v>
      </c>
      <c r="Q2536" s="9" t="s">
        <v>18090</v>
      </c>
    </row>
    <row r="2537" spans="1:17" x14ac:dyDescent="0.25">
      <c r="A2537" s="8" t="s">
        <v>18091</v>
      </c>
      <c r="B2537" s="8" t="s">
        <v>18092</v>
      </c>
      <c r="C2537" s="9" t="s">
        <v>18093</v>
      </c>
      <c r="D2537" s="9" t="s">
        <v>155</v>
      </c>
      <c r="E2537" s="9" t="s">
        <v>2394</v>
      </c>
      <c r="F2537" s="10">
        <v>1.514</v>
      </c>
      <c r="G2537" s="10">
        <v>1.665</v>
      </c>
      <c r="H2537" s="10"/>
      <c r="I2537" s="9" t="s">
        <v>157</v>
      </c>
      <c r="J2537" s="9" t="s">
        <v>18094</v>
      </c>
      <c r="K2537" s="9" t="s">
        <v>18095</v>
      </c>
      <c r="L2537" s="8" t="s">
        <v>17961</v>
      </c>
      <c r="M2537" s="9" t="s">
        <v>49</v>
      </c>
      <c r="N2537" s="9" t="s">
        <v>37</v>
      </c>
      <c r="O2537" s="9">
        <f>HYPERLINK("https://www.google.com/maps/search/?api=1&amp;query=39.58495074,2.61875635", "https://www.google.com/maps/search/?api=1&amp;query=39.58495074,2.61875635")</f>
      </c>
      <c r="P2537" s="9" t="s">
        <v>9152</v>
      </c>
      <c r="Q2537" s="9" t="s">
        <v>18096</v>
      </c>
    </row>
    <row r="2538" spans="1:17" x14ac:dyDescent="0.25">
      <c r="A2538" s="8" t="s">
        <v>18097</v>
      </c>
      <c r="B2538" s="8" t="s">
        <v>18098</v>
      </c>
      <c r="C2538" s="9" t="s">
        <v>18099</v>
      </c>
      <c r="D2538" s="9" t="s">
        <v>197</v>
      </c>
      <c r="E2538" s="9" t="s">
        <v>11444</v>
      </c>
      <c r="F2538" s="10">
        <v>1.514</v>
      </c>
      <c r="G2538" s="10">
        <v>1.665</v>
      </c>
      <c r="H2538" s="10"/>
      <c r="I2538" s="9" t="s">
        <v>168</v>
      </c>
      <c r="J2538" s="9" t="s">
        <v>18100</v>
      </c>
      <c r="K2538" s="9" t="s">
        <v>18101</v>
      </c>
      <c r="L2538" s="8" t="s">
        <v>11447</v>
      </c>
      <c r="M2538" s="9" t="s">
        <v>49</v>
      </c>
      <c r="N2538" s="9" t="s">
        <v>37</v>
      </c>
      <c r="O2538" s="9">
        <f>HYPERLINK("https://www.google.com/maps/search/?api=1&amp;query=39.89565589,-5.33281116", "https://www.google.com/maps/search/?api=1&amp;query=39.89565589,-5.33281116")</f>
      </c>
      <c r="P2538" s="9" t="s">
        <v>965</v>
      </c>
      <c r="Q2538" s="9" t="s">
        <v>2827</v>
      </c>
    </row>
    <row r="2539" spans="1:17" x14ac:dyDescent="0.25">
      <c r="A2539" s="8" t="s">
        <v>18102</v>
      </c>
      <c r="B2539" s="8" t="s">
        <v>18103</v>
      </c>
      <c r="C2539" s="9" t="s">
        <v>18104</v>
      </c>
      <c r="D2539" s="9" t="s">
        <v>379</v>
      </c>
      <c r="E2539" s="9" t="s">
        <v>18105</v>
      </c>
      <c r="F2539" s="10">
        <v>1.514</v>
      </c>
      <c r="G2539" s="10">
        <v>1.665</v>
      </c>
      <c r="H2539" s="10"/>
      <c r="I2539" s="9" t="s">
        <v>379</v>
      </c>
      <c r="J2539" s="9" t="s">
        <v>18106</v>
      </c>
      <c r="K2539" s="9" t="s">
        <v>18107</v>
      </c>
      <c r="L2539" s="8" t="s">
        <v>18108</v>
      </c>
      <c r="M2539" s="9" t="s">
        <v>49</v>
      </c>
      <c r="N2539" s="9" t="s">
        <v>8958</v>
      </c>
      <c r="O2539" s="9">
        <f>HYPERLINK("https://www.google.com/maps/search/?api=1&amp;query=42.94553582,-1.26564797", "https://www.google.com/maps/search/?api=1&amp;query=42.94553582,-1.26564797")</f>
      </c>
      <c r="P2539" s="9" t="s">
        <v>7311</v>
      </c>
      <c r="Q2539" s="9" t="s">
        <v>1131</v>
      </c>
    </row>
    <row r="2540" spans="1:17" x14ac:dyDescent="0.25">
      <c r="A2540" s="8" t="s">
        <v>18109</v>
      </c>
      <c r="B2540" s="8" t="s">
        <v>18110</v>
      </c>
      <c r="C2540" s="9" t="s">
        <v>18111</v>
      </c>
      <c r="D2540" s="9" t="s">
        <v>217</v>
      </c>
      <c r="E2540" s="9" t="s">
        <v>271</v>
      </c>
      <c r="F2540" s="10">
        <v>1.514</v>
      </c>
      <c r="G2540" s="10">
        <v>1.665</v>
      </c>
      <c r="H2540" s="10"/>
      <c r="I2540" s="9" t="s">
        <v>45</v>
      </c>
      <c r="J2540" s="9" t="s">
        <v>18112</v>
      </c>
      <c r="K2540" s="9" t="s">
        <v>18113</v>
      </c>
      <c r="L2540" s="8" t="s">
        <v>5581</v>
      </c>
      <c r="M2540" s="9" t="s">
        <v>49</v>
      </c>
      <c r="N2540" s="9" t="s">
        <v>37</v>
      </c>
      <c r="O2540" s="9">
        <f>HYPERLINK("https://www.google.com/maps/search/?api=1&amp;query=36.67338487,-4.47664319", "https://www.google.com/maps/search/?api=1&amp;query=36.67338487,-4.47664319")</f>
      </c>
      <c r="P2540" s="9" t="s">
        <v>18114</v>
      </c>
      <c r="Q2540" s="9" t="s">
        <v>18115</v>
      </c>
    </row>
    <row r="2541" spans="1:17" x14ac:dyDescent="0.25">
      <c r="A2541" s="8" t="s">
        <v>18116</v>
      </c>
      <c r="B2541" s="8" t="s">
        <v>18117</v>
      </c>
      <c r="C2541" s="9" t="s">
        <v>18118</v>
      </c>
      <c r="D2541" s="9" t="s">
        <v>83</v>
      </c>
      <c r="E2541" s="9" t="s">
        <v>83</v>
      </c>
      <c r="F2541" s="10">
        <v>1.514</v>
      </c>
      <c r="G2541" s="10">
        <v>1.665</v>
      </c>
      <c r="H2541" s="10"/>
      <c r="I2541" s="9" t="s">
        <v>83</v>
      </c>
      <c r="J2541" s="9" t="s">
        <v>18119</v>
      </c>
      <c r="K2541" s="9" t="s">
        <v>18120</v>
      </c>
      <c r="L2541" s="8" t="s">
        <v>18121</v>
      </c>
      <c r="M2541" s="9" t="s">
        <v>49</v>
      </c>
      <c r="N2541" s="9" t="s">
        <v>37</v>
      </c>
      <c r="O2541" s="9">
        <f>HYPERLINK("https://www.google.com/maps/search/?api=1&amp;query=40.404468,-3.61072587", "https://www.google.com/maps/search/?api=1&amp;query=40.404468,-3.61072587")</f>
      </c>
      <c r="P2541" s="9" t="s">
        <v>321</v>
      </c>
      <c r="Q2541" s="9" t="s">
        <v>1488</v>
      </c>
    </row>
    <row r="2542" spans="1:17" x14ac:dyDescent="0.25">
      <c r="A2542" s="8" t="s">
        <v>18122</v>
      </c>
      <c r="B2542" s="8" t="s">
        <v>18123</v>
      </c>
      <c r="C2542" s="9" t="s">
        <v>18124</v>
      </c>
      <c r="D2542" s="9" t="s">
        <v>398</v>
      </c>
      <c r="E2542" s="9" t="s">
        <v>18125</v>
      </c>
      <c r="F2542" s="10">
        <v>1.514</v>
      </c>
      <c r="G2542" s="10">
        <v>1.665</v>
      </c>
      <c r="H2542" s="10"/>
      <c r="I2542" s="9" t="s">
        <v>400</v>
      </c>
      <c r="J2542" s="9" t="s">
        <v>18126</v>
      </c>
      <c r="K2542" s="9" t="s">
        <v>18127</v>
      </c>
      <c r="L2542" s="8" t="s">
        <v>18128</v>
      </c>
      <c r="M2542" s="9" t="s">
        <v>36</v>
      </c>
      <c r="N2542" s="9" t="s">
        <v>18129</v>
      </c>
      <c r="O2542" s="9">
        <f>HYPERLINK("https://www.google.com/maps/search/?api=1&amp;query=38.63060073,-0.78654897", "https://www.google.com/maps/search/?api=1&amp;query=38.63060073,-0.78654897")</f>
      </c>
      <c r="P2542" s="9" t="s">
        <v>1356</v>
      </c>
      <c r="Q2542" s="9" t="s">
        <v>8422</v>
      </c>
    </row>
    <row r="2543" spans="1:17" x14ac:dyDescent="0.25">
      <c r="A2543" s="8" t="s">
        <v>18130</v>
      </c>
      <c r="B2543" s="8" t="s">
        <v>18131</v>
      </c>
      <c r="C2543" s="9" t="s">
        <v>18132</v>
      </c>
      <c r="D2543" s="9" t="s">
        <v>1282</v>
      </c>
      <c r="E2543" s="9" t="s">
        <v>1282</v>
      </c>
      <c r="F2543" s="10">
        <v>1.514</v>
      </c>
      <c r="G2543" s="10">
        <v>1.665</v>
      </c>
      <c r="H2543" s="10"/>
      <c r="I2543" s="9" t="s">
        <v>45</v>
      </c>
      <c r="J2543" s="9" t="s">
        <v>18133</v>
      </c>
      <c r="K2543" s="9" t="s">
        <v>18134</v>
      </c>
      <c r="L2543" s="8" t="s">
        <v>18135</v>
      </c>
      <c r="M2543" s="9" t="s">
        <v>49</v>
      </c>
      <c r="N2543" s="9" t="s">
        <v>122</v>
      </c>
      <c r="O2543" s="9">
        <f>HYPERLINK("https://www.google.com/maps/search/?api=1&amp;query=37.15666875,-3.59441941", "https://www.google.com/maps/search/?api=1&amp;query=37.15666875,-3.59441941")</f>
      </c>
      <c r="P2543" s="9" t="s">
        <v>144</v>
      </c>
      <c r="Q2543" s="9" t="s">
        <v>1131</v>
      </c>
    </row>
    <row r="2544" spans="1:17" x14ac:dyDescent="0.25">
      <c r="A2544" s="8" t="s">
        <v>18136</v>
      </c>
      <c r="B2544" s="8" t="s">
        <v>18137</v>
      </c>
      <c r="C2544" s="9" t="s">
        <v>18138</v>
      </c>
      <c r="D2544" s="9" t="s">
        <v>166</v>
      </c>
      <c r="E2544" s="9" t="s">
        <v>16128</v>
      </c>
      <c r="F2544" s="10">
        <v>1.514</v>
      </c>
      <c r="G2544" s="10">
        <v>1.665</v>
      </c>
      <c r="H2544" s="10"/>
      <c r="I2544" s="9" t="s">
        <v>168</v>
      </c>
      <c r="J2544" s="9" t="s">
        <v>18139</v>
      </c>
      <c r="K2544" s="9" t="s">
        <v>18140</v>
      </c>
      <c r="L2544" s="8" t="s">
        <v>16131</v>
      </c>
      <c r="M2544" s="9" t="s">
        <v>36</v>
      </c>
      <c r="N2544" s="9" t="s">
        <v>645</v>
      </c>
      <c r="O2544" s="9">
        <f>HYPERLINK("https://www.google.com/maps/search/?api=1&amp;query=41.06189133,-2.64725834", "https://www.google.com/maps/search/?api=1&amp;query=41.06189133,-2.64725834")</f>
      </c>
      <c r="P2544" s="9" t="s">
        <v>493</v>
      </c>
      <c r="Q2544" s="9" t="s">
        <v>9520</v>
      </c>
    </row>
    <row r="2545" spans="1:17" x14ac:dyDescent="0.25">
      <c r="A2545" s="8" t="s">
        <v>18141</v>
      </c>
      <c r="B2545" s="8" t="s">
        <v>18142</v>
      </c>
      <c r="C2545" s="9" t="s">
        <v>18143</v>
      </c>
      <c r="D2545" s="9" t="s">
        <v>1483</v>
      </c>
      <c r="E2545" s="9" t="s">
        <v>18144</v>
      </c>
      <c r="F2545" s="10">
        <v>1.514</v>
      </c>
      <c r="G2545" s="10">
        <v>1.665</v>
      </c>
      <c r="H2545" s="10"/>
      <c r="I2545" s="9" t="s">
        <v>74</v>
      </c>
      <c r="J2545" s="9" t="s">
        <v>18145</v>
      </c>
      <c r="K2545" s="9" t="s">
        <v>18146</v>
      </c>
      <c r="L2545" s="8" t="s">
        <v>18147</v>
      </c>
      <c r="M2545" s="9" t="s">
        <v>49</v>
      </c>
      <c r="N2545" s="9" t="s">
        <v>1130</v>
      </c>
      <c r="O2545" s="9">
        <f>HYPERLINK("https://www.google.com/maps/search/?api=1&amp;query=42.69381452,-3.97996257", "https://www.google.com/maps/search/?api=1&amp;query=42.69381452,-3.97996257")</f>
      </c>
      <c r="P2545" s="9" t="s">
        <v>880</v>
      </c>
      <c r="Q2545" s="9" t="s">
        <v>7556</v>
      </c>
    </row>
    <row r="2546" spans="1:17" x14ac:dyDescent="0.25">
      <c r="A2546" s="8" t="s">
        <v>18148</v>
      </c>
      <c r="B2546" s="8" t="s">
        <v>18149</v>
      </c>
      <c r="C2546" s="9" t="s">
        <v>18150</v>
      </c>
      <c r="D2546" s="9" t="s">
        <v>197</v>
      </c>
      <c r="E2546" s="9" t="s">
        <v>18151</v>
      </c>
      <c r="F2546" s="10">
        <v>1.514</v>
      </c>
      <c r="G2546" s="10">
        <v>1.665</v>
      </c>
      <c r="H2546" s="10"/>
      <c r="I2546" s="9" t="s">
        <v>168</v>
      </c>
      <c r="J2546" s="9" t="s">
        <v>18152</v>
      </c>
      <c r="K2546" s="9" t="s">
        <v>18153</v>
      </c>
      <c r="L2546" s="8" t="s">
        <v>18154</v>
      </c>
      <c r="M2546" s="9" t="s">
        <v>49</v>
      </c>
      <c r="N2546" s="9" t="s">
        <v>88</v>
      </c>
      <c r="O2546" s="9">
        <f>HYPERLINK("https://www.google.com/maps/search/?api=1&amp;query=39.81325657,-4.05689961", "https://www.google.com/maps/search/?api=1&amp;query=39.81325657,-4.05689961")</f>
      </c>
      <c r="P2546" s="9" t="s">
        <v>880</v>
      </c>
      <c r="Q2546" s="9" t="s">
        <v>8312</v>
      </c>
    </row>
    <row r="2547" spans="1:17" x14ac:dyDescent="0.25">
      <c r="A2547" s="8" t="s">
        <v>18155</v>
      </c>
      <c r="B2547" s="8" t="s">
        <v>18156</v>
      </c>
      <c r="C2547" s="9" t="s">
        <v>18157</v>
      </c>
      <c r="D2547" s="9" t="s">
        <v>253</v>
      </c>
      <c r="E2547" s="9" t="s">
        <v>18158</v>
      </c>
      <c r="F2547" s="10">
        <v>1.514</v>
      </c>
      <c r="G2547" s="10">
        <v>1.665</v>
      </c>
      <c r="H2547" s="10"/>
      <c r="I2547" s="9" t="s">
        <v>96</v>
      </c>
      <c r="J2547" s="9" t="s">
        <v>18159</v>
      </c>
      <c r="K2547" s="9" t="s">
        <v>18160</v>
      </c>
      <c r="L2547" s="8" t="s">
        <v>18161</v>
      </c>
      <c r="M2547" s="9" t="s">
        <v>36</v>
      </c>
      <c r="N2547" s="9" t="s">
        <v>88</v>
      </c>
      <c r="O2547" s="9">
        <f>HYPERLINK("https://www.google.com/maps/search/?api=1&amp;query=40.98894067,0.90826369", "https://www.google.com/maps/search/?api=1&amp;query=40.98894067,0.90826369")</f>
      </c>
      <c r="P2547" s="9" t="s">
        <v>789</v>
      </c>
      <c r="Q2547" s="9" t="s">
        <v>18162</v>
      </c>
    </row>
    <row r="2548" spans="1:17" x14ac:dyDescent="0.25">
      <c r="A2548" s="8" t="s">
        <v>18163</v>
      </c>
      <c r="B2548" s="8" t="s">
        <v>18164</v>
      </c>
      <c r="C2548" s="9" t="s">
        <v>18165</v>
      </c>
      <c r="D2548" s="9" t="s">
        <v>434</v>
      </c>
      <c r="E2548" s="9" t="s">
        <v>3585</v>
      </c>
      <c r="F2548" s="10">
        <v>1.514</v>
      </c>
      <c r="G2548" s="10">
        <v>1.665</v>
      </c>
      <c r="H2548" s="10"/>
      <c r="I2548" s="9" t="s">
        <v>96</v>
      </c>
      <c r="J2548" s="9" t="s">
        <v>18166</v>
      </c>
      <c r="K2548" s="9" t="s">
        <v>18167</v>
      </c>
      <c r="L2548" s="8" t="s">
        <v>3588</v>
      </c>
      <c r="M2548" s="9" t="s">
        <v>49</v>
      </c>
      <c r="N2548" s="9" t="s">
        <v>88</v>
      </c>
      <c r="O2548" s="9">
        <f>HYPERLINK("https://www.google.com/maps/search/?api=1&amp;query=42.26086072,2.95002075", "https://www.google.com/maps/search/?api=1&amp;query=42.26086072,2.95002075")</f>
      </c>
      <c r="P2548" s="9" t="s">
        <v>18168</v>
      </c>
      <c r="Q2548" s="9" t="s">
        <v>18169</v>
      </c>
    </row>
    <row r="2549" spans="1:17" x14ac:dyDescent="0.25">
      <c r="A2549" s="8" t="s">
        <v>10181</v>
      </c>
      <c r="B2549" s="8" t="s">
        <v>18170</v>
      </c>
      <c r="C2549" s="9" t="s">
        <v>18171</v>
      </c>
      <c r="D2549" s="9" t="s">
        <v>1483</v>
      </c>
      <c r="E2549" s="9" t="s">
        <v>18172</v>
      </c>
      <c r="F2549" s="10">
        <v>1.514</v>
      </c>
      <c r="G2549" s="10">
        <v>1.665</v>
      </c>
      <c r="H2549" s="10"/>
      <c r="I2549" s="9" t="s">
        <v>74</v>
      </c>
      <c r="J2549" s="9" t="s">
        <v>18173</v>
      </c>
      <c r="K2549" s="9" t="s">
        <v>18174</v>
      </c>
      <c r="L2549" s="8" t="s">
        <v>18175</v>
      </c>
      <c r="M2549" s="9" t="s">
        <v>49</v>
      </c>
      <c r="N2549" s="9" t="s">
        <v>37</v>
      </c>
      <c r="O2549" s="9">
        <f>HYPERLINK("https://www.google.com/maps/search/?api=1&amp;query=42.28669677,-4.14132357", "https://www.google.com/maps/search/?api=1&amp;query=42.28669677,-4.14132357")</f>
      </c>
      <c r="P2549" s="9" t="s">
        <v>1373</v>
      </c>
      <c r="Q2549" s="9" t="s">
        <v>13462</v>
      </c>
    </row>
    <row r="2550" spans="1:17" x14ac:dyDescent="0.25">
      <c r="A2550" s="8" t="s">
        <v>18176</v>
      </c>
      <c r="B2550" s="8" t="s">
        <v>18177</v>
      </c>
      <c r="C2550" s="9" t="s">
        <v>18178</v>
      </c>
      <c r="D2550" s="9" t="s">
        <v>155</v>
      </c>
      <c r="E2550" s="9" t="s">
        <v>18179</v>
      </c>
      <c r="F2550" s="10">
        <v>1.514</v>
      </c>
      <c r="G2550" s="10">
        <v>1.665</v>
      </c>
      <c r="H2550" s="10"/>
      <c r="I2550" s="9" t="s">
        <v>157</v>
      </c>
      <c r="J2550" s="9" t="s">
        <v>18180</v>
      </c>
      <c r="K2550" s="9" t="s">
        <v>18181</v>
      </c>
      <c r="L2550" s="8" t="s">
        <v>18182</v>
      </c>
      <c r="M2550" s="9" t="s">
        <v>49</v>
      </c>
      <c r="N2550" s="9" t="s">
        <v>37</v>
      </c>
      <c r="O2550" s="9">
        <f>HYPERLINK("https://www.google.com/maps/search/?api=1&amp;query=39.81254951,2.88990552", "https://www.google.com/maps/search/?api=1&amp;query=39.81254951,2.88990552")</f>
      </c>
      <c r="P2550" s="9" t="s">
        <v>18183</v>
      </c>
      <c r="Q2550" s="9" t="s">
        <v>1140</v>
      </c>
    </row>
    <row r="2551" spans="1:17" x14ac:dyDescent="0.25">
      <c r="A2551" s="8" t="s">
        <v>18184</v>
      </c>
      <c r="B2551" s="8" t="s">
        <v>18185</v>
      </c>
      <c r="C2551" s="9" t="s">
        <v>18186</v>
      </c>
      <c r="D2551" s="9" t="s">
        <v>253</v>
      </c>
      <c r="E2551" s="9" t="s">
        <v>254</v>
      </c>
      <c r="F2551" s="10">
        <v>1.514</v>
      </c>
      <c r="G2551" s="10">
        <v>1.665</v>
      </c>
      <c r="H2551" s="10"/>
      <c r="I2551" s="9" t="s">
        <v>96</v>
      </c>
      <c r="J2551" s="9" t="s">
        <v>18187</v>
      </c>
      <c r="K2551" s="9" t="s">
        <v>18188</v>
      </c>
      <c r="L2551" s="8" t="s">
        <v>257</v>
      </c>
      <c r="M2551" s="9" t="s">
        <v>49</v>
      </c>
      <c r="N2551" s="9" t="s">
        <v>37</v>
      </c>
      <c r="O2551" s="9">
        <f>HYPERLINK("https://www.google.com/maps/search/?api=1&amp;query=40.81629249,0.51341006", "https://www.google.com/maps/search/?api=1&amp;query=40.81629249,0.51341006")</f>
      </c>
      <c r="P2551" s="9" t="s">
        <v>2786</v>
      </c>
      <c r="Q2551" s="9" t="s">
        <v>9899</v>
      </c>
    </row>
    <row r="2552" spans="1:17" x14ac:dyDescent="0.25">
      <c r="A2552" s="8" t="s">
        <v>18189</v>
      </c>
      <c r="B2552" s="8" t="s">
        <v>18190</v>
      </c>
      <c r="C2552" s="9" t="s">
        <v>18191</v>
      </c>
      <c r="D2552" s="9" t="s">
        <v>94</v>
      </c>
      <c r="E2552" s="9" t="s">
        <v>18192</v>
      </c>
      <c r="F2552" s="10">
        <v>1.514</v>
      </c>
      <c r="G2552" s="10">
        <v>1.665</v>
      </c>
      <c r="H2552" s="10"/>
      <c r="I2552" s="9" t="s">
        <v>96</v>
      </c>
      <c r="J2552" s="9" t="s">
        <v>18193</v>
      </c>
      <c r="K2552" s="9" t="s">
        <v>18194</v>
      </c>
      <c r="L2552" s="8" t="s">
        <v>18195</v>
      </c>
      <c r="M2552" s="9" t="s">
        <v>36</v>
      </c>
      <c r="N2552" s="9" t="s">
        <v>556</v>
      </c>
      <c r="O2552" s="9">
        <f>HYPERLINK("https://www.google.com/maps/search/?api=1&amp;query=41.38016031,2.06445671", "https://www.google.com/maps/search/?api=1&amp;query=41.38016031,2.06445671")</f>
      </c>
      <c r="P2552" s="9" t="s">
        <v>1250</v>
      </c>
      <c r="Q2552" s="9" t="s">
        <v>18196</v>
      </c>
    </row>
    <row r="2553" spans="1:17" x14ac:dyDescent="0.25">
      <c r="A2553" s="8" t="s">
        <v>18197</v>
      </c>
      <c r="B2553" s="8" t="s">
        <v>18198</v>
      </c>
      <c r="C2553" s="9" t="s">
        <v>18199</v>
      </c>
      <c r="D2553" s="9" t="s">
        <v>138</v>
      </c>
      <c r="E2553" s="9" t="s">
        <v>18200</v>
      </c>
      <c r="F2553" s="10">
        <v>1.514</v>
      </c>
      <c r="G2553" s="10">
        <v>1.665</v>
      </c>
      <c r="H2553" s="10"/>
      <c r="I2553" s="9" t="s">
        <v>140</v>
      </c>
      <c r="J2553" s="9" t="s">
        <v>18201</v>
      </c>
      <c r="K2553" s="9" t="s">
        <v>18202</v>
      </c>
      <c r="L2553" s="8" t="s">
        <v>18203</v>
      </c>
      <c r="M2553" s="9" t="s">
        <v>49</v>
      </c>
      <c r="N2553" s="9" t="s">
        <v>211</v>
      </c>
      <c r="O2553" s="9">
        <f>HYPERLINK("https://www.google.com/maps/search/?api=1&amp;query=42.63235821,-8.56325707", "https://www.google.com/maps/search/?api=1&amp;query=42.63235821,-8.56325707")</f>
      </c>
      <c r="P2553" s="9" t="s">
        <v>1598</v>
      </c>
      <c r="Q2553" s="9" t="s">
        <v>1131</v>
      </c>
    </row>
    <row r="2554" spans="1:17" x14ac:dyDescent="0.25">
      <c r="A2554" s="8" t="s">
        <v>18204</v>
      </c>
      <c r="B2554" s="8" t="s">
        <v>18205</v>
      </c>
      <c r="C2554" s="9" t="s">
        <v>18206</v>
      </c>
      <c r="D2554" s="9" t="s">
        <v>83</v>
      </c>
      <c r="E2554" s="9" t="s">
        <v>362</v>
      </c>
      <c r="F2554" s="10">
        <v>1.514</v>
      </c>
      <c r="G2554" s="10">
        <v>1.665</v>
      </c>
      <c r="H2554" s="10"/>
      <c r="I2554" s="9" t="s">
        <v>83</v>
      </c>
      <c r="J2554" s="9" t="s">
        <v>18207</v>
      </c>
      <c r="K2554" s="9" t="s">
        <v>18208</v>
      </c>
      <c r="L2554" s="8" t="s">
        <v>365</v>
      </c>
      <c r="M2554" s="9" t="s">
        <v>100</v>
      </c>
      <c r="N2554" s="9" t="s">
        <v>3164</v>
      </c>
      <c r="O2554" s="9">
        <f>HYPERLINK("https://www.google.com/maps/search/?api=1&amp;query=40.63664138,-4.01593342", "https://www.google.com/maps/search/?api=1&amp;query=40.63664138,-4.01593342")</f>
      </c>
      <c r="P2554" s="9" t="s">
        <v>1471</v>
      </c>
      <c r="Q2554" s="9" t="s">
        <v>18209</v>
      </c>
    </row>
    <row r="2555" spans="1:17" x14ac:dyDescent="0.25">
      <c r="A2555" s="8" t="s">
        <v>18210</v>
      </c>
      <c r="B2555" s="8" t="s">
        <v>18211</v>
      </c>
      <c r="C2555" s="9" t="s">
        <v>8738</v>
      </c>
      <c r="D2555" s="9" t="s">
        <v>434</v>
      </c>
      <c r="E2555" s="9" t="s">
        <v>8739</v>
      </c>
      <c r="F2555" s="10">
        <v>1.514</v>
      </c>
      <c r="G2555" s="10">
        <v>1.665</v>
      </c>
      <c r="H2555" s="10"/>
      <c r="I2555" s="9" t="s">
        <v>96</v>
      </c>
      <c r="J2555" s="9" t="s">
        <v>18212</v>
      </c>
      <c r="K2555" s="9" t="s">
        <v>18213</v>
      </c>
      <c r="L2555" s="8" t="s">
        <v>8742</v>
      </c>
      <c r="M2555" s="9" t="s">
        <v>100</v>
      </c>
      <c r="N2555" s="9" t="s">
        <v>8523</v>
      </c>
      <c r="O2555" s="9">
        <f>HYPERLINK("https://www.google.com/maps/search/?api=1&amp;query=41.90685174,2.85370361", "https://www.google.com/maps/search/?api=1&amp;query=41.90685174,2.85370361")</f>
      </c>
      <c r="P2555" s="9" t="s">
        <v>144</v>
      </c>
      <c r="Q2555" s="9" t="s">
        <v>18214</v>
      </c>
    </row>
    <row r="2556" spans="1:17" x14ac:dyDescent="0.25">
      <c r="A2556" s="8" t="s">
        <v>18215</v>
      </c>
      <c r="B2556" s="8" t="s">
        <v>18216</v>
      </c>
      <c r="C2556" s="9" t="s">
        <v>18217</v>
      </c>
      <c r="D2556" s="9" t="s">
        <v>61</v>
      </c>
      <c r="E2556" s="9" t="s">
        <v>61</v>
      </c>
      <c r="F2556" s="10">
        <v>1.514</v>
      </c>
      <c r="G2556" s="10">
        <v>1.665</v>
      </c>
      <c r="H2556" s="10"/>
      <c r="I2556" s="9" t="s">
        <v>45</v>
      </c>
      <c r="J2556" s="9" t="s">
        <v>18218</v>
      </c>
      <c r="K2556" s="9" t="s">
        <v>18219</v>
      </c>
      <c r="L2556" s="8" t="s">
        <v>18220</v>
      </c>
      <c r="M2556" s="9" t="s">
        <v>49</v>
      </c>
      <c r="N2556" s="9" t="s">
        <v>37</v>
      </c>
      <c r="O2556" s="9">
        <f>HYPERLINK("https://www.google.com/maps/search/?api=1&amp;query=37.40046449,-5.9845242", "https://www.google.com/maps/search/?api=1&amp;query=37.40046449,-5.9845242")</f>
      </c>
      <c r="P2556" s="9" t="s">
        <v>965</v>
      </c>
      <c r="Q2556" s="9" t="s">
        <v>18221</v>
      </c>
    </row>
    <row r="2557" spans="1:17" x14ac:dyDescent="0.25">
      <c r="A2557" s="8" t="s">
        <v>18222</v>
      </c>
      <c r="B2557" s="8" t="s">
        <v>18223</v>
      </c>
      <c r="C2557" s="9" t="s">
        <v>18224</v>
      </c>
      <c r="D2557" s="9" t="s">
        <v>116</v>
      </c>
      <c r="E2557" s="9" t="s">
        <v>18225</v>
      </c>
      <c r="F2557" s="10">
        <v>1.514</v>
      </c>
      <c r="G2557" s="10">
        <v>1.665</v>
      </c>
      <c r="H2557" s="10"/>
      <c r="I2557" s="9" t="s">
        <v>118</v>
      </c>
      <c r="J2557" s="9" t="s">
        <v>18226</v>
      </c>
      <c r="K2557" s="9" t="s">
        <v>18227</v>
      </c>
      <c r="L2557" s="8" t="s">
        <v>18228</v>
      </c>
      <c r="M2557" s="9" t="s">
        <v>36</v>
      </c>
      <c r="N2557" s="9" t="s">
        <v>12005</v>
      </c>
      <c r="O2557" s="9">
        <f>HYPERLINK("https://www.google.com/maps/search/?api=1&amp;query=43.30575457,-3.0449161", "https://www.google.com/maps/search/?api=1&amp;query=43.30575457,-3.0449161")</f>
      </c>
      <c r="P2557" s="9" t="s">
        <v>1100</v>
      </c>
      <c r="Q2557" s="9" t="s">
        <v>18229</v>
      </c>
    </row>
    <row r="2558" spans="1:17" x14ac:dyDescent="0.25">
      <c r="A2558" s="8" t="s">
        <v>18230</v>
      </c>
      <c r="B2558" s="8" t="s">
        <v>18231</v>
      </c>
      <c r="C2558" s="9" t="s">
        <v>7951</v>
      </c>
      <c r="D2558" s="9" t="s">
        <v>83</v>
      </c>
      <c r="E2558" s="9" t="s">
        <v>83</v>
      </c>
      <c r="F2558" s="10">
        <v>1.514</v>
      </c>
      <c r="G2558" s="10">
        <v>1.665</v>
      </c>
      <c r="H2558" s="10"/>
      <c r="I2558" s="9" t="s">
        <v>83</v>
      </c>
      <c r="J2558" s="9" t="s">
        <v>18232</v>
      </c>
      <c r="K2558" s="9" t="s">
        <v>18233</v>
      </c>
      <c r="L2558" s="8" t="s">
        <v>18234</v>
      </c>
      <c r="M2558" s="9" t="s">
        <v>36</v>
      </c>
      <c r="N2558" s="9" t="s">
        <v>10489</v>
      </c>
      <c r="O2558" s="9">
        <f>HYPERLINK("https://www.google.com/maps/search/?api=1&amp;query=40.46332943,-3.65814995", "https://www.google.com/maps/search/?api=1&amp;query=40.46332943,-3.65814995")</f>
      </c>
      <c r="P2558" s="9" t="s">
        <v>2594</v>
      </c>
      <c r="Q2558" s="9" t="s">
        <v>1131</v>
      </c>
    </row>
    <row r="2559" spans="1:17" x14ac:dyDescent="0.25">
      <c r="A2559" s="8" t="s">
        <v>18235</v>
      </c>
      <c r="B2559" s="8" t="s">
        <v>18236</v>
      </c>
      <c r="C2559" s="9" t="s">
        <v>18237</v>
      </c>
      <c r="D2559" s="9" t="s">
        <v>43</v>
      </c>
      <c r="E2559" s="9" t="s">
        <v>18238</v>
      </c>
      <c r="F2559" s="10">
        <v>1.514</v>
      </c>
      <c r="G2559" s="10">
        <v>1.665</v>
      </c>
      <c r="H2559" s="10"/>
      <c r="I2559" s="9" t="s">
        <v>45</v>
      </c>
      <c r="J2559" s="9" t="s">
        <v>18239</v>
      </c>
      <c r="K2559" s="9" t="s">
        <v>18240</v>
      </c>
      <c r="L2559" s="8" t="s">
        <v>18241</v>
      </c>
      <c r="M2559" s="9" t="s">
        <v>49</v>
      </c>
      <c r="N2559" s="9" t="s">
        <v>7851</v>
      </c>
      <c r="O2559" s="9">
        <f>HYPERLINK("https://www.google.com/maps/search/?api=1&amp;query=37.79680711,-6.72023246", "https://www.google.com/maps/search/?api=1&amp;query=37.79680711,-6.72023246")</f>
      </c>
      <c r="P2559" s="9" t="s">
        <v>2594</v>
      </c>
      <c r="Q2559" s="9" t="s">
        <v>112</v>
      </c>
    </row>
    <row r="2560" spans="1:17" x14ac:dyDescent="0.25">
      <c r="A2560" s="8" t="s">
        <v>18242</v>
      </c>
      <c r="B2560" s="8" t="s">
        <v>18243</v>
      </c>
      <c r="C2560" s="9" t="s">
        <v>18244</v>
      </c>
      <c r="D2560" s="9" t="s">
        <v>43</v>
      </c>
      <c r="E2560" s="9" t="s">
        <v>13731</v>
      </c>
      <c r="F2560" s="10">
        <v>1.514</v>
      </c>
      <c r="G2560" s="10">
        <v>1.665</v>
      </c>
      <c r="H2560" s="10"/>
      <c r="I2560" s="9" t="s">
        <v>45</v>
      </c>
      <c r="J2560" s="9" t="s">
        <v>18245</v>
      </c>
      <c r="K2560" s="9" t="s">
        <v>18246</v>
      </c>
      <c r="L2560" s="8" t="s">
        <v>13734</v>
      </c>
      <c r="M2560" s="9" t="s">
        <v>36</v>
      </c>
      <c r="N2560" s="9" t="s">
        <v>556</v>
      </c>
      <c r="O2560" s="9">
        <f>HYPERLINK("https://www.google.com/maps/search/?api=1&amp;query=37.20720724,-7.32427545", "https://www.google.com/maps/search/?api=1&amp;query=37.20720724,-7.32427545")</f>
      </c>
      <c r="P2560" s="9" t="s">
        <v>1139</v>
      </c>
      <c r="Q2560" s="9" t="s">
        <v>18247</v>
      </c>
    </row>
    <row r="2561" spans="1:17" x14ac:dyDescent="0.25">
      <c r="A2561" s="8" t="s">
        <v>18248</v>
      </c>
      <c r="B2561" s="8" t="s">
        <v>18249</v>
      </c>
      <c r="C2561" s="9" t="s">
        <v>18250</v>
      </c>
      <c r="D2561" s="9" t="s">
        <v>400</v>
      </c>
      <c r="E2561" s="9" t="s">
        <v>18251</v>
      </c>
      <c r="F2561" s="10">
        <v>1.514</v>
      </c>
      <c r="G2561" s="10">
        <v>1.665</v>
      </c>
      <c r="H2561" s="10"/>
      <c r="I2561" s="9" t="s">
        <v>400</v>
      </c>
      <c r="J2561" s="9" t="s">
        <v>18252</v>
      </c>
      <c r="K2561" s="9" t="s">
        <v>18253</v>
      </c>
      <c r="L2561" s="8" t="s">
        <v>18254</v>
      </c>
      <c r="M2561" s="9" t="s">
        <v>36</v>
      </c>
      <c r="N2561" s="9" t="s">
        <v>122</v>
      </c>
      <c r="O2561" s="9">
        <f>HYPERLINK("https://www.google.com/maps/search/?api=1&amp;query=39.67976011,-0.20759491", "https://www.google.com/maps/search/?api=1&amp;query=39.67976011,-0.20759491")</f>
      </c>
      <c r="P2561" s="9" t="s">
        <v>880</v>
      </c>
      <c r="Q2561" s="9" t="s">
        <v>18255</v>
      </c>
    </row>
    <row r="2562" spans="1:17" x14ac:dyDescent="0.25">
      <c r="A2562" s="8" t="s">
        <v>18256</v>
      </c>
      <c r="B2562" s="8" t="s">
        <v>18257</v>
      </c>
      <c r="C2562" s="9" t="s">
        <v>18258</v>
      </c>
      <c r="D2562" s="9" t="s">
        <v>226</v>
      </c>
      <c r="E2562" s="9" t="s">
        <v>18259</v>
      </c>
      <c r="F2562" s="10">
        <v>1.514</v>
      </c>
      <c r="G2562" s="10">
        <v>1.665</v>
      </c>
      <c r="H2562" s="10"/>
      <c r="I2562" s="9" t="s">
        <v>168</v>
      </c>
      <c r="J2562" s="9" t="s">
        <v>18260</v>
      </c>
      <c r="K2562" s="9" t="s">
        <v>18261</v>
      </c>
      <c r="L2562" s="8" t="s">
        <v>18262</v>
      </c>
      <c r="M2562" s="9" t="s">
        <v>36</v>
      </c>
      <c r="N2562" s="9" t="s">
        <v>37</v>
      </c>
      <c r="O2562" s="9">
        <f>HYPERLINK("https://www.google.com/maps/search/?api=1&amp;query=39.51828847,-1.95316879", "https://www.google.com/maps/search/?api=1&amp;query=39.51828847,-1.95316879")</f>
      </c>
      <c r="P2562" s="9" t="s">
        <v>144</v>
      </c>
      <c r="Q2562" s="9" t="s">
        <v>18263</v>
      </c>
    </row>
    <row r="2563" spans="1:17" x14ac:dyDescent="0.25">
      <c r="A2563" s="8" t="s">
        <v>18264</v>
      </c>
      <c r="B2563" s="8" t="s">
        <v>18265</v>
      </c>
      <c r="C2563" s="9" t="s">
        <v>18266</v>
      </c>
      <c r="D2563" s="9" t="s">
        <v>1847</v>
      </c>
      <c r="E2563" s="9" t="s">
        <v>18267</v>
      </c>
      <c r="F2563" s="10">
        <v>1.514</v>
      </c>
      <c r="G2563" s="10">
        <v>1.665</v>
      </c>
      <c r="H2563" s="10"/>
      <c r="I2563" s="9" t="s">
        <v>74</v>
      </c>
      <c r="J2563" s="9" t="s">
        <v>18268</v>
      </c>
      <c r="K2563" s="9" t="s">
        <v>18269</v>
      </c>
      <c r="L2563" s="8" t="s">
        <v>18270</v>
      </c>
      <c r="M2563" s="9" t="s">
        <v>49</v>
      </c>
      <c r="N2563" s="9" t="s">
        <v>18271</v>
      </c>
      <c r="O2563" s="9">
        <f>HYPERLINK("https://www.google.com/maps/search/?api=1&amp;query=41.03746277,-3.92162001", "https://www.google.com/maps/search/?api=1&amp;query=41.03746277,-3.92162001")</f>
      </c>
      <c r="P2563" s="9" t="s">
        <v>1203</v>
      </c>
      <c r="Q2563" s="9" t="s">
        <v>1204</v>
      </c>
    </row>
    <row r="2564" spans="1:17" x14ac:dyDescent="0.25">
      <c r="A2564" s="8" t="s">
        <v>18272</v>
      </c>
      <c r="B2564" s="8" t="s">
        <v>18273</v>
      </c>
      <c r="C2564" s="9" t="s">
        <v>18274</v>
      </c>
      <c r="D2564" s="9" t="s">
        <v>226</v>
      </c>
      <c r="E2564" s="9" t="s">
        <v>2060</v>
      </c>
      <c r="F2564" s="10">
        <v>1.514</v>
      </c>
      <c r="G2564" s="10">
        <v>1.665</v>
      </c>
      <c r="H2564" s="10"/>
      <c r="I2564" s="9" t="s">
        <v>168</v>
      </c>
      <c r="J2564" s="9" t="s">
        <v>18275</v>
      </c>
      <c r="K2564" s="9" t="s">
        <v>18276</v>
      </c>
      <c r="L2564" s="8" t="s">
        <v>2063</v>
      </c>
      <c r="M2564" s="9" t="s">
        <v>36</v>
      </c>
      <c r="N2564" s="9" t="s">
        <v>37</v>
      </c>
      <c r="O2564" s="9">
        <f>HYPERLINK("https://www.google.com/maps/search/?api=1&amp;query=39.91368978,-2.74461487", "https://www.google.com/maps/search/?api=1&amp;query=39.91368978,-2.74461487")</f>
      </c>
      <c r="P2564" s="9" t="s">
        <v>1250</v>
      </c>
      <c r="Q2564" s="9" t="s">
        <v>3657</v>
      </c>
    </row>
    <row r="2565" spans="1:17" x14ac:dyDescent="0.25">
      <c r="A2565" s="8" t="s">
        <v>4931</v>
      </c>
      <c r="B2565" s="8" t="s">
        <v>18277</v>
      </c>
      <c r="C2565" s="9" t="s">
        <v>18278</v>
      </c>
      <c r="D2565" s="9" t="s">
        <v>30</v>
      </c>
      <c r="E2565" s="9" t="s">
        <v>18279</v>
      </c>
      <c r="F2565" s="10">
        <v>1.514</v>
      </c>
      <c r="G2565" s="10">
        <v>1.665</v>
      </c>
      <c r="H2565" s="10"/>
      <c r="I2565" s="9" t="s">
        <v>32</v>
      </c>
      <c r="J2565" s="9" t="s">
        <v>18280</v>
      </c>
      <c r="K2565" s="9" t="s">
        <v>18281</v>
      </c>
      <c r="L2565" s="8" t="s">
        <v>17223</v>
      </c>
      <c r="M2565" s="9" t="s">
        <v>49</v>
      </c>
      <c r="N2565" s="9" t="s">
        <v>18282</v>
      </c>
      <c r="O2565" s="9">
        <f>HYPERLINK("https://www.google.com/maps/search/?api=1&amp;query=38.3048287,-5.59427772", "https://www.google.com/maps/search/?api=1&amp;query=38.3048287,-5.59427772")</f>
      </c>
      <c r="P2565" s="9" t="s">
        <v>18283</v>
      </c>
      <c r="Q2565" s="9" t="s">
        <v>11278</v>
      </c>
    </row>
    <row r="2566" spans="1:17" x14ac:dyDescent="0.25">
      <c r="A2566" s="8" t="s">
        <v>18284</v>
      </c>
      <c r="B2566" s="8" t="s">
        <v>18285</v>
      </c>
      <c r="C2566" s="9" t="s">
        <v>18286</v>
      </c>
      <c r="D2566" s="9" t="s">
        <v>1192</v>
      </c>
      <c r="E2566" s="9" t="s">
        <v>12880</v>
      </c>
      <c r="F2566" s="10">
        <v>1.514</v>
      </c>
      <c r="G2566" s="10">
        <v>1.665</v>
      </c>
      <c r="H2566" s="10"/>
      <c r="I2566" s="9" t="s">
        <v>168</v>
      </c>
      <c r="J2566" s="9" t="s">
        <v>18287</v>
      </c>
      <c r="K2566" s="9" t="s">
        <v>18288</v>
      </c>
      <c r="L2566" s="8" t="s">
        <v>12883</v>
      </c>
      <c r="M2566" s="9" t="s">
        <v>49</v>
      </c>
      <c r="N2566" s="9" t="s">
        <v>88</v>
      </c>
      <c r="O2566" s="9">
        <f>HYPERLINK("https://www.google.com/maps/search/?api=1&amp;query=39.06061747,-3.6187773", "https://www.google.com/maps/search/?api=1&amp;query=39.06061747,-3.6187773")</f>
      </c>
      <c r="P2566" s="9" t="s">
        <v>2727</v>
      </c>
      <c r="Q2566" s="9" t="s">
        <v>112</v>
      </c>
    </row>
    <row r="2567" spans="1:17" x14ac:dyDescent="0.25">
      <c r="A2567" s="8" t="s">
        <v>18289</v>
      </c>
      <c r="B2567" s="8" t="s">
        <v>18290</v>
      </c>
      <c r="C2567" s="9" t="s">
        <v>18291</v>
      </c>
      <c r="D2567" s="9" t="s">
        <v>83</v>
      </c>
      <c r="E2567" s="9" t="s">
        <v>83</v>
      </c>
      <c r="F2567" s="10">
        <v>1.514</v>
      </c>
      <c r="G2567" s="10">
        <v>1.665</v>
      </c>
      <c r="H2567" s="10"/>
      <c r="I2567" s="9" t="s">
        <v>83</v>
      </c>
      <c r="J2567" s="9" t="s">
        <v>18292</v>
      </c>
      <c r="K2567" s="9" t="s">
        <v>18293</v>
      </c>
      <c r="L2567" s="8" t="s">
        <v>7149</v>
      </c>
      <c r="M2567" s="9" t="s">
        <v>49</v>
      </c>
      <c r="N2567" s="9" t="s">
        <v>11764</v>
      </c>
      <c r="O2567" s="9">
        <f>HYPERLINK("https://www.google.com/maps/search/?api=1&amp;query=40.44401314,-3.66855987", "https://www.google.com/maps/search/?api=1&amp;query=40.44401314,-3.66855987")</f>
      </c>
      <c r="P2567" s="9" t="s">
        <v>2594</v>
      </c>
      <c r="Q2567" s="9" t="s">
        <v>1131</v>
      </c>
    </row>
    <row r="2568" spans="1:17" x14ac:dyDescent="0.25">
      <c r="A2568" s="8" t="s">
        <v>18294</v>
      </c>
      <c r="B2568" s="8" t="s">
        <v>18295</v>
      </c>
      <c r="C2568" s="9" t="s">
        <v>18296</v>
      </c>
      <c r="D2568" s="9" t="s">
        <v>400</v>
      </c>
      <c r="E2568" s="9" t="s">
        <v>18297</v>
      </c>
      <c r="F2568" s="10">
        <v>1.514</v>
      </c>
      <c r="G2568" s="10">
        <v>1.665</v>
      </c>
      <c r="H2568" s="10"/>
      <c r="I2568" s="9" t="s">
        <v>400</v>
      </c>
      <c r="J2568" s="9" t="s">
        <v>18298</v>
      </c>
      <c r="K2568" s="9" t="s">
        <v>18299</v>
      </c>
      <c r="L2568" s="8" t="s">
        <v>18300</v>
      </c>
      <c r="M2568" s="9" t="s">
        <v>36</v>
      </c>
      <c r="N2568" s="9" t="s">
        <v>18301</v>
      </c>
      <c r="O2568" s="9">
        <f>HYPERLINK("https://www.google.com/maps/search/?api=1&amp;query=39.08731012,-0.24858169", "https://www.google.com/maps/search/?api=1&amp;query=39.08731012,-0.24858169")</f>
      </c>
      <c r="P2568" s="9" t="s">
        <v>172</v>
      </c>
      <c r="Q2568" s="9" t="s">
        <v>18302</v>
      </c>
    </row>
    <row r="2569" spans="1:17" x14ac:dyDescent="0.25">
      <c r="A2569" s="8" t="s">
        <v>18303</v>
      </c>
      <c r="B2569" s="8" t="s">
        <v>18304</v>
      </c>
      <c r="C2569" s="9" t="s">
        <v>18305</v>
      </c>
      <c r="D2569" s="9" t="s">
        <v>166</v>
      </c>
      <c r="E2569" s="9" t="s">
        <v>18306</v>
      </c>
      <c r="F2569" s="10">
        <v>1.514</v>
      </c>
      <c r="G2569" s="10">
        <v>1.665</v>
      </c>
      <c r="H2569" s="10"/>
      <c r="I2569" s="9" t="s">
        <v>168</v>
      </c>
      <c r="J2569" s="9" t="s">
        <v>18307</v>
      </c>
      <c r="K2569" s="9" t="s">
        <v>18308</v>
      </c>
      <c r="L2569" s="8" t="s">
        <v>18309</v>
      </c>
      <c r="M2569" s="9" t="s">
        <v>49</v>
      </c>
      <c r="N2569" s="9" t="s">
        <v>211</v>
      </c>
      <c r="O2569" s="9">
        <f>HYPERLINK("https://www.google.com/maps/search/?api=1&amp;query=41.03407002,-2.48120554", "https://www.google.com/maps/search/?api=1&amp;query=41.03407002,-2.48120554")</f>
      </c>
      <c r="P2569" s="9" t="s">
        <v>38</v>
      </c>
      <c r="Q2569" s="9" t="s">
        <v>7556</v>
      </c>
    </row>
    <row r="2570" spans="1:17" x14ac:dyDescent="0.25">
      <c r="A2570" s="8" t="s">
        <v>18310</v>
      </c>
      <c r="B2570" s="8" t="s">
        <v>18311</v>
      </c>
      <c r="C2570" s="9" t="s">
        <v>18312</v>
      </c>
      <c r="D2570" s="9" t="s">
        <v>61</v>
      </c>
      <c r="E2570" s="9" t="s">
        <v>14296</v>
      </c>
      <c r="F2570" s="10">
        <v>1.514</v>
      </c>
      <c r="G2570" s="10">
        <v>1.665</v>
      </c>
      <c r="H2570" s="10"/>
      <c r="I2570" s="9" t="s">
        <v>45</v>
      </c>
      <c r="J2570" s="9" t="s">
        <v>18313</v>
      </c>
      <c r="K2570" s="9" t="s">
        <v>8869</v>
      </c>
      <c r="L2570" s="8" t="s">
        <v>18314</v>
      </c>
      <c r="M2570" s="9" t="s">
        <v>36</v>
      </c>
      <c r="N2570" s="9" t="s">
        <v>8871</v>
      </c>
      <c r="O2570" s="9">
        <f>HYPERLINK("https://www.google.com/maps/search/?api=1&amp;query=37.24979519,-5.00558172", "https://www.google.com/maps/search/?api=1&amp;query=37.24979519,-5.00558172")</f>
      </c>
      <c r="P2570" s="9" t="s">
        <v>3474</v>
      </c>
      <c r="Q2570" s="9" t="s">
        <v>18315</v>
      </c>
    </row>
    <row r="2571" spans="1:17" x14ac:dyDescent="0.25">
      <c r="A2571" s="8" t="s">
        <v>18316</v>
      </c>
      <c r="B2571" s="8" t="s">
        <v>18317</v>
      </c>
      <c r="C2571" s="9" t="s">
        <v>18318</v>
      </c>
      <c r="D2571" s="9" t="s">
        <v>307</v>
      </c>
      <c r="E2571" s="9" t="s">
        <v>18319</v>
      </c>
      <c r="F2571" s="10">
        <v>1.514</v>
      </c>
      <c r="G2571" s="10">
        <v>1.665</v>
      </c>
      <c r="H2571" s="10"/>
      <c r="I2571" s="9" t="s">
        <v>74</v>
      </c>
      <c r="J2571" s="9" t="s">
        <v>18320</v>
      </c>
      <c r="K2571" s="9" t="s">
        <v>18321</v>
      </c>
      <c r="L2571" s="8" t="s">
        <v>18322</v>
      </c>
      <c r="M2571" s="9" t="s">
        <v>36</v>
      </c>
      <c r="N2571" s="9" t="s">
        <v>3164</v>
      </c>
      <c r="O2571" s="9">
        <f>HYPERLINK("https://www.google.com/maps/search/?api=1&amp;query=41.36812375,-6.10229646", "https://www.google.com/maps/search/?api=1&amp;query=41.36812375,-6.10229646")</f>
      </c>
      <c r="P2571" s="9" t="s">
        <v>349</v>
      </c>
      <c r="Q2571" s="9" t="s">
        <v>18323</v>
      </c>
    </row>
    <row r="2572" spans="1:17" x14ac:dyDescent="0.25">
      <c r="A2572" s="8" t="s">
        <v>18324</v>
      </c>
      <c r="B2572" s="8" t="s">
        <v>18325</v>
      </c>
      <c r="C2572" s="9" t="s">
        <v>18326</v>
      </c>
      <c r="D2572" s="9" t="s">
        <v>344</v>
      </c>
      <c r="E2572" s="9" t="s">
        <v>18327</v>
      </c>
      <c r="F2572" s="10">
        <v>1.514</v>
      </c>
      <c r="G2572" s="10">
        <v>1.665</v>
      </c>
      <c r="H2572" s="10"/>
      <c r="I2572" s="9" t="s">
        <v>140</v>
      </c>
      <c r="J2572" s="9" t="s">
        <v>18328</v>
      </c>
      <c r="K2572" s="9" t="s">
        <v>18329</v>
      </c>
      <c r="L2572" s="8" t="s">
        <v>18330</v>
      </c>
      <c r="M2572" s="9" t="s">
        <v>36</v>
      </c>
      <c r="N2572" s="9" t="s">
        <v>66</v>
      </c>
      <c r="O2572" s="9">
        <f>HYPERLINK("https://www.google.com/maps/search/?api=1&amp;query=43.50865172,-8.14523689", "https://www.google.com/maps/search/?api=1&amp;query=43.50865172,-8.14523689")</f>
      </c>
      <c r="P2572" s="9" t="s">
        <v>3400</v>
      </c>
      <c r="Q2572" s="9" t="s">
        <v>17782</v>
      </c>
    </row>
    <row r="2573" spans="1:17" x14ac:dyDescent="0.25">
      <c r="A2573" s="8" t="s">
        <v>18331</v>
      </c>
      <c r="B2573" s="8" t="s">
        <v>18332</v>
      </c>
      <c r="C2573" s="9" t="s">
        <v>18333</v>
      </c>
      <c r="D2573" s="9" t="s">
        <v>400</v>
      </c>
      <c r="E2573" s="9" t="s">
        <v>1394</v>
      </c>
      <c r="F2573" s="10">
        <v>1.514</v>
      </c>
      <c r="G2573" s="10">
        <v>1.665</v>
      </c>
      <c r="H2573" s="10"/>
      <c r="I2573" s="9" t="s">
        <v>400</v>
      </c>
      <c r="J2573" s="9" t="s">
        <v>18334</v>
      </c>
      <c r="K2573" s="9" t="s">
        <v>18335</v>
      </c>
      <c r="L2573" s="8" t="s">
        <v>1397</v>
      </c>
      <c r="M2573" s="9" t="s">
        <v>49</v>
      </c>
      <c r="N2573" s="9" t="s">
        <v>122</v>
      </c>
      <c r="O2573" s="9">
        <f>HYPERLINK("https://www.google.com/maps/search/?api=1&amp;query=39.42694015,-0.48343469", "https://www.google.com/maps/search/?api=1&amp;query=39.42694015,-0.48343469")</f>
      </c>
      <c r="P2573" s="9" t="s">
        <v>1565</v>
      </c>
      <c r="Q2573" s="9" t="s">
        <v>7319</v>
      </c>
    </row>
    <row r="2574" spans="1:17" x14ac:dyDescent="0.25">
      <c r="A2574" s="8" t="s">
        <v>18336</v>
      </c>
      <c r="B2574" s="8" t="s">
        <v>18337</v>
      </c>
      <c r="C2574" s="9" t="s">
        <v>18338</v>
      </c>
      <c r="D2574" s="9" t="s">
        <v>197</v>
      </c>
      <c r="E2574" s="9" t="s">
        <v>8673</v>
      </c>
      <c r="F2574" s="10">
        <v>1.514</v>
      </c>
      <c r="G2574" s="10">
        <v>1.665</v>
      </c>
      <c r="H2574" s="10"/>
      <c r="I2574" s="9" t="s">
        <v>168</v>
      </c>
      <c r="J2574" s="9" t="s">
        <v>18339</v>
      </c>
      <c r="K2574" s="9" t="s">
        <v>18340</v>
      </c>
      <c r="L2574" s="8" t="s">
        <v>8676</v>
      </c>
      <c r="M2574" s="9" t="s">
        <v>49</v>
      </c>
      <c r="N2574" s="9" t="s">
        <v>37</v>
      </c>
      <c r="O2574" s="9">
        <f>HYPERLINK("https://www.google.com/maps/search/?api=1&amp;query=39.52059748,-3.5241024", "https://www.google.com/maps/search/?api=1&amp;query=39.52059748,-3.5241024")</f>
      </c>
      <c r="P2574" s="9" t="s">
        <v>38</v>
      </c>
      <c r="Q2574" s="9" t="s">
        <v>18341</v>
      </c>
    </row>
    <row r="2575" spans="1:17" x14ac:dyDescent="0.25">
      <c r="A2575" s="8" t="s">
        <v>18342</v>
      </c>
      <c r="B2575" s="8" t="s">
        <v>18343</v>
      </c>
      <c r="C2575" s="9" t="s">
        <v>18344</v>
      </c>
      <c r="D2575" s="9" t="s">
        <v>409</v>
      </c>
      <c r="E2575" s="9" t="s">
        <v>409</v>
      </c>
      <c r="F2575" s="10">
        <v>1.514</v>
      </c>
      <c r="G2575" s="10">
        <v>1.665</v>
      </c>
      <c r="H2575" s="10"/>
      <c r="I2575" s="9" t="s">
        <v>292</v>
      </c>
      <c r="J2575" s="9" t="s">
        <v>18345</v>
      </c>
      <c r="K2575" s="9" t="s">
        <v>18346</v>
      </c>
      <c r="L2575" s="8" t="s">
        <v>18347</v>
      </c>
      <c r="M2575" s="9" t="s">
        <v>49</v>
      </c>
      <c r="N2575" s="9" t="s">
        <v>88</v>
      </c>
      <c r="O2575" s="9">
        <f>HYPERLINK("https://www.google.com/maps/search/?api=1&amp;query=41.67253879,-0.83282128", "https://www.google.com/maps/search/?api=1&amp;query=41.67253879,-0.83282128")</f>
      </c>
      <c r="P2575" s="9" t="s">
        <v>2366</v>
      </c>
      <c r="Q2575" s="9" t="s">
        <v>16767</v>
      </c>
    </row>
    <row r="2576" spans="1:17" x14ac:dyDescent="0.25">
      <c r="A2576" s="8" t="s">
        <v>18348</v>
      </c>
      <c r="B2576" s="8" t="s">
        <v>18349</v>
      </c>
      <c r="C2576" s="9" t="s">
        <v>12470</v>
      </c>
      <c r="D2576" s="9" t="s">
        <v>106</v>
      </c>
      <c r="E2576" s="9" t="s">
        <v>17525</v>
      </c>
      <c r="F2576" s="10">
        <v>1.514</v>
      </c>
      <c r="G2576" s="10">
        <v>1.665</v>
      </c>
      <c r="H2576" s="10"/>
      <c r="I2576" s="9" t="s">
        <v>106</v>
      </c>
      <c r="J2576" s="9" t="s">
        <v>18350</v>
      </c>
      <c r="K2576" s="9" t="s">
        <v>18351</v>
      </c>
      <c r="L2576" s="8" t="s">
        <v>17528</v>
      </c>
      <c r="M2576" s="9" t="s">
        <v>36</v>
      </c>
      <c r="N2576" s="9" t="s">
        <v>37</v>
      </c>
      <c r="O2576" s="9">
        <f>HYPERLINK("https://www.google.com/maps/search/?api=1&amp;query=37.88537644,-1.13660179", "https://www.google.com/maps/search/?api=1&amp;query=37.88537644,-1.13660179")</f>
      </c>
      <c r="P2576" s="9" t="s">
        <v>2111</v>
      </c>
      <c r="Q2576" s="9" t="s">
        <v>18352</v>
      </c>
    </row>
    <row r="2577" spans="1:17" x14ac:dyDescent="0.25">
      <c r="A2577" s="8" t="s">
        <v>18353</v>
      </c>
      <c r="B2577" s="8" t="s">
        <v>18354</v>
      </c>
      <c r="C2577" s="9" t="s">
        <v>18355</v>
      </c>
      <c r="D2577" s="9" t="s">
        <v>106</v>
      </c>
      <c r="E2577" s="9" t="s">
        <v>18356</v>
      </c>
      <c r="F2577" s="10">
        <v>1.514</v>
      </c>
      <c r="G2577" s="10">
        <v>1.665</v>
      </c>
      <c r="H2577" s="10"/>
      <c r="I2577" s="9" t="s">
        <v>106</v>
      </c>
      <c r="J2577" s="9" t="s">
        <v>18357</v>
      </c>
      <c r="K2577" s="9" t="s">
        <v>18358</v>
      </c>
      <c r="L2577" s="8" t="s">
        <v>1099</v>
      </c>
      <c r="M2577" s="9" t="s">
        <v>36</v>
      </c>
      <c r="N2577" s="9" t="s">
        <v>88</v>
      </c>
      <c r="O2577" s="9">
        <f>HYPERLINK("https://www.google.com/maps/search/?api=1&amp;query=38.31774781,-1.48142983", "https://www.google.com/maps/search/?api=1&amp;query=38.31774781,-1.48142983")</f>
      </c>
      <c r="P2577" s="9" t="s">
        <v>7433</v>
      </c>
      <c r="Q2577" s="9" t="s">
        <v>548</v>
      </c>
    </row>
    <row r="2578" spans="1:17" x14ac:dyDescent="0.25">
      <c r="A2578" s="8" t="s">
        <v>18359</v>
      </c>
      <c r="B2578" s="8" t="s">
        <v>18360</v>
      </c>
      <c r="C2578" s="9" t="s">
        <v>18361</v>
      </c>
      <c r="D2578" s="9" t="s">
        <v>379</v>
      </c>
      <c r="E2578" s="9" t="s">
        <v>18362</v>
      </c>
      <c r="F2578" s="10">
        <v>1.514</v>
      </c>
      <c r="G2578" s="10">
        <v>1.665</v>
      </c>
      <c r="H2578" s="10"/>
      <c r="I2578" s="9" t="s">
        <v>379</v>
      </c>
      <c r="J2578" s="9" t="s">
        <v>18363</v>
      </c>
      <c r="K2578" s="9" t="s">
        <v>18364</v>
      </c>
      <c r="L2578" s="8" t="s">
        <v>18365</v>
      </c>
      <c r="M2578" s="9" t="s">
        <v>36</v>
      </c>
      <c r="N2578" s="9" t="s">
        <v>88</v>
      </c>
      <c r="O2578" s="9">
        <f>HYPERLINK("https://www.google.com/maps/search/?api=1&amp;query=42.80181009,-1.61268763", "https://www.google.com/maps/search/?api=1&amp;query=42.80181009,-1.61268763")</f>
      </c>
      <c r="P2578" s="9" t="s">
        <v>6218</v>
      </c>
      <c r="Q2578" s="9" t="s">
        <v>18366</v>
      </c>
    </row>
    <row r="2579" spans="1:17" x14ac:dyDescent="0.25">
      <c r="A2579" s="8" t="s">
        <v>18367</v>
      </c>
      <c r="B2579" s="8" t="s">
        <v>18368</v>
      </c>
      <c r="C2579" s="9" t="s">
        <v>18369</v>
      </c>
      <c r="D2579" s="9" t="s">
        <v>83</v>
      </c>
      <c r="E2579" s="9" t="s">
        <v>2251</v>
      </c>
      <c r="F2579" s="10">
        <v>1.514</v>
      </c>
      <c r="G2579" s="10">
        <v>1.665</v>
      </c>
      <c r="H2579" s="10"/>
      <c r="I2579" s="9" t="s">
        <v>83</v>
      </c>
      <c r="J2579" s="9" t="s">
        <v>18370</v>
      </c>
      <c r="K2579" s="9" t="s">
        <v>18371</v>
      </c>
      <c r="L2579" s="8" t="s">
        <v>2254</v>
      </c>
      <c r="M2579" s="9" t="s">
        <v>49</v>
      </c>
      <c r="N2579" s="9" t="s">
        <v>37</v>
      </c>
      <c r="O2579" s="9">
        <f>HYPERLINK("https://www.google.com/maps/search/?api=1&amp;query=40.44274498,-3.49909497", "https://www.google.com/maps/search/?api=1&amp;query=40.44274498,-3.49909497")</f>
      </c>
      <c r="P2579" s="9" t="s">
        <v>493</v>
      </c>
      <c r="Q2579" s="9" t="s">
        <v>18372</v>
      </c>
    </row>
    <row r="2580" spans="1:17" x14ac:dyDescent="0.25">
      <c r="A2580" s="8" t="s">
        <v>18373</v>
      </c>
      <c r="B2580" s="8" t="s">
        <v>18374</v>
      </c>
      <c r="C2580" s="9" t="s">
        <v>18375</v>
      </c>
      <c r="D2580" s="9" t="s">
        <v>138</v>
      </c>
      <c r="E2580" s="9" t="s">
        <v>2163</v>
      </c>
      <c r="F2580" s="10">
        <v>1.514</v>
      </c>
      <c r="G2580" s="10">
        <v>1.665</v>
      </c>
      <c r="H2580" s="10"/>
      <c r="I2580" s="9" t="s">
        <v>140</v>
      </c>
      <c r="J2580" s="9" t="s">
        <v>18376</v>
      </c>
      <c r="K2580" s="9" t="s">
        <v>18377</v>
      </c>
      <c r="L2580" s="8" t="s">
        <v>18378</v>
      </c>
      <c r="M2580" s="9" t="s">
        <v>36</v>
      </c>
      <c r="N2580" s="9" t="s">
        <v>37</v>
      </c>
      <c r="O2580" s="9">
        <f>HYPERLINK("https://www.google.com/maps/search/?api=1&amp;query=42.24626558,-8.69369436", "https://www.google.com/maps/search/?api=1&amp;query=42.24626558,-8.69369436")</f>
      </c>
      <c r="P2580" s="9" t="s">
        <v>321</v>
      </c>
      <c r="Q2580" s="9" t="s">
        <v>618</v>
      </c>
    </row>
    <row r="2581" spans="1:17" x14ac:dyDescent="0.25">
      <c r="A2581" s="8" t="s">
        <v>18379</v>
      </c>
      <c r="B2581" s="8" t="s">
        <v>18380</v>
      </c>
      <c r="C2581" s="9" t="s">
        <v>18381</v>
      </c>
      <c r="D2581" s="9" t="s">
        <v>1617</v>
      </c>
      <c r="E2581" s="9" t="s">
        <v>18382</v>
      </c>
      <c r="F2581" s="10">
        <v>1.514</v>
      </c>
      <c r="G2581" s="10">
        <v>1.665</v>
      </c>
      <c r="H2581" s="10"/>
      <c r="I2581" s="9" t="s">
        <v>292</v>
      </c>
      <c r="J2581" s="9" t="s">
        <v>18383</v>
      </c>
      <c r="K2581" s="9" t="s">
        <v>18384</v>
      </c>
      <c r="L2581" s="8" t="s">
        <v>17192</v>
      </c>
      <c r="M2581" s="9" t="s">
        <v>36</v>
      </c>
      <c r="N2581" s="9" t="s">
        <v>122</v>
      </c>
      <c r="O2581" s="9">
        <f>HYPERLINK("https://www.google.com/maps/search/?api=1&amp;query=42.77369079,-0.36762445", "https://www.google.com/maps/search/?api=1&amp;query=42.77369079,-0.36762445")</f>
      </c>
      <c r="P2581" s="9" t="s">
        <v>1203</v>
      </c>
      <c r="Q2581" s="9" t="s">
        <v>7556</v>
      </c>
    </row>
    <row r="2582" spans="1:17" x14ac:dyDescent="0.25">
      <c r="A2582" s="8" t="s">
        <v>18385</v>
      </c>
      <c r="B2582" s="8" t="s">
        <v>18386</v>
      </c>
      <c r="C2582" s="9" t="s">
        <v>18387</v>
      </c>
      <c r="D2582" s="9" t="s">
        <v>197</v>
      </c>
      <c r="E2582" s="9" t="s">
        <v>18388</v>
      </c>
      <c r="F2582" s="10">
        <v>1.514</v>
      </c>
      <c r="G2582" s="10">
        <v>1.665</v>
      </c>
      <c r="H2582" s="10"/>
      <c r="I2582" s="9" t="s">
        <v>168</v>
      </c>
      <c r="J2582" s="9" t="s">
        <v>18389</v>
      </c>
      <c r="K2582" s="9" t="s">
        <v>18390</v>
      </c>
      <c r="L2582" s="8" t="s">
        <v>18391</v>
      </c>
      <c r="M2582" s="9" t="s">
        <v>100</v>
      </c>
      <c r="N2582" s="9" t="s">
        <v>7624</v>
      </c>
      <c r="O2582" s="9">
        <f>HYPERLINK("https://www.google.com/maps/search/?api=1&amp;query=40.05154458,-3.83690723", "https://www.google.com/maps/search/?api=1&amp;query=40.05154458,-3.83690723")</f>
      </c>
      <c r="P2582" s="9" t="s">
        <v>1203</v>
      </c>
      <c r="Q2582" s="9" t="s">
        <v>18392</v>
      </c>
    </row>
    <row r="2583" spans="1:17" x14ac:dyDescent="0.25">
      <c r="A2583" s="8" t="s">
        <v>18393</v>
      </c>
      <c r="B2583" s="8" t="s">
        <v>18394</v>
      </c>
      <c r="C2583" s="9" t="s">
        <v>18395</v>
      </c>
      <c r="D2583" s="9" t="s">
        <v>488</v>
      </c>
      <c r="E2583" s="9" t="s">
        <v>18396</v>
      </c>
      <c r="F2583" s="10">
        <v>1.514</v>
      </c>
      <c r="G2583" s="10">
        <v>1.665</v>
      </c>
      <c r="H2583" s="10"/>
      <c r="I2583" s="9" t="s">
        <v>45</v>
      </c>
      <c r="J2583" s="9" t="s">
        <v>18397</v>
      </c>
      <c r="K2583" s="9" t="s">
        <v>18398</v>
      </c>
      <c r="L2583" s="8" t="s">
        <v>18399</v>
      </c>
      <c r="M2583" s="9" t="s">
        <v>36</v>
      </c>
      <c r="N2583" s="9" t="s">
        <v>88</v>
      </c>
      <c r="O2583" s="9">
        <f>HYPERLINK("https://www.google.com/maps/search/?api=1&amp;query=38.35753953,-2.79922007", "https://www.google.com/maps/search/?api=1&amp;query=38.35753953,-2.79922007")</f>
      </c>
      <c r="P2583" s="9" t="s">
        <v>1373</v>
      </c>
      <c r="Q2583" s="9" t="s">
        <v>8298</v>
      </c>
    </row>
    <row r="2584" spans="1:17" x14ac:dyDescent="0.25">
      <c r="A2584" s="8" t="s">
        <v>18400</v>
      </c>
      <c r="B2584" s="8" t="s">
        <v>18401</v>
      </c>
      <c r="C2584" s="9" t="s">
        <v>18402</v>
      </c>
      <c r="D2584" s="9" t="s">
        <v>138</v>
      </c>
      <c r="E2584" s="9" t="s">
        <v>15058</v>
      </c>
      <c r="F2584" s="10">
        <v>1.514</v>
      </c>
      <c r="G2584" s="10">
        <v>1.665</v>
      </c>
      <c r="H2584" s="10"/>
      <c r="I2584" s="9" t="s">
        <v>140</v>
      </c>
      <c r="J2584" s="9" t="s">
        <v>18403</v>
      </c>
      <c r="K2584" s="9" t="s">
        <v>18404</v>
      </c>
      <c r="L2584" s="8" t="s">
        <v>15061</v>
      </c>
      <c r="M2584" s="9" t="s">
        <v>49</v>
      </c>
      <c r="N2584" s="9" t="s">
        <v>18405</v>
      </c>
      <c r="O2584" s="9">
        <f>HYPERLINK("https://www.google.com/maps/search/?api=1&amp;query=42.39359932,-8.70424894", "https://www.google.com/maps/search/?api=1&amp;query=42.39359932,-8.70424894")</f>
      </c>
      <c r="P2584" s="9" t="s">
        <v>1803</v>
      </c>
      <c r="Q2584" s="9" t="s">
        <v>1131</v>
      </c>
    </row>
    <row r="2585" spans="1:17" x14ac:dyDescent="0.25">
      <c r="A2585" s="8" t="s">
        <v>18406</v>
      </c>
      <c r="B2585" s="8" t="s">
        <v>18407</v>
      </c>
      <c r="C2585" s="9" t="s">
        <v>16799</v>
      </c>
      <c r="D2585" s="9" t="s">
        <v>1434</v>
      </c>
      <c r="E2585" s="9" t="s">
        <v>18408</v>
      </c>
      <c r="F2585" s="10">
        <v>1.514</v>
      </c>
      <c r="G2585" s="10">
        <v>1.665</v>
      </c>
      <c r="H2585" s="10"/>
      <c r="I2585" s="9" t="s">
        <v>1434</v>
      </c>
      <c r="J2585" s="9" t="s">
        <v>18409</v>
      </c>
      <c r="K2585" s="9" t="s">
        <v>18410</v>
      </c>
      <c r="L2585" s="8" t="s">
        <v>18411</v>
      </c>
      <c r="M2585" s="9" t="s">
        <v>36</v>
      </c>
      <c r="N2585" s="9" t="s">
        <v>645</v>
      </c>
      <c r="O2585" s="9">
        <f>HYPERLINK("https://www.google.com/maps/search/?api=1&amp;query=42.55238145,-2.96538654", "https://www.google.com/maps/search/?api=1&amp;query=42.55238145,-2.96538654")</f>
      </c>
      <c r="P2585" s="9" t="s">
        <v>4559</v>
      </c>
      <c r="Q2585" s="9" t="s">
        <v>18412</v>
      </c>
    </row>
    <row r="2586" spans="1:17" x14ac:dyDescent="0.25">
      <c r="A2586" s="8" t="s">
        <v>18413</v>
      </c>
      <c r="B2586" s="8" t="s">
        <v>18414</v>
      </c>
      <c r="C2586" s="9" t="s">
        <v>18415</v>
      </c>
      <c r="D2586" s="9" t="s">
        <v>197</v>
      </c>
      <c r="E2586" s="9" t="s">
        <v>197</v>
      </c>
      <c r="F2586" s="10">
        <v>1.514</v>
      </c>
      <c r="G2586" s="10">
        <v>1.665</v>
      </c>
      <c r="H2586" s="10"/>
      <c r="I2586" s="9" t="s">
        <v>168</v>
      </c>
      <c r="J2586" s="9" t="s">
        <v>18416</v>
      </c>
      <c r="K2586" s="9" t="s">
        <v>18417</v>
      </c>
      <c r="L2586" s="8" t="s">
        <v>18418</v>
      </c>
      <c r="M2586" s="9" t="s">
        <v>49</v>
      </c>
      <c r="N2586" s="9" t="s">
        <v>37</v>
      </c>
      <c r="O2586" s="9">
        <f>HYPERLINK("https://www.google.com/maps/search/?api=1&amp;query=39.87190348,-4.02118968", "https://www.google.com/maps/search/?api=1&amp;query=39.87190348,-4.02118968")</f>
      </c>
      <c r="P2586" s="9" t="s">
        <v>831</v>
      </c>
      <c r="Q2586" s="9" t="s">
        <v>7937</v>
      </c>
    </row>
    <row r="2587" spans="1:17" x14ac:dyDescent="0.25">
      <c r="A2587" s="8" t="s">
        <v>18419</v>
      </c>
      <c r="B2587" s="8" t="s">
        <v>18420</v>
      </c>
      <c r="C2587" s="9" t="s">
        <v>18421</v>
      </c>
      <c r="D2587" s="9" t="s">
        <v>61</v>
      </c>
      <c r="E2587" s="9" t="s">
        <v>18422</v>
      </c>
      <c r="F2587" s="10">
        <v>1.514</v>
      </c>
      <c r="G2587" s="10">
        <v>1.665</v>
      </c>
      <c r="H2587" s="10"/>
      <c r="I2587" s="9" t="s">
        <v>45</v>
      </c>
      <c r="J2587" s="9" t="s">
        <v>18423</v>
      </c>
      <c r="K2587" s="9" t="s">
        <v>18424</v>
      </c>
      <c r="L2587" s="8" t="s">
        <v>18425</v>
      </c>
      <c r="M2587" s="9" t="s">
        <v>49</v>
      </c>
      <c r="N2587" s="9" t="s">
        <v>964</v>
      </c>
      <c r="O2587" s="9">
        <f>HYPERLINK("https://www.google.com/maps/search/?api=1&amp;query=37.28877538,-5.91511853", "https://www.google.com/maps/search/?api=1&amp;query=37.28877538,-5.91511853")</f>
      </c>
      <c r="P2587" s="9" t="s">
        <v>1250</v>
      </c>
      <c r="Q2587" s="9" t="s">
        <v>1131</v>
      </c>
    </row>
    <row r="2588" spans="1:17" x14ac:dyDescent="0.25">
      <c r="A2588" s="8" t="s">
        <v>18426</v>
      </c>
      <c r="B2588" s="8" t="s">
        <v>18427</v>
      </c>
      <c r="C2588" s="9" t="s">
        <v>18428</v>
      </c>
      <c r="D2588" s="9" t="s">
        <v>226</v>
      </c>
      <c r="E2588" s="9" t="s">
        <v>6720</v>
      </c>
      <c r="F2588" s="10">
        <v>1.514</v>
      </c>
      <c r="G2588" s="10">
        <v>1.665</v>
      </c>
      <c r="H2588" s="10"/>
      <c r="I2588" s="9" t="s">
        <v>168</v>
      </c>
      <c r="J2588" s="9" t="s">
        <v>18429</v>
      </c>
      <c r="K2588" s="9" t="s">
        <v>18430</v>
      </c>
      <c r="L2588" s="8" t="s">
        <v>6723</v>
      </c>
      <c r="M2588" s="9" t="s">
        <v>36</v>
      </c>
      <c r="N2588" s="9" t="s">
        <v>37</v>
      </c>
      <c r="O2588" s="9">
        <f>HYPERLINK("https://www.google.com/maps/search/?api=1&amp;query=39.53848062,-1.89940329", "https://www.google.com/maps/search/?api=1&amp;query=39.53848062,-1.89940329")</f>
      </c>
      <c r="P2588" s="9" t="s">
        <v>144</v>
      </c>
      <c r="Q2588" s="9" t="s">
        <v>18431</v>
      </c>
    </row>
    <row r="2589" spans="1:17" x14ac:dyDescent="0.25">
      <c r="A2589" s="8" t="s">
        <v>18432</v>
      </c>
      <c r="B2589" s="8" t="s">
        <v>18433</v>
      </c>
      <c r="C2589" s="9" t="s">
        <v>18434</v>
      </c>
      <c r="D2589" s="9" t="s">
        <v>61</v>
      </c>
      <c r="E2589" s="9" t="s">
        <v>12621</v>
      </c>
      <c r="F2589" s="10">
        <v>1.514</v>
      </c>
      <c r="G2589" s="10">
        <v>1.665</v>
      </c>
      <c r="H2589" s="10"/>
      <c r="I2589" s="9" t="s">
        <v>45</v>
      </c>
      <c r="J2589" s="9" t="s">
        <v>18435</v>
      </c>
      <c r="K2589" s="9" t="s">
        <v>18436</v>
      </c>
      <c r="L2589" s="8" t="s">
        <v>12624</v>
      </c>
      <c r="M2589" s="9" t="s">
        <v>49</v>
      </c>
      <c r="N2589" s="9" t="s">
        <v>88</v>
      </c>
      <c r="O2589" s="9">
        <f>HYPERLINK("https://www.google.com/maps/search/?api=1&amp;query=37.60476785,-5.81981204", "https://www.google.com/maps/search/?api=1&amp;query=37.60476785,-5.81981204")</f>
      </c>
      <c r="P2589" s="9" t="s">
        <v>8735</v>
      </c>
      <c r="Q2589" s="9" t="s">
        <v>1982</v>
      </c>
    </row>
    <row r="2590" spans="1:17" x14ac:dyDescent="0.25">
      <c r="A2590" s="8" t="s">
        <v>18437</v>
      </c>
      <c r="B2590" s="8" t="s">
        <v>18438</v>
      </c>
      <c r="C2590" s="9" t="s">
        <v>18439</v>
      </c>
      <c r="D2590" s="9" t="s">
        <v>398</v>
      </c>
      <c r="E2590" s="9" t="s">
        <v>2361</v>
      </c>
      <c r="F2590" s="10">
        <v>1.514</v>
      </c>
      <c r="G2590" s="10">
        <v>1.665</v>
      </c>
      <c r="H2590" s="10"/>
      <c r="I2590" s="9" t="s">
        <v>400</v>
      </c>
      <c r="J2590" s="9" t="s">
        <v>18440</v>
      </c>
      <c r="K2590" s="9" t="s">
        <v>18441</v>
      </c>
      <c r="L2590" s="8" t="s">
        <v>18442</v>
      </c>
      <c r="M2590" s="9" t="s">
        <v>49</v>
      </c>
      <c r="N2590" s="9" t="s">
        <v>88</v>
      </c>
      <c r="O2590" s="9">
        <f>HYPERLINK("https://www.google.com/maps/search/?api=1&amp;query=38.01087469,-0.69469482", "https://www.google.com/maps/search/?api=1&amp;query=38.01087469,-0.69469482")</f>
      </c>
      <c r="P2590" s="9" t="s">
        <v>258</v>
      </c>
      <c r="Q2590" s="9" t="s">
        <v>1131</v>
      </c>
    </row>
    <row r="2591" spans="1:17" x14ac:dyDescent="0.25">
      <c r="A2591" s="8" t="s">
        <v>18443</v>
      </c>
      <c r="B2591" s="8" t="s">
        <v>18444</v>
      </c>
      <c r="C2591" s="9" t="s">
        <v>18445</v>
      </c>
      <c r="D2591" s="9" t="s">
        <v>106</v>
      </c>
      <c r="E2591" s="9" t="s">
        <v>18446</v>
      </c>
      <c r="F2591" s="10">
        <v>1.514</v>
      </c>
      <c r="G2591" s="10">
        <v>1.665</v>
      </c>
      <c r="H2591" s="10"/>
      <c r="I2591" s="9" t="s">
        <v>106</v>
      </c>
      <c r="J2591" s="9" t="s">
        <v>18447</v>
      </c>
      <c r="K2591" s="9" t="s">
        <v>18448</v>
      </c>
      <c r="L2591" s="8" t="s">
        <v>18449</v>
      </c>
      <c r="M2591" s="9" t="s">
        <v>49</v>
      </c>
      <c r="N2591" s="9" t="s">
        <v>3399</v>
      </c>
      <c r="O2591" s="9">
        <f>HYPERLINK("https://www.google.com/maps/search/?api=1&amp;query=38.10356453,-1.82109631", "https://www.google.com/maps/search/?api=1&amp;query=38.10356453,-1.82109631")</f>
      </c>
      <c r="P2591" s="9" t="s">
        <v>3530</v>
      </c>
      <c r="Q2591" s="9" t="s">
        <v>17617</v>
      </c>
    </row>
    <row r="2592" spans="1:17" x14ac:dyDescent="0.25">
      <c r="A2592" s="8" t="s">
        <v>18450</v>
      </c>
      <c r="B2592" s="8" t="s">
        <v>18451</v>
      </c>
      <c r="C2592" s="9" t="s">
        <v>18452</v>
      </c>
      <c r="D2592" s="9" t="s">
        <v>166</v>
      </c>
      <c r="E2592" s="9" t="s">
        <v>18306</v>
      </c>
      <c r="F2592" s="10">
        <v>1.514</v>
      </c>
      <c r="G2592" s="10">
        <v>1.665</v>
      </c>
      <c r="H2592" s="10"/>
      <c r="I2592" s="9" t="s">
        <v>168</v>
      </c>
      <c r="J2592" s="9" t="s">
        <v>18453</v>
      </c>
      <c r="K2592" s="9" t="s">
        <v>18454</v>
      </c>
      <c r="L2592" s="8" t="s">
        <v>18309</v>
      </c>
      <c r="M2592" s="9" t="s">
        <v>36</v>
      </c>
      <c r="N2592" s="9" t="s">
        <v>18455</v>
      </c>
      <c r="O2592" s="9">
        <f>HYPERLINK("https://www.google.com/maps/search/?api=1&amp;query=41.03946887,-2.4508925", "https://www.google.com/maps/search/?api=1&amp;query=41.03946887,-2.4508925")</f>
      </c>
      <c r="P2592" s="9" t="s">
        <v>3530</v>
      </c>
      <c r="Q2592" s="9" t="s">
        <v>7038</v>
      </c>
    </row>
    <row r="2593" spans="1:17" x14ac:dyDescent="0.25">
      <c r="A2593" s="8" t="s">
        <v>18456</v>
      </c>
      <c r="B2593" s="8" t="s">
        <v>18457</v>
      </c>
      <c r="C2593" s="9" t="s">
        <v>18458</v>
      </c>
      <c r="D2593" s="9" t="s">
        <v>155</v>
      </c>
      <c r="E2593" s="9" t="s">
        <v>18459</v>
      </c>
      <c r="F2593" s="10">
        <v>1.514</v>
      </c>
      <c r="G2593" s="10">
        <v>1.665</v>
      </c>
      <c r="H2593" s="10"/>
      <c r="I2593" s="9" t="s">
        <v>157</v>
      </c>
      <c r="J2593" s="9" t="s">
        <v>18460</v>
      </c>
      <c r="K2593" s="9" t="s">
        <v>18461</v>
      </c>
      <c r="L2593" s="8" t="s">
        <v>13720</v>
      </c>
      <c r="M2593" s="9" t="s">
        <v>36</v>
      </c>
      <c r="N2593" s="9" t="s">
        <v>8274</v>
      </c>
      <c r="O2593" s="9">
        <f>HYPERLINK("https://www.google.com/maps/search/?api=1&amp;query=39.76312407,3.15072232", "https://www.google.com/maps/search/?api=1&amp;query=39.76312407,3.15072232")</f>
      </c>
      <c r="P2593" s="9" t="s">
        <v>1751</v>
      </c>
      <c r="Q2593" s="9" t="s">
        <v>10317</v>
      </c>
    </row>
    <row r="2594" spans="1:17" x14ac:dyDescent="0.25">
      <c r="A2594" s="8" t="s">
        <v>18462</v>
      </c>
      <c r="B2594" s="8" t="s">
        <v>18463</v>
      </c>
      <c r="C2594" s="9" t="s">
        <v>18464</v>
      </c>
      <c r="D2594" s="9" t="s">
        <v>83</v>
      </c>
      <c r="E2594" s="9" t="s">
        <v>14332</v>
      </c>
      <c r="F2594" s="10">
        <v>1.514</v>
      </c>
      <c r="G2594" s="10">
        <v>1.665</v>
      </c>
      <c r="H2594" s="10"/>
      <c r="I2594" s="9" t="s">
        <v>83</v>
      </c>
      <c r="J2594" s="9" t="s">
        <v>18465</v>
      </c>
      <c r="K2594" s="9" t="s">
        <v>18466</v>
      </c>
      <c r="L2594" s="8" t="s">
        <v>14335</v>
      </c>
      <c r="M2594" s="9" t="s">
        <v>36</v>
      </c>
      <c r="N2594" s="9" t="s">
        <v>37</v>
      </c>
      <c r="O2594" s="9">
        <f>HYPERLINK("https://www.google.com/maps/search/?api=1&amp;query=40.55644352,-3.29506818", "https://www.google.com/maps/search/?api=1&amp;query=40.55644352,-3.29506818")</f>
      </c>
      <c r="P2594" s="9" t="s">
        <v>1250</v>
      </c>
      <c r="Q2594" s="9" t="s">
        <v>3744</v>
      </c>
    </row>
    <row r="2595" spans="1:17" x14ac:dyDescent="0.25">
      <c r="A2595" s="8" t="s">
        <v>18467</v>
      </c>
      <c r="B2595" s="8" t="s">
        <v>18468</v>
      </c>
      <c r="C2595" s="9" t="s">
        <v>18469</v>
      </c>
      <c r="D2595" s="9" t="s">
        <v>83</v>
      </c>
      <c r="E2595" s="9" t="s">
        <v>4971</v>
      </c>
      <c r="F2595" s="10">
        <v>1.514</v>
      </c>
      <c r="G2595" s="10">
        <v>1.665</v>
      </c>
      <c r="H2595" s="10"/>
      <c r="I2595" s="9" t="s">
        <v>83</v>
      </c>
      <c r="J2595" s="9" t="s">
        <v>16927</v>
      </c>
      <c r="K2595" s="9" t="s">
        <v>18470</v>
      </c>
      <c r="L2595" s="8" t="s">
        <v>4974</v>
      </c>
      <c r="M2595" s="9" t="s">
        <v>100</v>
      </c>
      <c r="N2595" s="9" t="s">
        <v>37</v>
      </c>
      <c r="O2595" s="9">
        <f>HYPERLINK("https://www.google.com/maps/search/?api=1&amp;query=40.50805053,-3.91471142", "https://www.google.com/maps/search/?api=1&amp;query=40.50805053,-3.91471142")</f>
      </c>
      <c r="P2595" s="9" t="s">
        <v>321</v>
      </c>
      <c r="Q2595" s="9" t="s">
        <v>16917</v>
      </c>
    </row>
    <row r="2596" spans="1:17" x14ac:dyDescent="0.25">
      <c r="A2596" s="8" t="s">
        <v>18471</v>
      </c>
      <c r="B2596" s="8" t="s">
        <v>18472</v>
      </c>
      <c r="C2596" s="9" t="s">
        <v>18473</v>
      </c>
      <c r="D2596" s="9" t="s">
        <v>30</v>
      </c>
      <c r="E2596" s="9" t="s">
        <v>18474</v>
      </c>
      <c r="F2596" s="10">
        <v>1.514</v>
      </c>
      <c r="G2596" s="10">
        <v>1.665</v>
      </c>
      <c r="H2596" s="10"/>
      <c r="I2596" s="9" t="s">
        <v>32</v>
      </c>
      <c r="J2596" s="9" t="s">
        <v>18475</v>
      </c>
      <c r="K2596" s="9" t="s">
        <v>18476</v>
      </c>
      <c r="L2596" s="8" t="s">
        <v>18477</v>
      </c>
      <c r="M2596" s="9" t="s">
        <v>49</v>
      </c>
      <c r="N2596" s="9" t="s">
        <v>645</v>
      </c>
      <c r="O2596" s="9">
        <f>HYPERLINK("https://www.google.com/maps/search/?api=1&amp;query=38.24680807,-6.30048151", "https://www.google.com/maps/search/?api=1&amp;query=38.24680807,-6.30048151")</f>
      </c>
      <c r="P2596" s="9" t="s">
        <v>906</v>
      </c>
      <c r="Q2596" s="9" t="s">
        <v>18478</v>
      </c>
    </row>
    <row r="2597" spans="1:17" x14ac:dyDescent="0.25">
      <c r="A2597" s="8" t="s">
        <v>18479</v>
      </c>
      <c r="B2597" s="8" t="s">
        <v>18480</v>
      </c>
      <c r="C2597" s="9" t="s">
        <v>18481</v>
      </c>
      <c r="D2597" s="9" t="s">
        <v>83</v>
      </c>
      <c r="E2597" s="9" t="s">
        <v>2251</v>
      </c>
      <c r="F2597" s="10">
        <v>1.514</v>
      </c>
      <c r="G2597" s="10">
        <v>1.665</v>
      </c>
      <c r="H2597" s="10"/>
      <c r="I2597" s="9" t="s">
        <v>83</v>
      </c>
      <c r="J2597" s="9" t="s">
        <v>18482</v>
      </c>
      <c r="K2597" s="9" t="s">
        <v>18483</v>
      </c>
      <c r="L2597" s="8" t="s">
        <v>2254</v>
      </c>
      <c r="M2597" s="9" t="s">
        <v>36</v>
      </c>
      <c r="N2597" s="9" t="s">
        <v>37</v>
      </c>
      <c r="O2597" s="9">
        <f>HYPERLINK("https://www.google.com/maps/search/?api=1&amp;query=40.45476098,-3.49243609", "https://www.google.com/maps/search/?api=1&amp;query=40.45476098,-3.49243609")</f>
      </c>
      <c r="P2597" s="9" t="s">
        <v>18484</v>
      </c>
      <c r="Q2597" s="9" t="s">
        <v>18485</v>
      </c>
    </row>
    <row r="2598" spans="1:17" x14ac:dyDescent="0.25">
      <c r="A2598" s="8" t="s">
        <v>18486</v>
      </c>
      <c r="B2598" s="8" t="s">
        <v>18487</v>
      </c>
      <c r="C2598" s="9" t="s">
        <v>18488</v>
      </c>
      <c r="D2598" s="9" t="s">
        <v>631</v>
      </c>
      <c r="E2598" s="9" t="s">
        <v>14591</v>
      </c>
      <c r="F2598" s="10">
        <v>1.514</v>
      </c>
      <c r="G2598" s="10">
        <v>1.665</v>
      </c>
      <c r="H2598" s="10"/>
      <c r="I2598" s="9" t="s">
        <v>45</v>
      </c>
      <c r="J2598" s="9" t="s">
        <v>18489</v>
      </c>
      <c r="K2598" s="9" t="s">
        <v>18490</v>
      </c>
      <c r="L2598" s="8" t="s">
        <v>14594</v>
      </c>
      <c r="M2598" s="9" t="s">
        <v>49</v>
      </c>
      <c r="N2598" s="9" t="s">
        <v>37</v>
      </c>
      <c r="O2598" s="9">
        <f>HYPERLINK("https://www.google.com/maps/search/?api=1&amp;query=38.37567958,-4.97736225", "https://www.google.com/maps/search/?api=1&amp;query=38.37567958,-4.97736225")</f>
      </c>
      <c r="P2598" s="9" t="s">
        <v>2727</v>
      </c>
      <c r="Q2598" s="9" t="s">
        <v>1982</v>
      </c>
    </row>
    <row r="2599" spans="1:17" x14ac:dyDescent="0.25">
      <c r="A2599" s="8" t="s">
        <v>18491</v>
      </c>
      <c r="B2599" s="8" t="s">
        <v>18492</v>
      </c>
      <c r="C2599" s="9" t="s">
        <v>18493</v>
      </c>
      <c r="D2599" s="9" t="s">
        <v>155</v>
      </c>
      <c r="E2599" s="9" t="s">
        <v>18494</v>
      </c>
      <c r="F2599" s="10">
        <v>1.514</v>
      </c>
      <c r="G2599" s="10">
        <v>1.665</v>
      </c>
      <c r="H2599" s="10"/>
      <c r="I2599" s="9" t="s">
        <v>157</v>
      </c>
      <c r="J2599" s="9" t="s">
        <v>18495</v>
      </c>
      <c r="K2599" s="9" t="s">
        <v>18496</v>
      </c>
      <c r="L2599" s="8" t="s">
        <v>18497</v>
      </c>
      <c r="M2599" s="9" t="s">
        <v>49</v>
      </c>
      <c r="N2599" s="9" t="s">
        <v>88</v>
      </c>
      <c r="O2599" s="9">
        <f>HYPERLINK("https://www.google.com/maps/search/?api=1&amp;query=39.32009982,3.00008965", "https://www.google.com/maps/search/?api=1&amp;query=39.32009982,3.00008965")</f>
      </c>
      <c r="P2599" s="9" t="s">
        <v>1381</v>
      </c>
      <c r="Q2599" s="9" t="s">
        <v>18498</v>
      </c>
    </row>
    <row r="2600" spans="1:17" x14ac:dyDescent="0.25">
      <c r="A2600" s="8" t="s">
        <v>18499</v>
      </c>
      <c r="B2600" s="8" t="s">
        <v>18500</v>
      </c>
      <c r="C2600" s="9" t="s">
        <v>18501</v>
      </c>
      <c r="D2600" s="9" t="s">
        <v>379</v>
      </c>
      <c r="E2600" s="9" t="s">
        <v>18502</v>
      </c>
      <c r="F2600" s="10">
        <v>1.514</v>
      </c>
      <c r="G2600" s="10">
        <v>1.665</v>
      </c>
      <c r="H2600" s="10"/>
      <c r="I2600" s="9" t="s">
        <v>379</v>
      </c>
      <c r="J2600" s="9" t="s">
        <v>18503</v>
      </c>
      <c r="K2600" s="9" t="s">
        <v>18504</v>
      </c>
      <c r="L2600" s="8" t="s">
        <v>18505</v>
      </c>
      <c r="M2600" s="9" t="s">
        <v>49</v>
      </c>
      <c r="N2600" s="9" t="s">
        <v>88</v>
      </c>
      <c r="O2600" s="9">
        <f>HYPERLINK("https://www.google.com/maps/search/?api=1&amp;query=42.81851507,-1.71818561", "https://www.google.com/maps/search/?api=1&amp;query=42.81851507,-1.71818561")</f>
      </c>
      <c r="P2600" s="9" t="s">
        <v>8200</v>
      </c>
      <c r="Q2600" s="9" t="s">
        <v>1742</v>
      </c>
    </row>
    <row r="2601" spans="1:17" x14ac:dyDescent="0.25">
      <c r="A2601" s="8" t="s">
        <v>18506</v>
      </c>
      <c r="B2601" s="8" t="s">
        <v>18507</v>
      </c>
      <c r="C2601" s="9" t="s">
        <v>3263</v>
      </c>
      <c r="D2601" s="9" t="s">
        <v>106</v>
      </c>
      <c r="E2601" s="9" t="s">
        <v>18508</v>
      </c>
      <c r="F2601" s="10">
        <v>1.514</v>
      </c>
      <c r="G2601" s="10">
        <v>1.665</v>
      </c>
      <c r="H2601" s="10"/>
      <c r="I2601" s="9" t="s">
        <v>106</v>
      </c>
      <c r="J2601" s="9" t="s">
        <v>18509</v>
      </c>
      <c r="K2601" s="9" t="s">
        <v>18510</v>
      </c>
      <c r="L2601" s="8" t="s">
        <v>18511</v>
      </c>
      <c r="M2601" s="9" t="s">
        <v>100</v>
      </c>
      <c r="N2601" s="9" t="s">
        <v>18512</v>
      </c>
      <c r="O2601" s="9">
        <f>HYPERLINK("https://www.google.com/maps/search/?api=1&amp;query=37.9728578,-1.1787276", "https://www.google.com/maps/search/?api=1&amp;query=37.9728578,-1.1787276")</f>
      </c>
      <c r="P2601" s="9" t="s">
        <v>172</v>
      </c>
      <c r="Q2601" s="9" t="s">
        <v>12495</v>
      </c>
    </row>
    <row r="2602" spans="1:17" x14ac:dyDescent="0.25">
      <c r="A2602" s="8" t="s">
        <v>18513</v>
      </c>
      <c r="B2602" s="8" t="s">
        <v>18514</v>
      </c>
      <c r="C2602" s="9" t="s">
        <v>18515</v>
      </c>
      <c r="D2602" s="9" t="s">
        <v>30</v>
      </c>
      <c r="E2602" s="9" t="s">
        <v>18516</v>
      </c>
      <c r="F2602" s="10">
        <v>1.514</v>
      </c>
      <c r="G2602" s="10">
        <v>1.665</v>
      </c>
      <c r="H2602" s="10"/>
      <c r="I2602" s="9" t="s">
        <v>32</v>
      </c>
      <c r="J2602" s="9" t="s">
        <v>18517</v>
      </c>
      <c r="K2602" s="9" t="s">
        <v>18518</v>
      </c>
      <c r="L2602" s="8" t="s">
        <v>10568</v>
      </c>
      <c r="M2602" s="9" t="s">
        <v>49</v>
      </c>
      <c r="N2602" s="9" t="s">
        <v>122</v>
      </c>
      <c r="O2602" s="9">
        <f>HYPERLINK("https://www.google.com/maps/search/?api=1&amp;query=38.65463988,-5.65930123", "https://www.google.com/maps/search/?api=1&amp;query=38.65463988,-5.65930123")</f>
      </c>
      <c r="P2602" s="9" t="s">
        <v>1439</v>
      </c>
      <c r="Q2602" s="9" t="s">
        <v>14072</v>
      </c>
    </row>
    <row r="2603" spans="1:17" x14ac:dyDescent="0.25">
      <c r="A2603" s="8" t="s">
        <v>18519</v>
      </c>
      <c r="B2603" s="8" t="s">
        <v>18520</v>
      </c>
      <c r="C2603" s="9" t="s">
        <v>18521</v>
      </c>
      <c r="D2603" s="9" t="s">
        <v>1560</v>
      </c>
      <c r="E2603" s="9" t="s">
        <v>18522</v>
      </c>
      <c r="F2603" s="10">
        <v>1.514</v>
      </c>
      <c r="G2603" s="10">
        <v>1.665</v>
      </c>
      <c r="H2603" s="10"/>
      <c r="I2603" s="9" t="s">
        <v>400</v>
      </c>
      <c r="J2603" s="9" t="s">
        <v>18523</v>
      </c>
      <c r="K2603" s="9" t="s">
        <v>18524</v>
      </c>
      <c r="L2603" s="8" t="s">
        <v>12935</v>
      </c>
      <c r="M2603" s="9" t="s">
        <v>49</v>
      </c>
      <c r="N2603" s="9" t="s">
        <v>88</v>
      </c>
      <c r="O2603" s="9">
        <f>HYPERLINK("https://www.google.com/maps/search/?api=1&amp;query=40.22184548,0.2012045", "https://www.google.com/maps/search/?api=1&amp;query=40.22184548,0.2012045")</f>
      </c>
      <c r="P2603" s="9" t="s">
        <v>3685</v>
      </c>
      <c r="Q2603" s="9" t="s">
        <v>1566</v>
      </c>
    </row>
    <row r="2604" spans="1:17" x14ac:dyDescent="0.25">
      <c r="A2604" s="8" t="s">
        <v>18525</v>
      </c>
      <c r="B2604" s="8" t="s">
        <v>18526</v>
      </c>
      <c r="C2604" s="9" t="s">
        <v>18527</v>
      </c>
      <c r="D2604" s="9" t="s">
        <v>631</v>
      </c>
      <c r="E2604" s="9" t="s">
        <v>18528</v>
      </c>
      <c r="F2604" s="10">
        <v>1.514</v>
      </c>
      <c r="G2604" s="10">
        <v>1.665</v>
      </c>
      <c r="H2604" s="10"/>
      <c r="I2604" s="9" t="s">
        <v>45</v>
      </c>
      <c r="J2604" s="9" t="s">
        <v>18529</v>
      </c>
      <c r="K2604" s="9" t="s">
        <v>18530</v>
      </c>
      <c r="L2604" s="8" t="s">
        <v>18531</v>
      </c>
      <c r="M2604" s="9" t="s">
        <v>49</v>
      </c>
      <c r="N2604" s="9" t="s">
        <v>18532</v>
      </c>
      <c r="O2604" s="9">
        <f>HYPERLINK("https://www.google.com/maps/search/?api=1&amp;query=38.00875442,-4.7739952", "https://www.google.com/maps/search/?api=1&amp;query=38.00875442,-4.7739952")</f>
      </c>
      <c r="P2604" s="9" t="s">
        <v>1803</v>
      </c>
      <c r="Q2604" s="9" t="s">
        <v>2998</v>
      </c>
    </row>
    <row r="2605" spans="1:17" x14ac:dyDescent="0.25">
      <c r="A2605" s="8" t="s">
        <v>18533</v>
      </c>
      <c r="B2605" s="8" t="s">
        <v>18534</v>
      </c>
      <c r="C2605" s="9" t="s">
        <v>18535</v>
      </c>
      <c r="D2605" s="9" t="s">
        <v>106</v>
      </c>
      <c r="E2605" s="9" t="s">
        <v>18536</v>
      </c>
      <c r="F2605" s="10">
        <v>1.514</v>
      </c>
      <c r="G2605" s="10">
        <v>1.665</v>
      </c>
      <c r="H2605" s="10"/>
      <c r="I2605" s="9" t="s">
        <v>106</v>
      </c>
      <c r="J2605" s="9" t="s">
        <v>18537</v>
      </c>
      <c r="K2605" s="9" t="s">
        <v>18538</v>
      </c>
      <c r="L2605" s="8" t="s">
        <v>18539</v>
      </c>
      <c r="M2605" s="9" t="s">
        <v>36</v>
      </c>
      <c r="N2605" s="9" t="s">
        <v>592</v>
      </c>
      <c r="O2605" s="9">
        <f>HYPERLINK("https://www.google.com/maps/search/?api=1&amp;query=37.96832933,-1.09656813", "https://www.google.com/maps/search/?api=1&amp;query=37.96832933,-1.09656813")</f>
      </c>
      <c r="P2605" s="9" t="s">
        <v>258</v>
      </c>
      <c r="Q2605" s="9" t="s">
        <v>565</v>
      </c>
    </row>
    <row r="2606" spans="1:17" x14ac:dyDescent="0.25">
      <c r="A2606" s="8" t="s">
        <v>18540</v>
      </c>
      <c r="B2606" s="8" t="s">
        <v>18541</v>
      </c>
      <c r="C2606" s="9" t="s">
        <v>18542</v>
      </c>
      <c r="D2606" s="9" t="s">
        <v>444</v>
      </c>
      <c r="E2606" s="9" t="s">
        <v>15938</v>
      </c>
      <c r="F2606" s="10">
        <v>1.514</v>
      </c>
      <c r="G2606" s="10">
        <v>1.665</v>
      </c>
      <c r="H2606" s="10"/>
      <c r="I2606" s="9" t="s">
        <v>444</v>
      </c>
      <c r="J2606" s="9" t="s">
        <v>18543</v>
      </c>
      <c r="K2606" s="9" t="s">
        <v>18544</v>
      </c>
      <c r="L2606" s="8" t="s">
        <v>3943</v>
      </c>
      <c r="M2606" s="9" t="s">
        <v>49</v>
      </c>
      <c r="N2606" s="9" t="s">
        <v>66</v>
      </c>
      <c r="O2606" s="9">
        <f>HYPERLINK("https://www.google.com/maps/search/?api=1&amp;query=43.32626209,-5.72968416", "https://www.google.com/maps/search/?api=1&amp;query=43.32626209,-5.72968416")</f>
      </c>
      <c r="P2606" s="9" t="s">
        <v>312</v>
      </c>
      <c r="Q2606" s="9" t="s">
        <v>18545</v>
      </c>
    </row>
    <row r="2607" spans="1:17" x14ac:dyDescent="0.25">
      <c r="A2607" s="8" t="s">
        <v>18546</v>
      </c>
      <c r="B2607" s="8" t="s">
        <v>18547</v>
      </c>
      <c r="C2607" s="9" t="s">
        <v>16583</v>
      </c>
      <c r="D2607" s="9" t="s">
        <v>83</v>
      </c>
      <c r="E2607" s="9" t="s">
        <v>4971</v>
      </c>
      <c r="F2607" s="10">
        <v>1.514</v>
      </c>
      <c r="G2607" s="10">
        <v>1.665</v>
      </c>
      <c r="H2607" s="10"/>
      <c r="I2607" s="9" t="s">
        <v>83</v>
      </c>
      <c r="J2607" s="9" t="s">
        <v>18548</v>
      </c>
      <c r="K2607" s="9" t="s">
        <v>18549</v>
      </c>
      <c r="L2607" s="8" t="s">
        <v>4974</v>
      </c>
      <c r="M2607" s="9" t="s">
        <v>49</v>
      </c>
      <c r="N2607" s="9" t="s">
        <v>37</v>
      </c>
      <c r="O2607" s="9">
        <f>HYPERLINK("https://www.google.com/maps/search/?api=1&amp;query=40.55254125,-3.89751386", "https://www.google.com/maps/search/?api=1&amp;query=40.55254125,-3.89751386")</f>
      </c>
      <c r="P2607" s="9" t="s">
        <v>4183</v>
      </c>
      <c r="Q2607" s="9" t="s">
        <v>18550</v>
      </c>
    </row>
    <row r="2608" spans="1:17" x14ac:dyDescent="0.25">
      <c r="A2608" s="8" t="s">
        <v>18551</v>
      </c>
      <c r="B2608" s="8" t="s">
        <v>18552</v>
      </c>
      <c r="C2608" s="9" t="s">
        <v>18553</v>
      </c>
      <c r="D2608" s="9" t="s">
        <v>2288</v>
      </c>
      <c r="E2608" s="9" t="s">
        <v>18554</v>
      </c>
      <c r="F2608" s="10">
        <v>1.514</v>
      </c>
      <c r="G2608" s="10">
        <v>1.665</v>
      </c>
      <c r="H2608" s="10"/>
      <c r="I2608" s="9" t="s">
        <v>168</v>
      </c>
      <c r="J2608" s="9" t="s">
        <v>18555</v>
      </c>
      <c r="K2608" s="9" t="s">
        <v>18556</v>
      </c>
      <c r="L2608" s="8" t="s">
        <v>18557</v>
      </c>
      <c r="M2608" s="9" t="s">
        <v>36</v>
      </c>
      <c r="N2608" s="9" t="s">
        <v>1695</v>
      </c>
      <c r="O2608" s="9">
        <f>HYPERLINK("https://www.google.com/maps/search/?api=1&amp;query=38.71757936,-1.91050607", "https://www.google.com/maps/search/?api=1&amp;query=38.71757936,-1.91050607")</f>
      </c>
      <c r="P2608" s="9" t="s">
        <v>16544</v>
      </c>
      <c r="Q2608" s="9" t="s">
        <v>3657</v>
      </c>
    </row>
    <row r="2609" spans="1:17" x14ac:dyDescent="0.25">
      <c r="A2609" s="8" t="s">
        <v>18558</v>
      </c>
      <c r="B2609" s="8" t="s">
        <v>18559</v>
      </c>
      <c r="C2609" s="9" t="s">
        <v>18560</v>
      </c>
      <c r="D2609" s="9" t="s">
        <v>892</v>
      </c>
      <c r="E2609" s="9" t="s">
        <v>18561</v>
      </c>
      <c r="F2609" s="10">
        <v>1.514</v>
      </c>
      <c r="G2609" s="10">
        <v>1.665</v>
      </c>
      <c r="H2609" s="10"/>
      <c r="I2609" s="9" t="s">
        <v>32</v>
      </c>
      <c r="J2609" s="9" t="s">
        <v>18562</v>
      </c>
      <c r="K2609" s="9" t="s">
        <v>18563</v>
      </c>
      <c r="L2609" s="8" t="s">
        <v>18564</v>
      </c>
      <c r="M2609" s="9" t="s">
        <v>36</v>
      </c>
      <c r="N2609" s="9" t="s">
        <v>592</v>
      </c>
      <c r="O2609" s="9">
        <f>HYPERLINK("https://www.google.com/maps/search/?api=1&amp;query=40.01736844,-5.87454975", "https://www.google.com/maps/search/?api=1&amp;query=40.01736844,-5.87454975")</f>
      </c>
      <c r="P2609" s="9" t="s">
        <v>16987</v>
      </c>
      <c r="Q2609" s="9" t="s">
        <v>1742</v>
      </c>
    </row>
    <row r="2610" spans="1:17" x14ac:dyDescent="0.25">
      <c r="A2610" s="8" t="s">
        <v>18565</v>
      </c>
      <c r="B2610" s="8" t="s">
        <v>18566</v>
      </c>
      <c r="C2610" s="9" t="s">
        <v>18567</v>
      </c>
      <c r="D2610" s="9" t="s">
        <v>280</v>
      </c>
      <c r="E2610" s="9" t="s">
        <v>6531</v>
      </c>
      <c r="F2610" s="10">
        <v>1.514</v>
      </c>
      <c r="G2610" s="10">
        <v>1.665</v>
      </c>
      <c r="H2610" s="10"/>
      <c r="I2610" s="9" t="s">
        <v>118</v>
      </c>
      <c r="J2610" s="9" t="s">
        <v>18568</v>
      </c>
      <c r="K2610" s="9" t="s">
        <v>18569</v>
      </c>
      <c r="L2610" s="8" t="s">
        <v>6534</v>
      </c>
      <c r="M2610" s="9" t="s">
        <v>36</v>
      </c>
      <c r="N2610" s="9" t="s">
        <v>645</v>
      </c>
      <c r="O2610" s="9">
        <f>HYPERLINK("https://www.google.com/maps/search/?api=1&amp;query=43.25797704,-2.01820489", "https://www.google.com/maps/search/?api=1&amp;query=43.25797704,-2.01820489")</f>
      </c>
      <c r="P2610" s="9" t="s">
        <v>13481</v>
      </c>
      <c r="Q2610" s="9" t="s">
        <v>10247</v>
      </c>
    </row>
    <row r="2611" spans="1:17" x14ac:dyDescent="0.25">
      <c r="A2611" s="8" t="s">
        <v>18570</v>
      </c>
      <c r="B2611" s="8" t="s">
        <v>18571</v>
      </c>
      <c r="C2611" s="9" t="s">
        <v>18572</v>
      </c>
      <c r="D2611" s="9" t="s">
        <v>808</v>
      </c>
      <c r="E2611" s="9" t="s">
        <v>5108</v>
      </c>
      <c r="F2611" s="10">
        <v>1.514</v>
      </c>
      <c r="G2611" s="10">
        <v>1.665</v>
      </c>
      <c r="H2611" s="10"/>
      <c r="I2611" s="9" t="s">
        <v>808</v>
      </c>
      <c r="J2611" s="9" t="s">
        <v>18573</v>
      </c>
      <c r="K2611" s="9" t="s">
        <v>18574</v>
      </c>
      <c r="L2611" s="8" t="s">
        <v>5111</v>
      </c>
      <c r="M2611" s="9" t="s">
        <v>100</v>
      </c>
      <c r="N2611" s="9" t="s">
        <v>37</v>
      </c>
      <c r="O2611" s="9">
        <f>HYPERLINK("https://www.google.com/maps/search/?api=1&amp;query=43.38874464,-3.68697286", "https://www.google.com/maps/search/?api=1&amp;query=43.38874464,-3.68697286")</f>
      </c>
      <c r="P2611" s="9" t="s">
        <v>18575</v>
      </c>
      <c r="Q2611" s="9" t="s">
        <v>18576</v>
      </c>
    </row>
    <row r="2612" spans="1:17" x14ac:dyDescent="0.25">
      <c r="A2612" s="8" t="s">
        <v>18577</v>
      </c>
      <c r="B2612" s="8" t="s">
        <v>18578</v>
      </c>
      <c r="C2612" s="9" t="s">
        <v>18579</v>
      </c>
      <c r="D2612" s="9" t="s">
        <v>128</v>
      </c>
      <c r="E2612" s="9" t="s">
        <v>129</v>
      </c>
      <c r="F2612" s="10">
        <v>1.514</v>
      </c>
      <c r="G2612" s="10">
        <v>1.665</v>
      </c>
      <c r="H2612" s="10"/>
      <c r="I2612" s="9" t="s">
        <v>45</v>
      </c>
      <c r="J2612" s="9" t="s">
        <v>18580</v>
      </c>
      <c r="K2612" s="9" t="s">
        <v>18581</v>
      </c>
      <c r="L2612" s="8" t="s">
        <v>1802</v>
      </c>
      <c r="M2612" s="9" t="s">
        <v>49</v>
      </c>
      <c r="N2612" s="9" t="s">
        <v>8958</v>
      </c>
      <c r="O2612" s="9">
        <f>HYPERLINK("https://www.google.com/maps/search/?api=1&amp;query=36.6953583,-6.13395152", "https://www.google.com/maps/search/?api=1&amp;query=36.6953583,-6.13395152")</f>
      </c>
      <c r="P2612" s="9" t="s">
        <v>8820</v>
      </c>
      <c r="Q2612" s="9" t="s">
        <v>3650</v>
      </c>
    </row>
    <row r="2613" spans="1:17" x14ac:dyDescent="0.25">
      <c r="A2613" s="8" t="s">
        <v>18582</v>
      </c>
      <c r="B2613" s="8" t="s">
        <v>18583</v>
      </c>
      <c r="C2613" s="9" t="s">
        <v>18584</v>
      </c>
      <c r="D2613" s="9" t="s">
        <v>187</v>
      </c>
      <c r="E2613" s="9" t="s">
        <v>18585</v>
      </c>
      <c r="F2613" s="10">
        <v>1.514</v>
      </c>
      <c r="G2613" s="10">
        <v>1.665</v>
      </c>
      <c r="H2613" s="10"/>
      <c r="I2613" s="9" t="s">
        <v>74</v>
      </c>
      <c r="J2613" s="9" t="s">
        <v>18586</v>
      </c>
      <c r="K2613" s="9" t="s">
        <v>18587</v>
      </c>
      <c r="L2613" s="8" t="s">
        <v>18588</v>
      </c>
      <c r="M2613" s="9" t="s">
        <v>49</v>
      </c>
      <c r="N2613" s="9" t="s">
        <v>18589</v>
      </c>
      <c r="O2613" s="9">
        <f>HYPERLINK("https://www.google.com/maps/search/?api=1&amp;query=42.43613031,-5.69260548", "https://www.google.com/maps/search/?api=1&amp;query=42.43613031,-5.69260548")</f>
      </c>
      <c r="P2613" s="9" t="s">
        <v>8200</v>
      </c>
      <c r="Q2613" s="9" t="s">
        <v>10756</v>
      </c>
    </row>
    <row r="2614" spans="1:17" x14ac:dyDescent="0.25">
      <c r="A2614" s="8" t="s">
        <v>18590</v>
      </c>
      <c r="B2614" s="8" t="s">
        <v>18591</v>
      </c>
      <c r="C2614" s="9" t="s">
        <v>13745</v>
      </c>
      <c r="D2614" s="9" t="s">
        <v>577</v>
      </c>
      <c r="E2614" s="9" t="s">
        <v>18592</v>
      </c>
      <c r="F2614" s="10">
        <v>1.514</v>
      </c>
      <c r="G2614" s="10">
        <v>1.665</v>
      </c>
      <c r="H2614" s="10"/>
      <c r="I2614" s="9" t="s">
        <v>74</v>
      </c>
      <c r="J2614" s="9" t="s">
        <v>18593</v>
      </c>
      <c r="K2614" s="9" t="s">
        <v>18594</v>
      </c>
      <c r="L2614" s="8" t="s">
        <v>18595</v>
      </c>
      <c r="M2614" s="9" t="s">
        <v>36</v>
      </c>
      <c r="N2614" s="9" t="s">
        <v>37</v>
      </c>
      <c r="O2614" s="9">
        <f>HYPERLINK("https://www.google.com/maps/search/?api=1&amp;query=41.13240733,-4.77762852", "https://www.google.com/maps/search/?api=1&amp;query=41.13240733,-4.77762852")</f>
      </c>
      <c r="P2614" s="9" t="s">
        <v>880</v>
      </c>
      <c r="Q2614" s="9" t="s">
        <v>18596</v>
      </c>
    </row>
    <row r="2615" spans="1:17" x14ac:dyDescent="0.25">
      <c r="A2615" s="8" t="s">
        <v>18597</v>
      </c>
      <c r="B2615" s="8" t="s">
        <v>18598</v>
      </c>
      <c r="C2615" s="9" t="s">
        <v>18599</v>
      </c>
      <c r="D2615" s="9" t="s">
        <v>631</v>
      </c>
      <c r="E2615" s="9" t="s">
        <v>18600</v>
      </c>
      <c r="F2615" s="10">
        <v>1.514</v>
      </c>
      <c r="G2615" s="10">
        <v>1.665</v>
      </c>
      <c r="H2615" s="10"/>
      <c r="I2615" s="9" t="s">
        <v>45</v>
      </c>
      <c r="J2615" s="9" t="s">
        <v>18601</v>
      </c>
      <c r="K2615" s="9" t="s">
        <v>18602</v>
      </c>
      <c r="L2615" s="8" t="s">
        <v>18603</v>
      </c>
      <c r="M2615" s="9" t="s">
        <v>36</v>
      </c>
      <c r="N2615" s="9" t="s">
        <v>18604</v>
      </c>
      <c r="O2615" s="9">
        <f>HYPERLINK("https://www.google.com/maps/search/?api=1&amp;query=37.77778168,-5.20160818", "https://www.google.com/maps/search/?api=1&amp;query=37.77778168,-5.20160818")</f>
      </c>
      <c r="P2615" s="9" t="s">
        <v>1439</v>
      </c>
      <c r="Q2615" s="9" t="s">
        <v>1131</v>
      </c>
    </row>
    <row r="2616" spans="1:17" x14ac:dyDescent="0.25">
      <c r="A2616" s="8" t="s">
        <v>18605</v>
      </c>
      <c r="B2616" s="8" t="s">
        <v>18606</v>
      </c>
      <c r="C2616" s="9" t="s">
        <v>18607</v>
      </c>
      <c r="D2616" s="9" t="s">
        <v>116</v>
      </c>
      <c r="E2616" s="9" t="s">
        <v>18608</v>
      </c>
      <c r="F2616" s="10">
        <v>1.514</v>
      </c>
      <c r="G2616" s="10">
        <v>1.665</v>
      </c>
      <c r="H2616" s="10"/>
      <c r="I2616" s="9" t="s">
        <v>118</v>
      </c>
      <c r="J2616" s="9" t="s">
        <v>18609</v>
      </c>
      <c r="K2616" s="9" t="s">
        <v>18610</v>
      </c>
      <c r="L2616" s="8" t="s">
        <v>18611</v>
      </c>
      <c r="M2616" s="9" t="s">
        <v>100</v>
      </c>
      <c r="N2616" s="9" t="s">
        <v>37</v>
      </c>
      <c r="O2616" s="9">
        <f>HYPERLINK("https://www.google.com/maps/search/?api=1&amp;query=43.320482,-2.976178", "https://www.google.com/maps/search/?api=1&amp;query=43.320482,-2.976178")</f>
      </c>
      <c r="P2616" s="9" t="s">
        <v>646</v>
      </c>
      <c r="Q2616" s="9" t="s">
        <v>18612</v>
      </c>
    </row>
    <row r="2617" spans="1:17" x14ac:dyDescent="0.25">
      <c r="A2617" s="8" t="s">
        <v>18613</v>
      </c>
      <c r="B2617" s="8" t="s">
        <v>18614</v>
      </c>
      <c r="C2617" s="9" t="s">
        <v>18615</v>
      </c>
      <c r="D2617" s="9" t="s">
        <v>488</v>
      </c>
      <c r="E2617" s="9" t="s">
        <v>18616</v>
      </c>
      <c r="F2617" s="10">
        <v>1.514</v>
      </c>
      <c r="G2617" s="10">
        <v>1.665</v>
      </c>
      <c r="H2617" s="10"/>
      <c r="I2617" s="9" t="s">
        <v>45</v>
      </c>
      <c r="J2617" s="9" t="s">
        <v>18617</v>
      </c>
      <c r="K2617" s="9" t="s">
        <v>18618</v>
      </c>
      <c r="L2617" s="8" t="s">
        <v>18619</v>
      </c>
      <c r="M2617" s="9" t="s">
        <v>36</v>
      </c>
      <c r="N2617" s="9" t="s">
        <v>88</v>
      </c>
      <c r="O2617" s="9">
        <f>HYPERLINK("https://www.google.com/maps/search/?api=1&amp;query=37.783889,-3.600111", "https://www.google.com/maps/search/?api=1&amp;query=37.783889,-3.600111")</f>
      </c>
      <c r="P2617" s="9" t="s">
        <v>5394</v>
      </c>
      <c r="Q2617" s="9" t="s">
        <v>7480</v>
      </c>
    </row>
    <row r="2618" spans="1:17" x14ac:dyDescent="0.25">
      <c r="A2618" s="8" t="s">
        <v>18620</v>
      </c>
      <c r="B2618" s="8" t="s">
        <v>18621</v>
      </c>
      <c r="C2618" s="9" t="s">
        <v>18622</v>
      </c>
      <c r="D2618" s="9" t="s">
        <v>155</v>
      </c>
      <c r="E2618" s="9" t="s">
        <v>15433</v>
      </c>
      <c r="F2618" s="10">
        <v>1.514</v>
      </c>
      <c r="G2618" s="10">
        <v>1.665</v>
      </c>
      <c r="H2618" s="10"/>
      <c r="I2618" s="9" t="s">
        <v>157</v>
      </c>
      <c r="J2618" s="9" t="s">
        <v>18623</v>
      </c>
      <c r="K2618" s="9" t="s">
        <v>18624</v>
      </c>
      <c r="L2618" s="8" t="s">
        <v>655</v>
      </c>
      <c r="M2618" s="9" t="s">
        <v>49</v>
      </c>
      <c r="N2618" s="9" t="s">
        <v>37</v>
      </c>
      <c r="O2618" s="9">
        <f>HYPERLINK("https://www.google.com/maps/search/?api=1&amp;query=39.71658658,2.91554046", "https://www.google.com/maps/search/?api=1&amp;query=39.71658658,2.91554046")</f>
      </c>
      <c r="P2618" s="9" t="s">
        <v>1565</v>
      </c>
      <c r="Q2618" s="9" t="s">
        <v>18625</v>
      </c>
    </row>
    <row r="2619" spans="1:17" x14ac:dyDescent="0.25">
      <c r="A2619" s="8" t="s">
        <v>18626</v>
      </c>
      <c r="B2619" s="8" t="s">
        <v>18627</v>
      </c>
      <c r="C2619" s="9" t="s">
        <v>18628</v>
      </c>
      <c r="D2619" s="9" t="s">
        <v>919</v>
      </c>
      <c r="E2619" s="9" t="s">
        <v>3122</v>
      </c>
      <c r="F2619" s="10">
        <v>1.514</v>
      </c>
      <c r="G2619" s="10">
        <v>1.665</v>
      </c>
      <c r="H2619" s="10"/>
      <c r="I2619" s="9" t="s">
        <v>118</v>
      </c>
      <c r="J2619" s="9" t="s">
        <v>18629</v>
      </c>
      <c r="K2619" s="9" t="s">
        <v>18630</v>
      </c>
      <c r="L2619" s="8" t="s">
        <v>6491</v>
      </c>
      <c r="M2619" s="9" t="s">
        <v>49</v>
      </c>
      <c r="N2619" s="9" t="s">
        <v>88</v>
      </c>
      <c r="O2619" s="9">
        <f>HYPERLINK("https://www.google.com/maps/search/?api=1&amp;query=42.85913079,-2.66169045", "https://www.google.com/maps/search/?api=1&amp;query=42.85913079,-2.66169045")</f>
      </c>
      <c r="P2619" s="9" t="s">
        <v>172</v>
      </c>
      <c r="Q2619" s="9" t="s">
        <v>1204</v>
      </c>
    </row>
    <row r="2620" spans="1:17" x14ac:dyDescent="0.25">
      <c r="A2620" s="8" t="s">
        <v>18631</v>
      </c>
      <c r="B2620" s="8" t="s">
        <v>18632</v>
      </c>
      <c r="C2620" s="9" t="s">
        <v>18633</v>
      </c>
      <c r="D2620" s="9" t="s">
        <v>434</v>
      </c>
      <c r="E2620" s="9" t="s">
        <v>18634</v>
      </c>
      <c r="F2620" s="10">
        <v>1.514</v>
      </c>
      <c r="G2620" s="10">
        <v>1.665</v>
      </c>
      <c r="H2620" s="10"/>
      <c r="I2620" s="9" t="s">
        <v>96</v>
      </c>
      <c r="J2620" s="9" t="s">
        <v>18635</v>
      </c>
      <c r="K2620" s="9" t="s">
        <v>18636</v>
      </c>
      <c r="L2620" s="8" t="s">
        <v>18637</v>
      </c>
      <c r="M2620" s="9" t="s">
        <v>49</v>
      </c>
      <c r="N2620" s="9" t="s">
        <v>18638</v>
      </c>
      <c r="O2620" s="9">
        <f>HYPERLINK("https://www.google.com/maps/search/?api=1&amp;query=42.02268263,2.59196556", "https://www.google.com/maps/search/?api=1&amp;query=42.02268263,2.59196556")</f>
      </c>
      <c r="P2620" s="9" t="s">
        <v>7834</v>
      </c>
      <c r="Q2620" s="9" t="s">
        <v>3619</v>
      </c>
    </row>
    <row r="2621" spans="1:17" x14ac:dyDescent="0.25">
      <c r="A2621" s="8" t="s">
        <v>18639</v>
      </c>
      <c r="B2621" s="8" t="s">
        <v>18640</v>
      </c>
      <c r="C2621" s="9" t="s">
        <v>1921</v>
      </c>
      <c r="D2621" s="9" t="s">
        <v>1847</v>
      </c>
      <c r="E2621" s="9" t="s">
        <v>18641</v>
      </c>
      <c r="F2621" s="10">
        <v>1.514</v>
      </c>
      <c r="G2621" s="10">
        <v>1.665</v>
      </c>
      <c r="H2621" s="10"/>
      <c r="I2621" s="9" t="s">
        <v>74</v>
      </c>
      <c r="J2621" s="9" t="s">
        <v>18642</v>
      </c>
      <c r="K2621" s="9" t="s">
        <v>18643</v>
      </c>
      <c r="L2621" s="8" t="s">
        <v>18644</v>
      </c>
      <c r="M2621" s="9" t="s">
        <v>100</v>
      </c>
      <c r="N2621" s="9" t="s">
        <v>5851</v>
      </c>
      <c r="O2621" s="9">
        <f>HYPERLINK("https://www.google.com/maps/search/?api=1&amp;query=41.14501697,-4.4841158", "https://www.google.com/maps/search/?api=1&amp;query=41.14501697,-4.4841158")</f>
      </c>
      <c r="P2621" s="9" t="s">
        <v>1927</v>
      </c>
      <c r="Q2621" s="9" t="s">
        <v>3771</v>
      </c>
    </row>
    <row r="2622" spans="1:17" x14ac:dyDescent="0.25">
      <c r="A2622" s="8" t="s">
        <v>18645</v>
      </c>
      <c r="B2622" s="8" t="s">
        <v>18646</v>
      </c>
      <c r="C2622" s="9" t="s">
        <v>18647</v>
      </c>
      <c r="D2622" s="9" t="s">
        <v>1560</v>
      </c>
      <c r="E2622" s="9" t="s">
        <v>18648</v>
      </c>
      <c r="F2622" s="10">
        <v>1.514</v>
      </c>
      <c r="G2622" s="10">
        <v>1.665</v>
      </c>
      <c r="H2622" s="10"/>
      <c r="I2622" s="9" t="s">
        <v>400</v>
      </c>
      <c r="J2622" s="9" t="s">
        <v>18649</v>
      </c>
      <c r="K2622" s="9" t="s">
        <v>18650</v>
      </c>
      <c r="L2622" s="8" t="s">
        <v>18651</v>
      </c>
      <c r="M2622" s="9" t="s">
        <v>36</v>
      </c>
      <c r="N2622" s="9" t="s">
        <v>7222</v>
      </c>
      <c r="O2622" s="9">
        <f>HYPERLINK("https://www.google.com/maps/search/?api=1&amp;query=40.19254422,-0.04557791", "https://www.google.com/maps/search/?api=1&amp;query=40.19254422,-0.04557791")</f>
      </c>
      <c r="P2622" s="9" t="s">
        <v>18652</v>
      </c>
      <c r="Q2622" s="9" t="s">
        <v>3771</v>
      </c>
    </row>
    <row r="2623" spans="1:17" x14ac:dyDescent="0.25">
      <c r="A2623" s="8" t="s">
        <v>18653</v>
      </c>
      <c r="B2623" s="8" t="s">
        <v>18654</v>
      </c>
      <c r="C2623" s="9" t="s">
        <v>18655</v>
      </c>
      <c r="D2623" s="9" t="s">
        <v>400</v>
      </c>
      <c r="E2623" s="9" t="s">
        <v>13851</v>
      </c>
      <c r="F2623" s="10">
        <v>1.514</v>
      </c>
      <c r="G2623" s="10">
        <v>1.665</v>
      </c>
      <c r="H2623" s="10"/>
      <c r="I2623" s="9" t="s">
        <v>400</v>
      </c>
      <c r="J2623" s="9" t="s">
        <v>18656</v>
      </c>
      <c r="K2623" s="9" t="s">
        <v>18657</v>
      </c>
      <c r="L2623" s="8" t="s">
        <v>13854</v>
      </c>
      <c r="M2623" s="9" t="s">
        <v>49</v>
      </c>
      <c r="N2623" s="9" t="s">
        <v>88</v>
      </c>
      <c r="O2623" s="9">
        <f>HYPERLINK("https://www.google.com/maps/search/?api=1&amp;query=38.82690987,-0.58801999", "https://www.google.com/maps/search/?api=1&amp;query=38.82690987,-0.58801999")</f>
      </c>
      <c r="P2623" s="9" t="s">
        <v>2576</v>
      </c>
      <c r="Q2623" s="9" t="s">
        <v>8298</v>
      </c>
    </row>
    <row r="2624" spans="1:17" x14ac:dyDescent="0.25">
      <c r="A2624" s="8" t="s">
        <v>18658</v>
      </c>
      <c r="B2624" s="8" t="s">
        <v>18659</v>
      </c>
      <c r="C2624" s="9" t="s">
        <v>18660</v>
      </c>
      <c r="D2624" s="9" t="s">
        <v>1282</v>
      </c>
      <c r="E2624" s="9" t="s">
        <v>3388</v>
      </c>
      <c r="F2624" s="10">
        <v>1.514</v>
      </c>
      <c r="G2624" s="10">
        <v>1.665</v>
      </c>
      <c r="H2624" s="10"/>
      <c r="I2624" s="9" t="s">
        <v>45</v>
      </c>
      <c r="J2624" s="9" t="s">
        <v>18661</v>
      </c>
      <c r="K2624" s="9" t="s">
        <v>18662</v>
      </c>
      <c r="L2624" s="8" t="s">
        <v>3391</v>
      </c>
      <c r="M2624" s="9" t="s">
        <v>36</v>
      </c>
      <c r="N2624" s="9" t="s">
        <v>211</v>
      </c>
      <c r="O2624" s="9">
        <f>HYPERLINK("https://www.google.com/maps/search/?api=1&amp;query=37.16733559,-4.15989403", "https://www.google.com/maps/search/?api=1&amp;query=37.16733559,-4.15989403")</f>
      </c>
      <c r="P2624" s="9" t="s">
        <v>6218</v>
      </c>
      <c r="Q2624" s="9" t="s">
        <v>112</v>
      </c>
    </row>
    <row r="2625" spans="1:17" x14ac:dyDescent="0.25">
      <c r="A2625" s="8" t="s">
        <v>18663</v>
      </c>
      <c r="B2625" s="8" t="s">
        <v>18664</v>
      </c>
      <c r="C2625" s="9" t="s">
        <v>18665</v>
      </c>
      <c r="D2625" s="9" t="s">
        <v>488</v>
      </c>
      <c r="E2625" s="9" t="s">
        <v>18666</v>
      </c>
      <c r="F2625" s="10">
        <v>1.514</v>
      </c>
      <c r="G2625" s="10">
        <v>1.665</v>
      </c>
      <c r="H2625" s="10"/>
      <c r="I2625" s="9" t="s">
        <v>45</v>
      </c>
      <c r="J2625" s="9" t="s">
        <v>18667</v>
      </c>
      <c r="K2625" s="9" t="s">
        <v>18668</v>
      </c>
      <c r="L2625" s="8" t="s">
        <v>18669</v>
      </c>
      <c r="M2625" s="9" t="s">
        <v>49</v>
      </c>
      <c r="N2625" s="9" t="s">
        <v>4720</v>
      </c>
      <c r="O2625" s="9">
        <f>HYPERLINK("https://www.google.com/maps/search/?api=1&amp;query=38.27228328,-3.61001065", "https://www.google.com/maps/search/?api=1&amp;query=38.27228328,-3.61001065")</f>
      </c>
      <c r="P2625" s="9" t="s">
        <v>493</v>
      </c>
      <c r="Q2625" s="9" t="s">
        <v>18670</v>
      </c>
    </row>
    <row r="2626" spans="1:17" x14ac:dyDescent="0.25">
      <c r="A2626" s="8" t="s">
        <v>18671</v>
      </c>
      <c r="B2626" s="8" t="s">
        <v>18672</v>
      </c>
      <c r="C2626" s="9" t="s">
        <v>18673</v>
      </c>
      <c r="D2626" s="9" t="s">
        <v>61</v>
      </c>
      <c r="E2626" s="9" t="s">
        <v>18674</v>
      </c>
      <c r="F2626" s="10">
        <v>1.514</v>
      </c>
      <c r="G2626" s="10">
        <v>1.665</v>
      </c>
      <c r="H2626" s="10"/>
      <c r="I2626" s="9" t="s">
        <v>45</v>
      </c>
      <c r="J2626" s="9" t="s">
        <v>18675</v>
      </c>
      <c r="K2626" s="9" t="s">
        <v>18676</v>
      </c>
      <c r="L2626" s="8" t="s">
        <v>11879</v>
      </c>
      <c r="M2626" s="9" t="s">
        <v>49</v>
      </c>
      <c r="N2626" s="9" t="s">
        <v>18677</v>
      </c>
      <c r="O2626" s="9">
        <f>HYPERLINK("https://www.google.com/maps/search/?api=1&amp;query=37.2265569,-5.30624535", "https://www.google.com/maps/search/?api=1&amp;query=37.2265569,-5.30624535")</f>
      </c>
      <c r="P2626" s="9" t="s">
        <v>7785</v>
      </c>
      <c r="Q2626" s="9" t="s">
        <v>18678</v>
      </c>
    </row>
    <row r="2627" spans="1:17" x14ac:dyDescent="0.25">
      <c r="A2627" s="8" t="s">
        <v>18679</v>
      </c>
      <c r="B2627" s="8" t="s">
        <v>18680</v>
      </c>
      <c r="C2627" s="9" t="s">
        <v>18681</v>
      </c>
      <c r="D2627" s="9" t="s">
        <v>344</v>
      </c>
      <c r="E2627" s="9" t="s">
        <v>18682</v>
      </c>
      <c r="F2627" s="10">
        <v>1.514</v>
      </c>
      <c r="G2627" s="10">
        <v>1.665</v>
      </c>
      <c r="H2627" s="10"/>
      <c r="I2627" s="9" t="s">
        <v>140</v>
      </c>
      <c r="J2627" s="9" t="s">
        <v>18683</v>
      </c>
      <c r="K2627" s="9" t="s">
        <v>18684</v>
      </c>
      <c r="L2627" s="8" t="s">
        <v>17716</v>
      </c>
      <c r="M2627" s="9" t="s">
        <v>49</v>
      </c>
      <c r="N2627" s="9" t="s">
        <v>211</v>
      </c>
      <c r="O2627" s="9">
        <f>HYPERLINK("https://www.google.com/maps/search/?api=1&amp;query=43.34177123,-8.34563933", "https://www.google.com/maps/search/?api=1&amp;query=43.34177123,-8.34563933")</f>
      </c>
      <c r="P2627" s="9" t="s">
        <v>1287</v>
      </c>
      <c r="Q2627" s="9" t="s">
        <v>647</v>
      </c>
    </row>
    <row r="2628" spans="1:17" x14ac:dyDescent="0.25">
      <c r="A2628" s="8" t="s">
        <v>18685</v>
      </c>
      <c r="B2628" s="8" t="s">
        <v>18686</v>
      </c>
      <c r="C2628" s="9" t="s">
        <v>18687</v>
      </c>
      <c r="D2628" s="9" t="s">
        <v>94</v>
      </c>
      <c r="E2628" s="9" t="s">
        <v>94</v>
      </c>
      <c r="F2628" s="10">
        <v>1.514</v>
      </c>
      <c r="G2628" s="10">
        <v>1.665</v>
      </c>
      <c r="H2628" s="10"/>
      <c r="I2628" s="9" t="s">
        <v>96</v>
      </c>
      <c r="J2628" s="9" t="s">
        <v>18688</v>
      </c>
      <c r="K2628" s="9" t="s">
        <v>18689</v>
      </c>
      <c r="L2628" s="8" t="s">
        <v>5215</v>
      </c>
      <c r="M2628" s="9" t="s">
        <v>49</v>
      </c>
      <c r="N2628" s="9" t="s">
        <v>6226</v>
      </c>
      <c r="O2628" s="9">
        <f>HYPERLINK("https://www.google.com/maps/search/?api=1&amp;query=41.43598692,2.20135448", "https://www.google.com/maps/search/?api=1&amp;query=41.43598692,2.20135448")</f>
      </c>
      <c r="P2628" s="9" t="s">
        <v>18690</v>
      </c>
      <c r="Q2628" s="9" t="s">
        <v>1131</v>
      </c>
    </row>
    <row r="2629" spans="1:17" x14ac:dyDescent="0.25">
      <c r="A2629" s="8" t="s">
        <v>18691</v>
      </c>
      <c r="B2629" s="8" t="s">
        <v>18692</v>
      </c>
      <c r="C2629" s="9" t="s">
        <v>18693</v>
      </c>
      <c r="D2629" s="9" t="s">
        <v>631</v>
      </c>
      <c r="E2629" s="9" t="s">
        <v>18694</v>
      </c>
      <c r="F2629" s="10">
        <v>1.514</v>
      </c>
      <c r="G2629" s="10">
        <v>1.665</v>
      </c>
      <c r="H2629" s="10"/>
      <c r="I2629" s="9" t="s">
        <v>45</v>
      </c>
      <c r="J2629" s="9" t="s">
        <v>18695</v>
      </c>
      <c r="K2629" s="9" t="s">
        <v>18696</v>
      </c>
      <c r="L2629" s="8" t="s">
        <v>18697</v>
      </c>
      <c r="M2629" s="9" t="s">
        <v>36</v>
      </c>
      <c r="N2629" s="9" t="s">
        <v>12344</v>
      </c>
      <c r="O2629" s="9">
        <f>HYPERLINK("https://www.google.com/maps/search/?api=1&amp;query=37.59315905,-4.48144703", "https://www.google.com/maps/search/?api=1&amp;query=37.59315905,-4.48144703")</f>
      </c>
      <c r="P2629" s="9" t="s">
        <v>18698</v>
      </c>
      <c r="Q2629" s="9" t="s">
        <v>12074</v>
      </c>
    </row>
    <row r="2630" spans="1:17" x14ac:dyDescent="0.25">
      <c r="A2630" s="8" t="s">
        <v>18699</v>
      </c>
      <c r="B2630" s="8" t="s">
        <v>18700</v>
      </c>
      <c r="C2630" s="9" t="s">
        <v>18701</v>
      </c>
      <c r="D2630" s="9" t="s">
        <v>379</v>
      </c>
      <c r="E2630" s="9" t="s">
        <v>18702</v>
      </c>
      <c r="F2630" s="10">
        <v>1.514</v>
      </c>
      <c r="G2630" s="10">
        <v>1.665</v>
      </c>
      <c r="H2630" s="10"/>
      <c r="I2630" s="9" t="s">
        <v>379</v>
      </c>
      <c r="J2630" s="9" t="s">
        <v>18703</v>
      </c>
      <c r="K2630" s="9" t="s">
        <v>18704</v>
      </c>
      <c r="L2630" s="8" t="s">
        <v>18705</v>
      </c>
      <c r="M2630" s="9" t="s">
        <v>49</v>
      </c>
      <c r="N2630" s="9" t="s">
        <v>18706</v>
      </c>
      <c r="O2630" s="9">
        <f>HYPERLINK("https://www.google.com/maps/search/?api=1&amp;query=43.03379687,-1.98352253", "https://www.google.com/maps/search/?api=1&amp;query=43.03379687,-1.98352253")</f>
      </c>
      <c r="P2630" s="9" t="s">
        <v>2158</v>
      </c>
      <c r="Q2630" s="9" t="s">
        <v>1131</v>
      </c>
    </row>
    <row r="2631" spans="1:17" x14ac:dyDescent="0.25">
      <c r="A2631" s="8" t="s">
        <v>18707</v>
      </c>
      <c r="B2631" s="8" t="s">
        <v>18708</v>
      </c>
      <c r="C2631" s="9" t="s">
        <v>18709</v>
      </c>
      <c r="D2631" s="9" t="s">
        <v>307</v>
      </c>
      <c r="E2631" s="9" t="s">
        <v>18710</v>
      </c>
      <c r="F2631" s="10">
        <v>1.514</v>
      </c>
      <c r="G2631" s="10">
        <v>1.665</v>
      </c>
      <c r="H2631" s="10"/>
      <c r="I2631" s="9" t="s">
        <v>74</v>
      </c>
      <c r="J2631" s="9" t="s">
        <v>18711</v>
      </c>
      <c r="K2631" s="9" t="s">
        <v>18712</v>
      </c>
      <c r="L2631" s="8" t="s">
        <v>18713</v>
      </c>
      <c r="M2631" s="9" t="s">
        <v>36</v>
      </c>
      <c r="N2631" s="9" t="s">
        <v>8250</v>
      </c>
      <c r="O2631" s="9">
        <f>HYPERLINK("https://www.google.com/maps/search/?api=1&amp;query=41.69721887,-6.34225824", "https://www.google.com/maps/search/?api=1&amp;query=41.69721887,-6.34225824")</f>
      </c>
      <c r="P2631" s="9" t="s">
        <v>2442</v>
      </c>
      <c r="Q2631" s="9" t="s">
        <v>18714</v>
      </c>
    </row>
    <row r="2632" spans="1:17" x14ac:dyDescent="0.25">
      <c r="A2632" s="8" t="s">
        <v>18715</v>
      </c>
      <c r="B2632" s="8" t="s">
        <v>18716</v>
      </c>
      <c r="C2632" s="9" t="s">
        <v>18717</v>
      </c>
      <c r="D2632" s="9" t="s">
        <v>892</v>
      </c>
      <c r="E2632" s="9" t="s">
        <v>18718</v>
      </c>
      <c r="F2632" s="10">
        <v>1.514</v>
      </c>
      <c r="G2632" s="10">
        <v>1.665</v>
      </c>
      <c r="H2632" s="10"/>
      <c r="I2632" s="9" t="s">
        <v>32</v>
      </c>
      <c r="J2632" s="9" t="s">
        <v>18719</v>
      </c>
      <c r="K2632" s="9" t="s">
        <v>18720</v>
      </c>
      <c r="L2632" s="8" t="s">
        <v>18721</v>
      </c>
      <c r="M2632" s="9" t="s">
        <v>49</v>
      </c>
      <c r="N2632" s="9" t="s">
        <v>3164</v>
      </c>
      <c r="O2632" s="9">
        <f>HYPERLINK("https://www.google.com/maps/search/?api=1&amp;query=39.40941658,-7.24194505", "https://www.google.com/maps/search/?api=1&amp;query=39.40941658,-7.24194505")</f>
      </c>
      <c r="P2632" s="9" t="s">
        <v>880</v>
      </c>
      <c r="Q2632" s="9" t="s">
        <v>18722</v>
      </c>
    </row>
    <row r="2633" spans="1:17" x14ac:dyDescent="0.25">
      <c r="A2633" s="8" t="s">
        <v>18723</v>
      </c>
      <c r="B2633" s="8" t="s">
        <v>18724</v>
      </c>
      <c r="C2633" s="9" t="s">
        <v>18725</v>
      </c>
      <c r="D2633" s="9" t="s">
        <v>1483</v>
      </c>
      <c r="E2633" s="9" t="s">
        <v>1483</v>
      </c>
      <c r="F2633" s="10">
        <v>1.514</v>
      </c>
      <c r="G2633" s="10">
        <v>1.665</v>
      </c>
      <c r="H2633" s="10"/>
      <c r="I2633" s="9" t="s">
        <v>74</v>
      </c>
      <c r="J2633" s="9" t="s">
        <v>18726</v>
      </c>
      <c r="K2633" s="9" t="s">
        <v>18727</v>
      </c>
      <c r="L2633" s="8" t="s">
        <v>16308</v>
      </c>
      <c r="M2633" s="9" t="s">
        <v>49</v>
      </c>
      <c r="N2633" s="9" t="s">
        <v>37</v>
      </c>
      <c r="O2633" s="9">
        <f>HYPERLINK("https://www.google.com/maps/search/?api=1&amp;query=42.33028103,-3.70047512", "https://www.google.com/maps/search/?api=1&amp;query=42.33028103,-3.70047512")</f>
      </c>
      <c r="P2633" s="9" t="s">
        <v>1250</v>
      </c>
      <c r="Q2633" s="9" t="s">
        <v>102</v>
      </c>
    </row>
    <row r="2634" spans="1:17" x14ac:dyDescent="0.25">
      <c r="A2634" s="8" t="s">
        <v>18728</v>
      </c>
      <c r="B2634" s="8" t="s">
        <v>18729</v>
      </c>
      <c r="C2634" s="9" t="s">
        <v>18730</v>
      </c>
      <c r="D2634" s="9" t="s">
        <v>106</v>
      </c>
      <c r="E2634" s="9" t="s">
        <v>18731</v>
      </c>
      <c r="F2634" s="10">
        <v>1.514</v>
      </c>
      <c r="G2634" s="10">
        <v>1.665</v>
      </c>
      <c r="H2634" s="10"/>
      <c r="I2634" s="9" t="s">
        <v>106</v>
      </c>
      <c r="J2634" s="9" t="s">
        <v>18732</v>
      </c>
      <c r="K2634" s="9" t="s">
        <v>18733</v>
      </c>
      <c r="L2634" s="8" t="s">
        <v>18449</v>
      </c>
      <c r="M2634" s="9" t="s">
        <v>36</v>
      </c>
      <c r="N2634" s="9" t="s">
        <v>18734</v>
      </c>
      <c r="O2634" s="9">
        <f>HYPERLINK("https://www.google.com/maps/search/?api=1&amp;query=38.110698,-1.86556448", "https://www.google.com/maps/search/?api=1&amp;query=38.110698,-1.86556448")</f>
      </c>
      <c r="P2634" s="9" t="s">
        <v>7403</v>
      </c>
      <c r="Q2634" s="9" t="s">
        <v>102</v>
      </c>
    </row>
    <row r="2635" spans="1:17" x14ac:dyDescent="0.25">
      <c r="A2635" s="8" t="s">
        <v>18735</v>
      </c>
      <c r="B2635" s="8" t="s">
        <v>18736</v>
      </c>
      <c r="C2635" s="9" t="s">
        <v>14899</v>
      </c>
      <c r="D2635" s="9" t="s">
        <v>434</v>
      </c>
      <c r="E2635" s="9" t="s">
        <v>18737</v>
      </c>
      <c r="F2635" s="10">
        <v>1.514</v>
      </c>
      <c r="G2635" s="10">
        <v>1.665</v>
      </c>
      <c r="H2635" s="10"/>
      <c r="I2635" s="9" t="s">
        <v>96</v>
      </c>
      <c r="J2635" s="9" t="s">
        <v>18738</v>
      </c>
      <c r="K2635" s="9" t="s">
        <v>18739</v>
      </c>
      <c r="L2635" s="8" t="s">
        <v>14903</v>
      </c>
      <c r="M2635" s="9" t="s">
        <v>49</v>
      </c>
      <c r="N2635" s="9" t="s">
        <v>592</v>
      </c>
      <c r="O2635" s="9">
        <f>HYPERLINK("https://www.google.com/maps/search/?api=1&amp;query=42.04240024,3.14074886", "https://www.google.com/maps/search/?api=1&amp;query=42.04240024,3.14074886")</f>
      </c>
      <c r="P2635" s="9" t="s">
        <v>1894</v>
      </c>
      <c r="Q2635" s="9" t="s">
        <v>18740</v>
      </c>
    </row>
    <row r="2636" spans="1:17" x14ac:dyDescent="0.25">
      <c r="A2636" s="8" t="s">
        <v>18741</v>
      </c>
      <c r="B2636" s="8" t="s">
        <v>18742</v>
      </c>
      <c r="C2636" s="9" t="s">
        <v>18743</v>
      </c>
      <c r="D2636" s="9" t="s">
        <v>253</v>
      </c>
      <c r="E2636" s="9" t="s">
        <v>8232</v>
      </c>
      <c r="F2636" s="10">
        <v>1.514</v>
      </c>
      <c r="G2636" s="10">
        <v>1.665</v>
      </c>
      <c r="H2636" s="10"/>
      <c r="I2636" s="9" t="s">
        <v>96</v>
      </c>
      <c r="J2636" s="9" t="s">
        <v>18744</v>
      </c>
      <c r="K2636" s="9" t="s">
        <v>18745</v>
      </c>
      <c r="L2636" s="8" t="s">
        <v>8235</v>
      </c>
      <c r="M2636" s="9" t="s">
        <v>100</v>
      </c>
      <c r="N2636" s="9" t="s">
        <v>18746</v>
      </c>
      <c r="O2636" s="9">
        <f>HYPERLINK("https://www.google.com/maps/search/?api=1&amp;query=41.08039221,0.66314019", "https://www.google.com/maps/search/?api=1&amp;query=41.08039221,0.66314019")</f>
      </c>
      <c r="P2636" s="9" t="s">
        <v>144</v>
      </c>
      <c r="Q2636" s="9" t="s">
        <v>11889</v>
      </c>
    </row>
    <row r="2637" spans="1:17" x14ac:dyDescent="0.25">
      <c r="A2637" s="8" t="s">
        <v>18747</v>
      </c>
      <c r="B2637" s="8" t="s">
        <v>18748</v>
      </c>
      <c r="C2637" s="9" t="s">
        <v>18749</v>
      </c>
      <c r="D2637" s="9" t="s">
        <v>280</v>
      </c>
      <c r="E2637" s="9" t="s">
        <v>18750</v>
      </c>
      <c r="F2637" s="10">
        <v>1.514</v>
      </c>
      <c r="G2637" s="10">
        <v>1.665</v>
      </c>
      <c r="H2637" s="10"/>
      <c r="I2637" s="9" t="s">
        <v>118</v>
      </c>
      <c r="J2637" s="9" t="s">
        <v>18751</v>
      </c>
      <c r="K2637" s="9" t="s">
        <v>18752</v>
      </c>
      <c r="L2637" s="8" t="s">
        <v>18753</v>
      </c>
      <c r="M2637" s="9" t="s">
        <v>36</v>
      </c>
      <c r="N2637" s="9" t="s">
        <v>88</v>
      </c>
      <c r="O2637" s="9">
        <f>HYPERLINK("https://www.google.com/maps/search/?api=1&amp;query=43.21904543,-2.40867314", "https://www.google.com/maps/search/?api=1&amp;query=43.21904543,-2.40867314")</f>
      </c>
      <c r="P2637" s="9" t="s">
        <v>646</v>
      </c>
      <c r="Q2637" s="9" t="s">
        <v>8298</v>
      </c>
    </row>
    <row r="2638" spans="1:17" x14ac:dyDescent="0.25">
      <c r="A2638" s="8" t="s">
        <v>18754</v>
      </c>
      <c r="B2638" s="8" t="s">
        <v>18755</v>
      </c>
      <c r="C2638" s="9" t="s">
        <v>16342</v>
      </c>
      <c r="D2638" s="9" t="s">
        <v>187</v>
      </c>
      <c r="E2638" s="9" t="s">
        <v>16343</v>
      </c>
      <c r="F2638" s="10">
        <v>1.514</v>
      </c>
      <c r="G2638" s="10">
        <v>1.665</v>
      </c>
      <c r="H2638" s="10"/>
      <c r="I2638" s="9" t="s">
        <v>74</v>
      </c>
      <c r="J2638" s="9" t="s">
        <v>18756</v>
      </c>
      <c r="K2638" s="9" t="s">
        <v>18757</v>
      </c>
      <c r="L2638" s="8" t="s">
        <v>16346</v>
      </c>
      <c r="M2638" s="9" t="s">
        <v>100</v>
      </c>
      <c r="N2638" s="9" t="s">
        <v>122</v>
      </c>
      <c r="O2638" s="9">
        <f>HYPERLINK("https://www.google.com/maps/search/?api=1&amp;query=42.57246312,-5.58326757", "https://www.google.com/maps/search/?api=1&amp;query=42.57246312,-5.58326757")</f>
      </c>
      <c r="P2638" s="9" t="s">
        <v>321</v>
      </c>
      <c r="Q2638" s="9" t="s">
        <v>17537</v>
      </c>
    </row>
    <row r="2639" spans="1:17" x14ac:dyDescent="0.25">
      <c r="A2639" s="8" t="s">
        <v>18758</v>
      </c>
      <c r="B2639" s="8" t="s">
        <v>18759</v>
      </c>
      <c r="C2639" s="9" t="s">
        <v>18760</v>
      </c>
      <c r="D2639" s="9" t="s">
        <v>400</v>
      </c>
      <c r="E2639" s="9" t="s">
        <v>18761</v>
      </c>
      <c r="F2639" s="10">
        <v>1.514</v>
      </c>
      <c r="G2639" s="10">
        <v>1.665</v>
      </c>
      <c r="H2639" s="10"/>
      <c r="I2639" s="9" t="s">
        <v>400</v>
      </c>
      <c r="J2639" s="9" t="s">
        <v>18762</v>
      </c>
      <c r="K2639" s="9" t="s">
        <v>18763</v>
      </c>
      <c r="L2639" s="8" t="s">
        <v>18764</v>
      </c>
      <c r="M2639" s="9" t="s">
        <v>49</v>
      </c>
      <c r="N2639" s="9" t="s">
        <v>88</v>
      </c>
      <c r="O2639" s="9">
        <f>HYPERLINK("https://www.google.com/maps/search/?api=1&amp;query=38.93423131,-0.21156837", "https://www.google.com/maps/search/?api=1&amp;query=38.93423131,-0.21156837")</f>
      </c>
      <c r="P2639" s="9" t="s">
        <v>8820</v>
      </c>
      <c r="Q2639" s="9" t="s">
        <v>11235</v>
      </c>
    </row>
    <row r="2640" spans="1:17" x14ac:dyDescent="0.25">
      <c r="A2640" s="8" t="s">
        <v>18765</v>
      </c>
      <c r="B2640" s="8" t="s">
        <v>18766</v>
      </c>
      <c r="C2640" s="9" t="s">
        <v>18767</v>
      </c>
      <c r="D2640" s="9" t="s">
        <v>128</v>
      </c>
      <c r="E2640" s="9" t="s">
        <v>129</v>
      </c>
      <c r="F2640" s="10">
        <v>1.514</v>
      </c>
      <c r="G2640" s="10">
        <v>1.665</v>
      </c>
      <c r="H2640" s="10"/>
      <c r="I2640" s="9" t="s">
        <v>45</v>
      </c>
      <c r="J2640" s="9" t="s">
        <v>18768</v>
      </c>
      <c r="K2640" s="9" t="s">
        <v>18769</v>
      </c>
      <c r="L2640" s="8" t="s">
        <v>1802</v>
      </c>
      <c r="M2640" s="9" t="s">
        <v>36</v>
      </c>
      <c r="N2640" s="9" t="s">
        <v>8515</v>
      </c>
      <c r="O2640" s="9">
        <f>HYPERLINK("https://www.google.com/maps/search/?api=1&amp;query=36.69704088,-6.09686148", "https://www.google.com/maps/search/?api=1&amp;query=36.69704088,-6.09686148")</f>
      </c>
      <c r="P2640" s="9" t="s">
        <v>880</v>
      </c>
      <c r="Q2640" s="9" t="s">
        <v>4948</v>
      </c>
    </row>
    <row r="2641" spans="1:17" x14ac:dyDescent="0.25">
      <c r="A2641" s="8" t="s">
        <v>18770</v>
      </c>
      <c r="B2641" s="8" t="s">
        <v>18771</v>
      </c>
      <c r="C2641" s="9" t="s">
        <v>7621</v>
      </c>
      <c r="D2641" s="9" t="s">
        <v>398</v>
      </c>
      <c r="E2641" s="9" t="s">
        <v>18772</v>
      </c>
      <c r="F2641" s="10">
        <v>1.514</v>
      </c>
      <c r="G2641" s="10">
        <v>1.665</v>
      </c>
      <c r="H2641" s="10"/>
      <c r="I2641" s="9" t="s">
        <v>400</v>
      </c>
      <c r="J2641" s="9" t="s">
        <v>18773</v>
      </c>
      <c r="K2641" s="9" t="s">
        <v>18774</v>
      </c>
      <c r="L2641" s="8" t="s">
        <v>18775</v>
      </c>
      <c r="M2641" s="9" t="s">
        <v>36</v>
      </c>
      <c r="N2641" s="9" t="s">
        <v>88</v>
      </c>
      <c r="O2641" s="9">
        <f>HYPERLINK("https://www.google.com/maps/search/?api=1&amp;query=38.10626641,-0.93165431", "https://www.google.com/maps/search/?api=1&amp;query=38.10626641,-0.93165431")</f>
      </c>
      <c r="P2641" s="9" t="s">
        <v>3729</v>
      </c>
      <c r="Q2641" s="9" t="s">
        <v>18776</v>
      </c>
    </row>
    <row r="2642" spans="1:17" x14ac:dyDescent="0.25">
      <c r="A2642" s="8" t="s">
        <v>18777</v>
      </c>
      <c r="B2642" s="8" t="s">
        <v>18778</v>
      </c>
      <c r="C2642" s="9" t="s">
        <v>18779</v>
      </c>
      <c r="D2642" s="9" t="s">
        <v>398</v>
      </c>
      <c r="E2642" s="9" t="s">
        <v>18780</v>
      </c>
      <c r="F2642" s="10">
        <v>1.514</v>
      </c>
      <c r="G2642" s="10">
        <v>1.665</v>
      </c>
      <c r="H2642" s="10"/>
      <c r="I2642" s="9" t="s">
        <v>400</v>
      </c>
      <c r="J2642" s="9" t="s">
        <v>18781</v>
      </c>
      <c r="K2642" s="9" t="s">
        <v>18782</v>
      </c>
      <c r="L2642" s="8" t="s">
        <v>18783</v>
      </c>
      <c r="M2642" s="9" t="s">
        <v>36</v>
      </c>
      <c r="N2642" s="9" t="s">
        <v>88</v>
      </c>
      <c r="O2642" s="9">
        <f>HYPERLINK("https://www.google.com/maps/search/?api=1&amp;query=38.43445999,-0.63711283", "https://www.google.com/maps/search/?api=1&amp;query=38.43445999,-0.63711283")</f>
      </c>
      <c r="P2642" s="9" t="s">
        <v>8735</v>
      </c>
      <c r="Q2642" s="9" t="s">
        <v>16796</v>
      </c>
    </row>
    <row r="2643" spans="1:17" x14ac:dyDescent="0.25">
      <c r="A2643" s="8" t="s">
        <v>18784</v>
      </c>
      <c r="B2643" s="8" t="s">
        <v>18785</v>
      </c>
      <c r="C2643" s="9" t="s">
        <v>18786</v>
      </c>
      <c r="D2643" s="9" t="s">
        <v>577</v>
      </c>
      <c r="E2643" s="9" t="s">
        <v>13341</v>
      </c>
      <c r="F2643" s="10">
        <v>1.514</v>
      </c>
      <c r="G2643" s="10">
        <v>1.665</v>
      </c>
      <c r="H2643" s="10"/>
      <c r="I2643" s="9" t="s">
        <v>74</v>
      </c>
      <c r="J2643" s="9" t="s">
        <v>18787</v>
      </c>
      <c r="K2643" s="9" t="s">
        <v>18788</v>
      </c>
      <c r="L2643" s="8" t="s">
        <v>13344</v>
      </c>
      <c r="M2643" s="9" t="s">
        <v>100</v>
      </c>
      <c r="N2643" s="9" t="s">
        <v>18789</v>
      </c>
      <c r="O2643" s="9">
        <f>HYPERLINK("https://www.google.com/maps/search/?api=1&amp;query=41.04377798,-4.69848063", "https://www.google.com/maps/search/?api=1&amp;query=41.04377798,-4.69848063")</f>
      </c>
      <c r="P2643" s="9" t="s">
        <v>172</v>
      </c>
      <c r="Q2643" s="9" t="s">
        <v>8959</v>
      </c>
    </row>
    <row r="2644" spans="1:17" x14ac:dyDescent="0.25">
      <c r="A2644" s="8" t="s">
        <v>18790</v>
      </c>
      <c r="B2644" s="8" t="s">
        <v>18791</v>
      </c>
      <c r="C2644" s="9" t="s">
        <v>18792</v>
      </c>
      <c r="D2644" s="9" t="s">
        <v>379</v>
      </c>
      <c r="E2644" s="9" t="s">
        <v>18362</v>
      </c>
      <c r="F2644" s="10">
        <v>1.514</v>
      </c>
      <c r="G2644" s="10">
        <v>1.665</v>
      </c>
      <c r="H2644" s="10"/>
      <c r="I2644" s="9" t="s">
        <v>379</v>
      </c>
      <c r="J2644" s="9" t="s">
        <v>18793</v>
      </c>
      <c r="K2644" s="9" t="s">
        <v>18794</v>
      </c>
      <c r="L2644" s="8" t="s">
        <v>18365</v>
      </c>
      <c r="M2644" s="9" t="s">
        <v>49</v>
      </c>
      <c r="N2644" s="9" t="s">
        <v>483</v>
      </c>
      <c r="O2644" s="9">
        <f>HYPERLINK("https://www.google.com/maps/search/?api=1&amp;query=42.80056147,-1.61156028", "https://www.google.com/maps/search/?api=1&amp;query=42.80056147,-1.61156028")</f>
      </c>
      <c r="P2644" s="9" t="s">
        <v>1287</v>
      </c>
      <c r="Q2644" s="9" t="s">
        <v>18795</v>
      </c>
    </row>
    <row r="2645" spans="1:17" x14ac:dyDescent="0.25">
      <c r="A2645" s="8" t="s">
        <v>18796</v>
      </c>
      <c r="B2645" s="8" t="s">
        <v>18797</v>
      </c>
      <c r="C2645" s="9" t="s">
        <v>18798</v>
      </c>
      <c r="D2645" s="9" t="s">
        <v>658</v>
      </c>
      <c r="E2645" s="9" t="s">
        <v>9287</v>
      </c>
      <c r="F2645" s="10">
        <v>1.514</v>
      </c>
      <c r="G2645" s="10">
        <v>1.665</v>
      </c>
      <c r="H2645" s="10"/>
      <c r="I2645" s="9" t="s">
        <v>45</v>
      </c>
      <c r="J2645" s="9" t="s">
        <v>18799</v>
      </c>
      <c r="K2645" s="9" t="s">
        <v>18800</v>
      </c>
      <c r="L2645" s="8" t="s">
        <v>9290</v>
      </c>
      <c r="M2645" s="9" t="s">
        <v>49</v>
      </c>
      <c r="N2645" s="9" t="s">
        <v>88</v>
      </c>
      <c r="O2645" s="9">
        <f>HYPERLINK("https://www.google.com/maps/search/?api=1&amp;query=36.77108613,-2.82616758", "https://www.google.com/maps/search/?api=1&amp;query=36.77108613,-2.82616758")</f>
      </c>
      <c r="P2645" s="9" t="s">
        <v>10022</v>
      </c>
      <c r="Q2645" s="9" t="s">
        <v>18801</v>
      </c>
    </row>
    <row r="2646" spans="1:17" x14ac:dyDescent="0.25">
      <c r="A2646" s="8" t="s">
        <v>18802</v>
      </c>
      <c r="B2646" s="8" t="s">
        <v>18803</v>
      </c>
      <c r="C2646" s="9" t="s">
        <v>18804</v>
      </c>
      <c r="D2646" s="9" t="s">
        <v>444</v>
      </c>
      <c r="E2646" s="9" t="s">
        <v>10902</v>
      </c>
      <c r="F2646" s="10">
        <v>1.514</v>
      </c>
      <c r="G2646" s="10">
        <v>1.665</v>
      </c>
      <c r="H2646" s="10"/>
      <c r="I2646" s="9" t="s">
        <v>444</v>
      </c>
      <c r="J2646" s="9" t="s">
        <v>18805</v>
      </c>
      <c r="K2646" s="9" t="s">
        <v>18806</v>
      </c>
      <c r="L2646" s="8" t="s">
        <v>967</v>
      </c>
      <c r="M2646" s="9" t="s">
        <v>36</v>
      </c>
      <c r="N2646" s="9" t="s">
        <v>211</v>
      </c>
      <c r="O2646" s="9">
        <f>HYPERLINK("https://www.google.com/maps/search/?api=1&amp;query=43.36556049,-5.8733234", "https://www.google.com/maps/search/?api=1&amp;query=43.36556049,-5.8733234")</f>
      </c>
      <c r="P2646" s="9" t="s">
        <v>965</v>
      </c>
      <c r="Q2646" s="9" t="s">
        <v>18807</v>
      </c>
    </row>
    <row r="2647" spans="1:17" x14ac:dyDescent="0.25">
      <c r="A2647" s="8" t="s">
        <v>18808</v>
      </c>
      <c r="B2647" s="8" t="s">
        <v>18809</v>
      </c>
      <c r="C2647" s="9" t="s">
        <v>18810</v>
      </c>
      <c r="D2647" s="9" t="s">
        <v>116</v>
      </c>
      <c r="E2647" s="9" t="s">
        <v>3230</v>
      </c>
      <c r="F2647" s="10">
        <v>1.514</v>
      </c>
      <c r="G2647" s="10">
        <v>1.665</v>
      </c>
      <c r="H2647" s="10"/>
      <c r="I2647" s="9" t="s">
        <v>118</v>
      </c>
      <c r="J2647" s="9" t="s">
        <v>18811</v>
      </c>
      <c r="K2647" s="9" t="s">
        <v>18812</v>
      </c>
      <c r="L2647" s="8" t="s">
        <v>3233</v>
      </c>
      <c r="M2647" s="9" t="s">
        <v>49</v>
      </c>
      <c r="N2647" s="9" t="s">
        <v>3034</v>
      </c>
      <c r="O2647" s="9">
        <f>HYPERLINK("https://www.google.com/maps/search/?api=1&amp;query=43.31325676,-2.98529015", "https://www.google.com/maps/search/?api=1&amp;query=43.31325676,-2.98529015")</f>
      </c>
      <c r="P2647" s="9" t="s">
        <v>38</v>
      </c>
      <c r="Q2647" s="9" t="s">
        <v>1170</v>
      </c>
    </row>
    <row r="2648" spans="1:17" x14ac:dyDescent="0.25">
      <c r="A2648" s="8" t="s">
        <v>17214</v>
      </c>
      <c r="B2648" s="8" t="s">
        <v>18813</v>
      </c>
      <c r="C2648" s="9" t="s">
        <v>18814</v>
      </c>
      <c r="D2648" s="9" t="s">
        <v>166</v>
      </c>
      <c r="E2648" s="9" t="s">
        <v>18815</v>
      </c>
      <c r="F2648" s="10">
        <v>1.514</v>
      </c>
      <c r="G2648" s="10">
        <v>1.665</v>
      </c>
      <c r="H2648" s="10"/>
      <c r="I2648" s="9" t="s">
        <v>168</v>
      </c>
      <c r="J2648" s="9" t="s">
        <v>18816</v>
      </c>
      <c r="K2648" s="9" t="s">
        <v>18817</v>
      </c>
      <c r="L2648" s="8" t="s">
        <v>18818</v>
      </c>
      <c r="M2648" s="9" t="s">
        <v>49</v>
      </c>
      <c r="N2648" s="9" t="s">
        <v>211</v>
      </c>
      <c r="O2648" s="9">
        <f>HYPERLINK("https://www.google.com/maps/search/?api=1&amp;query=40.48325017,-2.73314155", "https://www.google.com/maps/search/?api=1&amp;query=40.48325017,-2.73314155")</f>
      </c>
      <c r="P2648" s="9" t="s">
        <v>1471</v>
      </c>
      <c r="Q2648" s="9" t="s">
        <v>9438</v>
      </c>
    </row>
    <row r="2649" spans="1:17" x14ac:dyDescent="0.25">
      <c r="A2649" s="8" t="s">
        <v>18819</v>
      </c>
      <c r="B2649" s="8" t="s">
        <v>18820</v>
      </c>
      <c r="C2649" s="9" t="s">
        <v>18821</v>
      </c>
      <c r="D2649" s="9" t="s">
        <v>187</v>
      </c>
      <c r="E2649" s="9" t="s">
        <v>18822</v>
      </c>
      <c r="F2649" s="10">
        <v>1.514</v>
      </c>
      <c r="G2649" s="10">
        <v>1.665</v>
      </c>
      <c r="H2649" s="10"/>
      <c r="I2649" s="9" t="s">
        <v>74</v>
      </c>
      <c r="J2649" s="9" t="s">
        <v>18823</v>
      </c>
      <c r="K2649" s="9" t="s">
        <v>18824</v>
      </c>
      <c r="L2649" s="8" t="s">
        <v>18825</v>
      </c>
      <c r="M2649" s="9" t="s">
        <v>49</v>
      </c>
      <c r="N2649" s="9" t="s">
        <v>592</v>
      </c>
      <c r="O2649" s="9">
        <f>HYPERLINK("https://www.google.com/maps/search/?api=1&amp;query=42.44806641,-5.966108", "https://www.google.com/maps/search/?api=1&amp;query=42.44806641,-5.966108")</f>
      </c>
      <c r="P2649" s="9" t="s">
        <v>1645</v>
      </c>
      <c r="Q2649" s="9" t="s">
        <v>18826</v>
      </c>
    </row>
    <row r="2650" spans="1:17" x14ac:dyDescent="0.25">
      <c r="A2650" s="8" t="s">
        <v>18827</v>
      </c>
      <c r="B2650" s="8" t="s">
        <v>18828</v>
      </c>
      <c r="C2650" s="9" t="s">
        <v>18829</v>
      </c>
      <c r="D2650" s="9" t="s">
        <v>398</v>
      </c>
      <c r="E2650" s="9" t="s">
        <v>18830</v>
      </c>
      <c r="F2650" s="10">
        <v>1.514</v>
      </c>
      <c r="G2650" s="10">
        <v>1.665</v>
      </c>
      <c r="H2650" s="10"/>
      <c r="I2650" s="9" t="s">
        <v>400</v>
      </c>
      <c r="J2650" s="9" t="s">
        <v>18831</v>
      </c>
      <c r="K2650" s="9" t="s">
        <v>18832</v>
      </c>
      <c r="L2650" s="8" t="s">
        <v>18833</v>
      </c>
      <c r="M2650" s="9" t="s">
        <v>49</v>
      </c>
      <c r="N2650" s="9" t="s">
        <v>88</v>
      </c>
      <c r="O2650" s="9">
        <f>HYPERLINK("https://www.google.com/maps/search/?api=1&amp;query=38.71885083,-0.66398138", "https://www.google.com/maps/search/?api=1&amp;query=38.71885083,-0.66398138")</f>
      </c>
      <c r="P2650" s="9" t="s">
        <v>17288</v>
      </c>
      <c r="Q2650" s="9" t="s">
        <v>7303</v>
      </c>
    </row>
    <row r="2651" spans="1:17" x14ac:dyDescent="0.25">
      <c r="A2651" s="8" t="s">
        <v>18834</v>
      </c>
      <c r="B2651" s="8" t="s">
        <v>18835</v>
      </c>
      <c r="C2651" s="9" t="s">
        <v>18836</v>
      </c>
      <c r="D2651" s="9" t="s">
        <v>94</v>
      </c>
      <c r="E2651" s="9" t="s">
        <v>5122</v>
      </c>
      <c r="F2651" s="10">
        <v>1.514</v>
      </c>
      <c r="G2651" s="10">
        <v>1.665</v>
      </c>
      <c r="H2651" s="10"/>
      <c r="I2651" s="9" t="s">
        <v>96</v>
      </c>
      <c r="J2651" s="9" t="s">
        <v>18837</v>
      </c>
      <c r="K2651" s="9" t="s">
        <v>18838</v>
      </c>
      <c r="L2651" s="8" t="s">
        <v>12416</v>
      </c>
      <c r="M2651" s="9" t="s">
        <v>36</v>
      </c>
      <c r="N2651" s="9" t="s">
        <v>37</v>
      </c>
      <c r="O2651" s="9">
        <f>HYPERLINK("https://www.google.com/maps/search/?api=1&amp;query=41.53317421,2.03532909", "https://www.google.com/maps/search/?api=1&amp;query=41.53317421,2.03532909")</f>
      </c>
      <c r="P2651" s="9" t="s">
        <v>18839</v>
      </c>
      <c r="Q2651" s="9" t="s">
        <v>12784</v>
      </c>
    </row>
    <row r="2652" spans="1:17" x14ac:dyDescent="0.25">
      <c r="A2652" s="8" t="s">
        <v>18840</v>
      </c>
      <c r="B2652" s="8" t="s">
        <v>18841</v>
      </c>
      <c r="C2652" s="9" t="s">
        <v>18842</v>
      </c>
      <c r="D2652" s="9" t="s">
        <v>307</v>
      </c>
      <c r="E2652" s="9" t="s">
        <v>18843</v>
      </c>
      <c r="F2652" s="10">
        <v>1.514</v>
      </c>
      <c r="G2652" s="10">
        <v>1.665</v>
      </c>
      <c r="H2652" s="10"/>
      <c r="I2652" s="9" t="s">
        <v>74</v>
      </c>
      <c r="J2652" s="9" t="s">
        <v>18844</v>
      </c>
      <c r="K2652" s="9" t="s">
        <v>18845</v>
      </c>
      <c r="L2652" s="8" t="s">
        <v>18846</v>
      </c>
      <c r="M2652" s="9" t="s">
        <v>36</v>
      </c>
      <c r="N2652" s="9" t="s">
        <v>1130</v>
      </c>
      <c r="O2652" s="9">
        <f>HYPERLINK("https://www.google.com/maps/search/?api=1&amp;query=41.98737903,-5.41214093", "https://www.google.com/maps/search/?api=1&amp;query=41.98737903,-5.41214093")</f>
      </c>
      <c r="P2652" s="9" t="s">
        <v>521</v>
      </c>
      <c r="Q2652" s="9" t="s">
        <v>18229</v>
      </c>
    </row>
    <row r="2653" spans="1:17" x14ac:dyDescent="0.25">
      <c r="A2653" s="8" t="s">
        <v>18847</v>
      </c>
      <c r="B2653" s="8" t="s">
        <v>18848</v>
      </c>
      <c r="C2653" s="9" t="s">
        <v>18849</v>
      </c>
      <c r="D2653" s="9" t="s">
        <v>658</v>
      </c>
      <c r="E2653" s="9" t="s">
        <v>18850</v>
      </c>
      <c r="F2653" s="10">
        <v>1.514</v>
      </c>
      <c r="G2653" s="10">
        <v>1.665</v>
      </c>
      <c r="H2653" s="10"/>
      <c r="I2653" s="9" t="s">
        <v>45</v>
      </c>
      <c r="J2653" s="9" t="s">
        <v>18851</v>
      </c>
      <c r="K2653" s="9" t="s">
        <v>18852</v>
      </c>
      <c r="L2653" s="8" t="s">
        <v>18853</v>
      </c>
      <c r="M2653" s="9" t="s">
        <v>49</v>
      </c>
      <c r="N2653" s="9" t="s">
        <v>88</v>
      </c>
      <c r="O2653" s="9">
        <f>HYPERLINK("https://www.google.com/maps/search/?api=1&amp;query=36.94980944,-2.55562242", "https://www.google.com/maps/search/?api=1&amp;query=36.94980944,-2.55562242")</f>
      </c>
      <c r="P2653" s="9" t="s">
        <v>906</v>
      </c>
      <c r="Q2653" s="9" t="s">
        <v>5026</v>
      </c>
    </row>
    <row r="2654" spans="1:17" x14ac:dyDescent="0.25">
      <c r="A2654" s="8" t="s">
        <v>18854</v>
      </c>
      <c r="B2654" s="8" t="s">
        <v>18855</v>
      </c>
      <c r="C2654" s="9" t="s">
        <v>18856</v>
      </c>
      <c r="D2654" s="9" t="s">
        <v>808</v>
      </c>
      <c r="E2654" s="9" t="s">
        <v>18857</v>
      </c>
      <c r="F2654" s="10">
        <v>1.514</v>
      </c>
      <c r="G2654" s="10">
        <v>1.665</v>
      </c>
      <c r="H2654" s="10"/>
      <c r="I2654" s="9" t="s">
        <v>808</v>
      </c>
      <c r="J2654" s="9" t="s">
        <v>18858</v>
      </c>
      <c r="K2654" s="9" t="s">
        <v>18859</v>
      </c>
      <c r="L2654" s="8" t="s">
        <v>18860</v>
      </c>
      <c r="M2654" s="9" t="s">
        <v>49</v>
      </c>
      <c r="N2654" s="9" t="s">
        <v>18861</v>
      </c>
      <c r="O2654" s="9">
        <f>HYPERLINK("https://www.google.com/maps/search/?api=1&amp;query=43.27288031,-3.93532745", "https://www.google.com/maps/search/?api=1&amp;query=43.27288031,-3.93532745")</f>
      </c>
      <c r="P2654" s="9" t="s">
        <v>6920</v>
      </c>
      <c r="Q2654" s="9" t="s">
        <v>2998</v>
      </c>
    </row>
    <row r="2655" spans="1:17" x14ac:dyDescent="0.25">
      <c r="A2655" s="8" t="s">
        <v>18862</v>
      </c>
      <c r="B2655" s="8" t="s">
        <v>18863</v>
      </c>
      <c r="C2655" s="9" t="s">
        <v>18864</v>
      </c>
      <c r="D2655" s="9" t="s">
        <v>379</v>
      </c>
      <c r="E2655" s="9" t="s">
        <v>18865</v>
      </c>
      <c r="F2655" s="10">
        <v>1.514</v>
      </c>
      <c r="G2655" s="10">
        <v>1.665</v>
      </c>
      <c r="H2655" s="10"/>
      <c r="I2655" s="9" t="s">
        <v>379</v>
      </c>
      <c r="J2655" s="9" t="s">
        <v>18866</v>
      </c>
      <c r="K2655" s="9" t="s">
        <v>18867</v>
      </c>
      <c r="L2655" s="8" t="s">
        <v>18868</v>
      </c>
      <c r="M2655" s="9" t="s">
        <v>49</v>
      </c>
      <c r="N2655" s="9" t="s">
        <v>10282</v>
      </c>
      <c r="O2655" s="9">
        <f>HYPERLINK("https://www.google.com/maps/search/?api=1&amp;query=43.08726891,-1.92403959", "https://www.google.com/maps/search/?api=1&amp;query=43.08726891,-1.92403959")</f>
      </c>
      <c r="P2655" s="9" t="s">
        <v>2594</v>
      </c>
      <c r="Q2655" s="9" t="s">
        <v>18869</v>
      </c>
    </row>
    <row r="2656" spans="1:17" x14ac:dyDescent="0.25">
      <c r="A2656" s="8" t="s">
        <v>18870</v>
      </c>
      <c r="B2656" s="8" t="s">
        <v>18871</v>
      </c>
      <c r="C2656" s="9" t="s">
        <v>18872</v>
      </c>
      <c r="D2656" s="9" t="s">
        <v>83</v>
      </c>
      <c r="E2656" s="9" t="s">
        <v>83</v>
      </c>
      <c r="F2656" s="10">
        <v>1.514</v>
      </c>
      <c r="G2656" s="10">
        <v>1.665</v>
      </c>
      <c r="H2656" s="10"/>
      <c r="I2656" s="9" t="s">
        <v>83</v>
      </c>
      <c r="J2656" s="9" t="s">
        <v>18873</v>
      </c>
      <c r="K2656" s="9" t="s">
        <v>18874</v>
      </c>
      <c r="L2656" s="8" t="s">
        <v>18875</v>
      </c>
      <c r="M2656" s="9" t="s">
        <v>49</v>
      </c>
      <c r="N2656" s="9" t="s">
        <v>37</v>
      </c>
      <c r="O2656" s="9">
        <f>HYPERLINK("https://www.google.com/maps/search/?api=1&amp;query=40.43046851,-3.64080588", "https://www.google.com/maps/search/?api=1&amp;query=40.43046851,-3.64080588")</f>
      </c>
      <c r="P2656" s="9" t="s">
        <v>172</v>
      </c>
      <c r="Q2656" s="9" t="s">
        <v>7794</v>
      </c>
    </row>
    <row r="2657" spans="1:17" x14ac:dyDescent="0.25">
      <c r="A2657" s="8" t="s">
        <v>18876</v>
      </c>
      <c r="B2657" s="8" t="s">
        <v>18877</v>
      </c>
      <c r="C2657" s="9" t="s">
        <v>18878</v>
      </c>
      <c r="D2657" s="9" t="s">
        <v>166</v>
      </c>
      <c r="E2657" s="9" t="s">
        <v>18879</v>
      </c>
      <c r="F2657" s="10">
        <v>1.514</v>
      </c>
      <c r="G2657" s="10">
        <v>1.665</v>
      </c>
      <c r="H2657" s="10"/>
      <c r="I2657" s="9" t="s">
        <v>168</v>
      </c>
      <c r="J2657" s="9" t="s">
        <v>18880</v>
      </c>
      <c r="K2657" s="9" t="s">
        <v>18881</v>
      </c>
      <c r="L2657" s="8" t="s">
        <v>18882</v>
      </c>
      <c r="M2657" s="9" t="s">
        <v>36</v>
      </c>
      <c r="N2657" s="9" t="s">
        <v>18883</v>
      </c>
      <c r="O2657" s="9">
        <f>HYPERLINK("https://www.google.com/maps/search/?api=1&amp;query=41.19490938,-2.87009121", "https://www.google.com/maps/search/?api=1&amp;query=41.19490938,-2.87009121")</f>
      </c>
      <c r="P2657" s="9" t="s">
        <v>1373</v>
      </c>
      <c r="Q2657" s="9" t="s">
        <v>1131</v>
      </c>
    </row>
    <row r="2658" spans="1:17" x14ac:dyDescent="0.25">
      <c r="A2658" s="8" t="s">
        <v>18884</v>
      </c>
      <c r="B2658" s="8" t="s">
        <v>18885</v>
      </c>
      <c r="C2658" s="9" t="s">
        <v>18886</v>
      </c>
      <c r="D2658" s="9" t="s">
        <v>155</v>
      </c>
      <c r="E2658" s="9" t="s">
        <v>18887</v>
      </c>
      <c r="F2658" s="10">
        <v>1.514</v>
      </c>
      <c r="G2658" s="10">
        <v>1.665</v>
      </c>
      <c r="H2658" s="10"/>
      <c r="I2658" s="9" t="s">
        <v>157</v>
      </c>
      <c r="J2658" s="9" t="s">
        <v>18888</v>
      </c>
      <c r="K2658" s="9" t="s">
        <v>18889</v>
      </c>
      <c r="L2658" s="8" t="s">
        <v>18890</v>
      </c>
      <c r="M2658" s="9" t="s">
        <v>49</v>
      </c>
      <c r="N2658" s="9" t="s">
        <v>37</v>
      </c>
      <c r="O2658" s="9">
        <f>HYPERLINK("https://www.google.com/maps/search/?api=1&amp;query=39.54306847,2.38929192", "https://www.google.com/maps/search/?api=1&amp;query=39.54306847,2.38929192")</f>
      </c>
      <c r="P2658" s="9" t="s">
        <v>419</v>
      </c>
      <c r="Q2658" s="9" t="s">
        <v>647</v>
      </c>
    </row>
    <row r="2659" spans="1:17" x14ac:dyDescent="0.25">
      <c r="A2659" s="8" t="s">
        <v>18891</v>
      </c>
      <c r="B2659" s="8" t="s">
        <v>18892</v>
      </c>
      <c r="C2659" s="9" t="s">
        <v>18893</v>
      </c>
      <c r="D2659" s="9" t="s">
        <v>577</v>
      </c>
      <c r="E2659" s="9" t="s">
        <v>18894</v>
      </c>
      <c r="F2659" s="10">
        <v>1.514</v>
      </c>
      <c r="G2659" s="10">
        <v>1.665</v>
      </c>
      <c r="H2659" s="10"/>
      <c r="I2659" s="9" t="s">
        <v>74</v>
      </c>
      <c r="J2659" s="9" t="s">
        <v>18895</v>
      </c>
      <c r="K2659" s="9" t="s">
        <v>18896</v>
      </c>
      <c r="L2659" s="8" t="s">
        <v>18897</v>
      </c>
      <c r="M2659" s="9" t="s">
        <v>36</v>
      </c>
      <c r="N2659" s="9" t="s">
        <v>8958</v>
      </c>
      <c r="O2659" s="9">
        <f>HYPERLINK("https://www.google.com/maps/search/?api=1&amp;query=40.47817298,-4.64693694", "https://www.google.com/maps/search/?api=1&amp;query=40.47817298,-4.64693694")</f>
      </c>
      <c r="P2659" s="9" t="s">
        <v>7657</v>
      </c>
      <c r="Q2659" s="9" t="s">
        <v>1742</v>
      </c>
    </row>
    <row r="2660" spans="1:17" x14ac:dyDescent="0.25">
      <c r="A2660" s="8" t="s">
        <v>18898</v>
      </c>
      <c r="B2660" s="8" t="s">
        <v>18899</v>
      </c>
      <c r="C2660" s="9" t="s">
        <v>18900</v>
      </c>
      <c r="D2660" s="9" t="s">
        <v>94</v>
      </c>
      <c r="E2660" s="9" t="s">
        <v>18901</v>
      </c>
      <c r="F2660" s="10">
        <v>1.514</v>
      </c>
      <c r="G2660" s="10">
        <v>1.665</v>
      </c>
      <c r="H2660" s="10"/>
      <c r="I2660" s="9" t="s">
        <v>96</v>
      </c>
      <c r="J2660" s="9" t="s">
        <v>18902</v>
      </c>
      <c r="K2660" s="9" t="s">
        <v>18903</v>
      </c>
      <c r="L2660" s="8" t="s">
        <v>18904</v>
      </c>
      <c r="M2660" s="9" t="s">
        <v>36</v>
      </c>
      <c r="N2660" s="9" t="s">
        <v>954</v>
      </c>
      <c r="O2660" s="9">
        <f>HYPERLINK("https://www.google.com/maps/search/?api=1&amp;query=41.71917644,2.5465995", "https://www.google.com/maps/search/?api=1&amp;query=41.71917644,2.5465995")</f>
      </c>
      <c r="P2660" s="9" t="s">
        <v>705</v>
      </c>
      <c r="Q2660" s="9" t="s">
        <v>18905</v>
      </c>
    </row>
    <row r="2661" spans="1:17" x14ac:dyDescent="0.25">
      <c r="A2661" s="8" t="s">
        <v>18906</v>
      </c>
      <c r="B2661" s="8" t="s">
        <v>18907</v>
      </c>
      <c r="C2661" s="9" t="s">
        <v>18908</v>
      </c>
      <c r="D2661" s="9" t="s">
        <v>1434</v>
      </c>
      <c r="E2661" s="9" t="s">
        <v>7364</v>
      </c>
      <c r="F2661" s="10">
        <v>1.514</v>
      </c>
      <c r="G2661" s="10">
        <v>1.665</v>
      </c>
      <c r="H2661" s="10"/>
      <c r="I2661" s="9" t="s">
        <v>1434</v>
      </c>
      <c r="J2661" s="9" t="s">
        <v>18909</v>
      </c>
      <c r="K2661" s="9" t="s">
        <v>18910</v>
      </c>
      <c r="L2661" s="8" t="s">
        <v>4858</v>
      </c>
      <c r="M2661" s="9" t="s">
        <v>100</v>
      </c>
      <c r="N2661" s="9" t="s">
        <v>37</v>
      </c>
      <c r="O2661" s="9">
        <f>HYPERLINK("https://www.google.com/maps/search/?api=1&amp;query=42.26331449,-1.91754059", "https://www.google.com/maps/search/?api=1&amp;query=42.26331449,-1.91754059")</f>
      </c>
      <c r="P2661" s="9" t="s">
        <v>4029</v>
      </c>
      <c r="Q2661" s="9" t="s">
        <v>8959</v>
      </c>
    </row>
    <row r="2662" spans="1:17" x14ac:dyDescent="0.25">
      <c r="A2662" s="8" t="s">
        <v>18911</v>
      </c>
      <c r="B2662" s="8" t="s">
        <v>18912</v>
      </c>
      <c r="C2662" s="9" t="s">
        <v>18913</v>
      </c>
      <c r="D2662" s="9" t="s">
        <v>808</v>
      </c>
      <c r="E2662" s="9" t="s">
        <v>18914</v>
      </c>
      <c r="F2662" s="10">
        <v>1.514</v>
      </c>
      <c r="G2662" s="10">
        <v>1.665</v>
      </c>
      <c r="H2662" s="10"/>
      <c r="I2662" s="9" t="s">
        <v>808</v>
      </c>
      <c r="J2662" s="9" t="s">
        <v>18915</v>
      </c>
      <c r="K2662" s="9" t="s">
        <v>18916</v>
      </c>
      <c r="L2662" s="8" t="s">
        <v>18917</v>
      </c>
      <c r="M2662" s="9" t="s">
        <v>49</v>
      </c>
      <c r="N2662" s="9" t="s">
        <v>88</v>
      </c>
      <c r="O2662" s="9">
        <f>HYPERLINK("https://www.google.com/maps/search/?api=1&amp;query=43.3207534,-3.8678758", "https://www.google.com/maps/search/?api=1&amp;query=43.3207534,-3.8678758")</f>
      </c>
      <c r="P2662" s="9" t="s">
        <v>11119</v>
      </c>
      <c r="Q2662" s="9" t="s">
        <v>1374</v>
      </c>
    </row>
    <row r="2663" spans="1:17" x14ac:dyDescent="0.25">
      <c r="A2663" s="8" t="s">
        <v>18918</v>
      </c>
      <c r="B2663" s="8" t="s">
        <v>18919</v>
      </c>
      <c r="C2663" s="9" t="s">
        <v>14331</v>
      </c>
      <c r="D2663" s="9" t="s">
        <v>83</v>
      </c>
      <c r="E2663" s="9" t="s">
        <v>604</v>
      </c>
      <c r="F2663" s="10">
        <v>1.514</v>
      </c>
      <c r="G2663" s="10">
        <v>1.665</v>
      </c>
      <c r="H2663" s="10"/>
      <c r="I2663" s="9" t="s">
        <v>83</v>
      </c>
      <c r="J2663" s="9" t="s">
        <v>18920</v>
      </c>
      <c r="K2663" s="9" t="s">
        <v>18921</v>
      </c>
      <c r="L2663" s="8" t="s">
        <v>607</v>
      </c>
      <c r="M2663" s="9" t="s">
        <v>49</v>
      </c>
      <c r="N2663" s="9" t="s">
        <v>88</v>
      </c>
      <c r="O2663" s="9">
        <f>HYPERLINK("https://www.google.com/maps/search/?api=1&amp;query=40.33792827,-3.80154432", "https://www.google.com/maps/search/?api=1&amp;query=40.33792827,-3.80154432")</f>
      </c>
      <c r="P2663" s="9" t="s">
        <v>1250</v>
      </c>
      <c r="Q2663" s="9" t="s">
        <v>3744</v>
      </c>
    </row>
    <row r="2664" spans="1:17" x14ac:dyDescent="0.25">
      <c r="A2664" s="8" t="s">
        <v>18922</v>
      </c>
      <c r="B2664" s="8" t="s">
        <v>18923</v>
      </c>
      <c r="C2664" s="9" t="s">
        <v>18924</v>
      </c>
      <c r="D2664" s="9" t="s">
        <v>43</v>
      </c>
      <c r="E2664" s="9" t="s">
        <v>43</v>
      </c>
      <c r="F2664" s="10">
        <v>1.514</v>
      </c>
      <c r="G2664" s="10">
        <v>1.665</v>
      </c>
      <c r="H2664" s="10"/>
      <c r="I2664" s="9" t="s">
        <v>45</v>
      </c>
      <c r="J2664" s="9" t="s">
        <v>18925</v>
      </c>
      <c r="K2664" s="9" t="s">
        <v>18926</v>
      </c>
      <c r="L2664" s="8" t="s">
        <v>18927</v>
      </c>
      <c r="M2664" s="9" t="s">
        <v>49</v>
      </c>
      <c r="N2664" s="9" t="s">
        <v>18928</v>
      </c>
      <c r="O2664" s="9">
        <f>HYPERLINK("https://www.google.com/maps/search/?api=1&amp;query=37.33064494,-6.94811301", "https://www.google.com/maps/search/?api=1&amp;query=37.33064494,-6.94811301")</f>
      </c>
      <c r="P2664" s="9" t="s">
        <v>16987</v>
      </c>
      <c r="Q2664" s="9" t="s">
        <v>1204</v>
      </c>
    </row>
    <row r="2665" spans="1:17" x14ac:dyDescent="0.25">
      <c r="A2665" s="8" t="s">
        <v>18929</v>
      </c>
      <c r="B2665" s="8" t="s">
        <v>18930</v>
      </c>
      <c r="C2665" s="9" t="s">
        <v>18931</v>
      </c>
      <c r="D2665" s="9" t="s">
        <v>400</v>
      </c>
      <c r="E2665" s="9" t="s">
        <v>18932</v>
      </c>
      <c r="F2665" s="10">
        <v>1.514</v>
      </c>
      <c r="G2665" s="10">
        <v>1.665</v>
      </c>
      <c r="H2665" s="10"/>
      <c r="I2665" s="9" t="s">
        <v>400</v>
      </c>
      <c r="J2665" s="9" t="s">
        <v>18933</v>
      </c>
      <c r="K2665" s="9" t="s">
        <v>18934</v>
      </c>
      <c r="L2665" s="8" t="s">
        <v>18935</v>
      </c>
      <c r="M2665" s="9" t="s">
        <v>36</v>
      </c>
      <c r="N2665" s="9" t="s">
        <v>7769</v>
      </c>
      <c r="O2665" s="9">
        <f>HYPERLINK("https://www.google.com/maps/search/?api=1&amp;query=38.922686,-0.26942315", "https://www.google.com/maps/search/?api=1&amp;query=38.922686,-0.26942315")</f>
      </c>
      <c r="P2665" s="9" t="s">
        <v>831</v>
      </c>
      <c r="Q2665" s="9" t="s">
        <v>18936</v>
      </c>
    </row>
    <row r="2666" spans="1:17" x14ac:dyDescent="0.25">
      <c r="A2666" s="8" t="s">
        <v>18937</v>
      </c>
      <c r="B2666" s="8" t="s">
        <v>18938</v>
      </c>
      <c r="C2666" s="9" t="s">
        <v>18939</v>
      </c>
      <c r="D2666" s="9" t="s">
        <v>187</v>
      </c>
      <c r="E2666" s="9" t="s">
        <v>1830</v>
      </c>
      <c r="F2666" s="10">
        <v>1.514</v>
      </c>
      <c r="G2666" s="10">
        <v>1.665</v>
      </c>
      <c r="H2666" s="10"/>
      <c r="I2666" s="9" t="s">
        <v>74</v>
      </c>
      <c r="J2666" s="9" t="s">
        <v>18940</v>
      </c>
      <c r="K2666" s="9" t="s">
        <v>18941</v>
      </c>
      <c r="L2666" s="8" t="s">
        <v>1833</v>
      </c>
      <c r="M2666" s="9" t="s">
        <v>49</v>
      </c>
      <c r="N2666" s="9" t="s">
        <v>18942</v>
      </c>
      <c r="O2666" s="9">
        <f>HYPERLINK("https://www.google.com/maps/search/?api=1&amp;query=42.61334405,-5.63996809", "https://www.google.com/maps/search/?api=1&amp;query=42.61334405,-5.63996809")</f>
      </c>
      <c r="P2666" s="9" t="s">
        <v>880</v>
      </c>
      <c r="Q2666" s="9" t="s">
        <v>11593</v>
      </c>
    </row>
    <row r="2667" spans="1:17" x14ac:dyDescent="0.25">
      <c r="A2667" s="8" t="s">
        <v>18943</v>
      </c>
      <c r="B2667" s="8" t="s">
        <v>18944</v>
      </c>
      <c r="C2667" s="9" t="s">
        <v>18945</v>
      </c>
      <c r="D2667" s="9" t="s">
        <v>83</v>
      </c>
      <c r="E2667" s="9" t="s">
        <v>2500</v>
      </c>
      <c r="F2667" s="10">
        <v>1.514</v>
      </c>
      <c r="G2667" s="10">
        <v>1.665</v>
      </c>
      <c r="H2667" s="10"/>
      <c r="I2667" s="9" t="s">
        <v>83</v>
      </c>
      <c r="J2667" s="9" t="s">
        <v>18946</v>
      </c>
      <c r="K2667" s="9" t="s">
        <v>18947</v>
      </c>
      <c r="L2667" s="8" t="s">
        <v>2503</v>
      </c>
      <c r="M2667" s="9" t="s">
        <v>36</v>
      </c>
      <c r="N2667" s="9" t="s">
        <v>9247</v>
      </c>
      <c r="O2667" s="9">
        <f>HYPERLINK("https://www.google.com/maps/search/?api=1&amp;query=40.53781976,-3.63469806", "https://www.google.com/maps/search/?api=1&amp;query=40.53781976,-3.63469806")</f>
      </c>
      <c r="P2667" s="9" t="s">
        <v>172</v>
      </c>
      <c r="Q2667" s="9" t="s">
        <v>1204</v>
      </c>
    </row>
    <row r="2668" spans="1:17" x14ac:dyDescent="0.25">
      <c r="A2668" s="8" t="s">
        <v>18948</v>
      </c>
      <c r="B2668" s="8" t="s">
        <v>18949</v>
      </c>
      <c r="C2668" s="9" t="s">
        <v>18950</v>
      </c>
      <c r="D2668" s="9" t="s">
        <v>469</v>
      </c>
      <c r="E2668" s="9" t="s">
        <v>16960</v>
      </c>
      <c r="F2668" s="10">
        <v>1.514</v>
      </c>
      <c r="G2668" s="10">
        <v>1.665</v>
      </c>
      <c r="H2668" s="10"/>
      <c r="I2668" s="9" t="s">
        <v>74</v>
      </c>
      <c r="J2668" s="9" t="s">
        <v>18951</v>
      </c>
      <c r="K2668" s="9" t="s">
        <v>18952</v>
      </c>
      <c r="L2668" s="8" t="s">
        <v>18953</v>
      </c>
      <c r="M2668" s="9" t="s">
        <v>36</v>
      </c>
      <c r="N2668" s="9" t="s">
        <v>122</v>
      </c>
      <c r="O2668" s="9">
        <f>HYPERLINK("https://www.google.com/maps/search/?api=1&amp;query=40.51038924,-6.12396564", "https://www.google.com/maps/search/?api=1&amp;query=40.51038924,-6.12396564")</f>
      </c>
      <c r="P2668" s="9" t="s">
        <v>6218</v>
      </c>
      <c r="Q2668" s="9" t="s">
        <v>1131</v>
      </c>
    </row>
    <row r="2669" spans="1:17" x14ac:dyDescent="0.25">
      <c r="A2669" s="8" t="s">
        <v>18954</v>
      </c>
      <c r="B2669" s="8" t="s">
        <v>18955</v>
      </c>
      <c r="C2669" s="9" t="s">
        <v>18956</v>
      </c>
      <c r="D2669" s="9" t="s">
        <v>444</v>
      </c>
      <c r="E2669" s="9" t="s">
        <v>844</v>
      </c>
      <c r="F2669" s="10">
        <v>1.514</v>
      </c>
      <c r="G2669" s="10">
        <v>1.665</v>
      </c>
      <c r="H2669" s="10"/>
      <c r="I2669" s="9" t="s">
        <v>444</v>
      </c>
      <c r="J2669" s="9" t="s">
        <v>18957</v>
      </c>
      <c r="K2669" s="9" t="s">
        <v>18958</v>
      </c>
      <c r="L2669" s="8" t="s">
        <v>18959</v>
      </c>
      <c r="M2669" s="9" t="s">
        <v>49</v>
      </c>
      <c r="N2669" s="9" t="s">
        <v>37</v>
      </c>
      <c r="O2669" s="9">
        <f>HYPERLINK("https://www.google.com/maps/search/?api=1&amp;query=43.54129886,-5.66752263", "https://www.google.com/maps/search/?api=1&amp;query=43.54129886,-5.66752263")</f>
      </c>
      <c r="P2669" s="9" t="s">
        <v>1439</v>
      </c>
      <c r="Q2669" s="9" t="s">
        <v>340</v>
      </c>
    </row>
    <row r="2670" spans="1:17" x14ac:dyDescent="0.25">
      <c r="A2670" s="8" t="s">
        <v>18960</v>
      </c>
      <c r="B2670" s="8" t="s">
        <v>18961</v>
      </c>
      <c r="C2670" s="9" t="s">
        <v>18962</v>
      </c>
      <c r="D2670" s="9" t="s">
        <v>307</v>
      </c>
      <c r="E2670" s="9" t="s">
        <v>18963</v>
      </c>
      <c r="F2670" s="10">
        <v>1.514</v>
      </c>
      <c r="G2670" s="10">
        <v>1.665</v>
      </c>
      <c r="H2670" s="10"/>
      <c r="I2670" s="9" t="s">
        <v>74</v>
      </c>
      <c r="J2670" s="9" t="s">
        <v>18964</v>
      </c>
      <c r="K2670" s="9" t="s">
        <v>18965</v>
      </c>
      <c r="L2670" s="8" t="s">
        <v>18966</v>
      </c>
      <c r="M2670" s="9" t="s">
        <v>36</v>
      </c>
      <c r="N2670" s="9" t="s">
        <v>8648</v>
      </c>
      <c r="O2670" s="9">
        <f>HYPERLINK("https://www.google.com/maps/search/?api=1&amp;query=41.3396499,-5.40997773", "https://www.google.com/maps/search/?api=1&amp;query=41.3396499,-5.40997773")</f>
      </c>
      <c r="P2670" s="9" t="s">
        <v>321</v>
      </c>
      <c r="Q2670" s="9" t="s">
        <v>14175</v>
      </c>
    </row>
    <row r="2671" spans="1:17" x14ac:dyDescent="0.25">
      <c r="A2671" s="8" t="s">
        <v>18967</v>
      </c>
      <c r="B2671" s="8" t="s">
        <v>18968</v>
      </c>
      <c r="C2671" s="9" t="s">
        <v>18969</v>
      </c>
      <c r="D2671" s="9" t="s">
        <v>409</v>
      </c>
      <c r="E2671" s="9" t="s">
        <v>18970</v>
      </c>
      <c r="F2671" s="10">
        <v>1.514</v>
      </c>
      <c r="G2671" s="10">
        <v>1.665</v>
      </c>
      <c r="H2671" s="10"/>
      <c r="I2671" s="9" t="s">
        <v>292</v>
      </c>
      <c r="J2671" s="9" t="s">
        <v>18971</v>
      </c>
      <c r="K2671" s="9" t="s">
        <v>18972</v>
      </c>
      <c r="L2671" s="8" t="s">
        <v>18973</v>
      </c>
      <c r="M2671" s="9" t="s">
        <v>36</v>
      </c>
      <c r="N2671" s="9" t="s">
        <v>18974</v>
      </c>
      <c r="O2671" s="9">
        <f>HYPERLINK("https://www.google.com/maps/search/?api=1&amp;query=41.63933037,-0.42303628", "https://www.google.com/maps/search/?api=1&amp;query=41.63933037,-0.42303628")</f>
      </c>
      <c r="P2671" s="9" t="s">
        <v>3327</v>
      </c>
      <c r="Q2671" s="9" t="s">
        <v>1131</v>
      </c>
    </row>
    <row r="2672" spans="1:17" x14ac:dyDescent="0.25">
      <c r="A2672" s="8" t="s">
        <v>18975</v>
      </c>
      <c r="B2672" s="8" t="s">
        <v>18976</v>
      </c>
      <c r="C2672" s="9" t="s">
        <v>18977</v>
      </c>
      <c r="D2672" s="9" t="s">
        <v>155</v>
      </c>
      <c r="E2672" s="9" t="s">
        <v>18978</v>
      </c>
      <c r="F2672" s="10">
        <v>1.514</v>
      </c>
      <c r="G2672" s="10">
        <v>1.665</v>
      </c>
      <c r="H2672" s="10"/>
      <c r="I2672" s="9" t="s">
        <v>157</v>
      </c>
      <c r="J2672" s="9" t="s">
        <v>18979</v>
      </c>
      <c r="K2672" s="9" t="s">
        <v>18980</v>
      </c>
      <c r="L2672" s="8" t="s">
        <v>18981</v>
      </c>
      <c r="M2672" s="9" t="s">
        <v>100</v>
      </c>
      <c r="N2672" s="9" t="s">
        <v>88</v>
      </c>
      <c r="O2672" s="9">
        <f>HYPERLINK("https://www.google.com/maps/search/?api=1&amp;query=39.68686265,2.83995329", "https://www.google.com/maps/search/?api=1&amp;query=39.68686265,2.83995329")</f>
      </c>
      <c r="P2672" s="9" t="s">
        <v>1439</v>
      </c>
      <c r="Q2672" s="9" t="s">
        <v>1131</v>
      </c>
    </row>
    <row r="2673" spans="1:17" x14ac:dyDescent="0.25">
      <c r="A2673" s="8" t="s">
        <v>18982</v>
      </c>
      <c r="B2673" s="8" t="s">
        <v>18983</v>
      </c>
      <c r="C2673" s="9" t="s">
        <v>18984</v>
      </c>
      <c r="D2673" s="9" t="s">
        <v>400</v>
      </c>
      <c r="E2673" s="9" t="s">
        <v>18985</v>
      </c>
      <c r="F2673" s="10">
        <v>1.514</v>
      </c>
      <c r="G2673" s="10">
        <v>1.665</v>
      </c>
      <c r="H2673" s="10"/>
      <c r="I2673" s="9" t="s">
        <v>400</v>
      </c>
      <c r="J2673" s="9" t="s">
        <v>18986</v>
      </c>
      <c r="K2673" s="9" t="s">
        <v>18987</v>
      </c>
      <c r="L2673" s="8" t="s">
        <v>18988</v>
      </c>
      <c r="M2673" s="9" t="s">
        <v>49</v>
      </c>
      <c r="N2673" s="9" t="s">
        <v>3234</v>
      </c>
      <c r="O2673" s="9">
        <f>HYPERLINK("https://www.google.com/maps/search/?api=1&amp;query=39.59770089,-0.55806545", "https://www.google.com/maps/search/?api=1&amp;query=39.59770089,-0.55806545")</f>
      </c>
      <c r="P2673" s="9" t="s">
        <v>780</v>
      </c>
      <c r="Q2673" s="9" t="s">
        <v>18989</v>
      </c>
    </row>
    <row r="2674" spans="1:17" x14ac:dyDescent="0.25">
      <c r="A2674" s="8" t="s">
        <v>18990</v>
      </c>
      <c r="B2674" s="8" t="s">
        <v>18991</v>
      </c>
      <c r="C2674" s="9" t="s">
        <v>18992</v>
      </c>
      <c r="D2674" s="9" t="s">
        <v>808</v>
      </c>
      <c r="E2674" s="9" t="s">
        <v>2330</v>
      </c>
      <c r="F2674" s="10">
        <v>1.514</v>
      </c>
      <c r="G2674" s="10">
        <v>1.665</v>
      </c>
      <c r="H2674" s="10"/>
      <c r="I2674" s="9" t="s">
        <v>808</v>
      </c>
      <c r="J2674" s="9" t="s">
        <v>18993</v>
      </c>
      <c r="K2674" s="9" t="s">
        <v>18994</v>
      </c>
      <c r="L2674" s="8" t="s">
        <v>18995</v>
      </c>
      <c r="M2674" s="9" t="s">
        <v>49</v>
      </c>
      <c r="N2674" s="9" t="s">
        <v>1130</v>
      </c>
      <c r="O2674" s="9">
        <f>HYPERLINK("https://www.google.com/maps/search/?api=1&amp;query=43.47147709,-3.78172767", "https://www.google.com/maps/search/?api=1&amp;query=43.47147709,-3.78172767")</f>
      </c>
      <c r="P2674" s="9" t="s">
        <v>1439</v>
      </c>
      <c r="Q2674" s="9" t="s">
        <v>1131</v>
      </c>
    </row>
    <row r="2675" spans="1:17" x14ac:dyDescent="0.25">
      <c r="A2675" s="8" t="s">
        <v>18996</v>
      </c>
      <c r="B2675" s="8" t="s">
        <v>18997</v>
      </c>
      <c r="C2675" s="9" t="s">
        <v>18998</v>
      </c>
      <c r="D2675" s="9" t="s">
        <v>398</v>
      </c>
      <c r="E2675" s="9" t="s">
        <v>18999</v>
      </c>
      <c r="F2675" s="10">
        <v>1.514</v>
      </c>
      <c r="G2675" s="10">
        <v>1.665</v>
      </c>
      <c r="H2675" s="10"/>
      <c r="I2675" s="9" t="s">
        <v>400</v>
      </c>
      <c r="J2675" s="9" t="s">
        <v>19000</v>
      </c>
      <c r="K2675" s="9" t="s">
        <v>19001</v>
      </c>
      <c r="L2675" s="8" t="s">
        <v>19002</v>
      </c>
      <c r="M2675" s="9" t="s">
        <v>49</v>
      </c>
      <c r="N2675" s="9" t="s">
        <v>37</v>
      </c>
      <c r="O2675" s="9">
        <f>HYPERLINK("https://www.google.com/maps/search/?api=1&amp;query=38.64547275,0.05026141", "https://www.google.com/maps/search/?api=1&amp;query=38.64547275,0.05026141")</f>
      </c>
      <c r="P2675" s="9" t="s">
        <v>3400</v>
      </c>
      <c r="Q2675" s="9" t="s">
        <v>19003</v>
      </c>
    </row>
    <row r="2676" spans="1:17" x14ac:dyDescent="0.25">
      <c r="A2676" s="8" t="s">
        <v>19004</v>
      </c>
      <c r="B2676" s="8" t="s">
        <v>19005</v>
      </c>
      <c r="C2676" s="9" t="s">
        <v>19006</v>
      </c>
      <c r="D2676" s="9" t="s">
        <v>400</v>
      </c>
      <c r="E2676" s="9" t="s">
        <v>19007</v>
      </c>
      <c r="F2676" s="10">
        <v>1.514</v>
      </c>
      <c r="G2676" s="10">
        <v>1.665</v>
      </c>
      <c r="H2676" s="10"/>
      <c r="I2676" s="9" t="s">
        <v>400</v>
      </c>
      <c r="J2676" s="9" t="s">
        <v>19008</v>
      </c>
      <c r="K2676" s="9" t="s">
        <v>19009</v>
      </c>
      <c r="L2676" s="8" t="s">
        <v>19010</v>
      </c>
      <c r="M2676" s="9" t="s">
        <v>36</v>
      </c>
      <c r="N2676" s="9" t="s">
        <v>88</v>
      </c>
      <c r="O2676" s="9">
        <f>HYPERLINK("https://www.google.com/maps/search/?api=1&amp;query=39.47918306,-0.44440792", "https://www.google.com/maps/search/?api=1&amp;query=39.47918306,-0.44440792")</f>
      </c>
      <c r="P2676" s="9" t="s">
        <v>1203</v>
      </c>
      <c r="Q2676" s="9" t="s">
        <v>14408</v>
      </c>
    </row>
    <row r="2677" spans="1:17" x14ac:dyDescent="0.25">
      <c r="A2677" s="8" t="s">
        <v>19011</v>
      </c>
      <c r="B2677" s="8" t="s">
        <v>19012</v>
      </c>
      <c r="C2677" s="9" t="s">
        <v>19013</v>
      </c>
      <c r="D2677" s="9" t="s">
        <v>138</v>
      </c>
      <c r="E2677" s="9" t="s">
        <v>19014</v>
      </c>
      <c r="F2677" s="10">
        <v>1.514</v>
      </c>
      <c r="G2677" s="10">
        <v>1.665</v>
      </c>
      <c r="H2677" s="10"/>
      <c r="I2677" s="9" t="s">
        <v>140</v>
      </c>
      <c r="J2677" s="9" t="s">
        <v>19015</v>
      </c>
      <c r="K2677" s="9" t="s">
        <v>19016</v>
      </c>
      <c r="L2677" s="8" t="s">
        <v>1964</v>
      </c>
      <c r="M2677" s="9" t="s">
        <v>100</v>
      </c>
      <c r="N2677" s="9" t="s">
        <v>211</v>
      </c>
      <c r="O2677" s="9">
        <f>HYPERLINK("https://www.google.com/maps/search/?api=1&amp;query=42.23423349,-8.65688493", "https://www.google.com/maps/search/?api=1&amp;query=42.23423349,-8.65688493")</f>
      </c>
      <c r="P2677" s="9" t="s">
        <v>1250</v>
      </c>
      <c r="Q2677" s="9" t="s">
        <v>3771</v>
      </c>
    </row>
    <row r="2678" spans="1:17" x14ac:dyDescent="0.25">
      <c r="A2678" s="8" t="s">
        <v>19017</v>
      </c>
      <c r="B2678" s="8" t="s">
        <v>19018</v>
      </c>
      <c r="C2678" s="9" t="s">
        <v>19019</v>
      </c>
      <c r="D2678" s="9" t="s">
        <v>83</v>
      </c>
      <c r="E2678" s="9" t="s">
        <v>19020</v>
      </c>
      <c r="F2678" s="10">
        <v>1.514</v>
      </c>
      <c r="G2678" s="10">
        <v>1.665</v>
      </c>
      <c r="H2678" s="10"/>
      <c r="I2678" s="9" t="s">
        <v>83</v>
      </c>
      <c r="J2678" s="9" t="s">
        <v>19021</v>
      </c>
      <c r="K2678" s="9" t="s">
        <v>19022</v>
      </c>
      <c r="L2678" s="8" t="s">
        <v>19023</v>
      </c>
      <c r="M2678" s="9" t="s">
        <v>36</v>
      </c>
      <c r="N2678" s="9" t="s">
        <v>7163</v>
      </c>
      <c r="O2678" s="9">
        <f>HYPERLINK("https://www.google.com/maps/search/?api=1&amp;query=40.40585819,-3.14088829", "https://www.google.com/maps/search/?api=1&amp;query=40.40585819,-3.14088829")</f>
      </c>
      <c r="P2678" s="9" t="s">
        <v>3530</v>
      </c>
      <c r="Q2678" s="9" t="s">
        <v>4771</v>
      </c>
    </row>
    <row r="2679" spans="1:17" x14ac:dyDescent="0.25">
      <c r="A2679" s="8" t="s">
        <v>19024</v>
      </c>
      <c r="B2679" s="8" t="s">
        <v>19025</v>
      </c>
      <c r="C2679" s="9" t="s">
        <v>19026</v>
      </c>
      <c r="D2679" s="9" t="s">
        <v>30</v>
      </c>
      <c r="E2679" s="9" t="s">
        <v>19027</v>
      </c>
      <c r="F2679" s="10">
        <v>1.514</v>
      </c>
      <c r="G2679" s="10">
        <v>1.665</v>
      </c>
      <c r="H2679" s="10"/>
      <c r="I2679" s="9" t="s">
        <v>32</v>
      </c>
      <c r="J2679" s="9" t="s">
        <v>19028</v>
      </c>
      <c r="K2679" s="9" t="s">
        <v>19029</v>
      </c>
      <c r="L2679" s="8" t="s">
        <v>19030</v>
      </c>
      <c r="M2679" s="9" t="s">
        <v>49</v>
      </c>
      <c r="N2679" s="9" t="s">
        <v>19031</v>
      </c>
      <c r="O2679" s="9">
        <f>HYPERLINK("https://www.google.com/maps/search/?api=1&amp;query=38.72551928,-6.52853809", "https://www.google.com/maps/search/?api=1&amp;query=38.72551928,-6.52853809")</f>
      </c>
      <c r="P2679" s="9" t="s">
        <v>2213</v>
      </c>
      <c r="Q2679" s="9" t="s">
        <v>9953</v>
      </c>
    </row>
    <row r="2680" spans="1:17" x14ac:dyDescent="0.25">
      <c r="A2680" s="8" t="s">
        <v>19032</v>
      </c>
      <c r="B2680" s="8" t="s">
        <v>19033</v>
      </c>
      <c r="C2680" s="9" t="s">
        <v>19034</v>
      </c>
      <c r="D2680" s="9" t="s">
        <v>217</v>
      </c>
      <c r="E2680" s="9" t="s">
        <v>19035</v>
      </c>
      <c r="F2680" s="10">
        <v>1.514</v>
      </c>
      <c r="G2680" s="10">
        <v>1.665</v>
      </c>
      <c r="H2680" s="10"/>
      <c r="I2680" s="9" t="s">
        <v>45</v>
      </c>
      <c r="J2680" s="9" t="s">
        <v>19036</v>
      </c>
      <c r="K2680" s="9" t="s">
        <v>19037</v>
      </c>
      <c r="L2680" s="8" t="s">
        <v>19038</v>
      </c>
      <c r="M2680" s="9" t="s">
        <v>49</v>
      </c>
      <c r="N2680" s="9" t="s">
        <v>37</v>
      </c>
      <c r="O2680" s="9">
        <f>HYPERLINK("https://www.google.com/maps/search/?api=1&amp;query=36.59465731,-4.52816699", "https://www.google.com/maps/search/?api=1&amp;query=36.59465731,-4.52816699")</f>
      </c>
      <c r="P2680" s="9" t="s">
        <v>1637</v>
      </c>
      <c r="Q2680" s="9" t="s">
        <v>19039</v>
      </c>
    </row>
    <row r="2681" spans="1:17" x14ac:dyDescent="0.25">
      <c r="A2681" s="8" t="s">
        <v>19040</v>
      </c>
      <c r="B2681" s="8" t="s">
        <v>19041</v>
      </c>
      <c r="C2681" s="9" t="s">
        <v>19042</v>
      </c>
      <c r="D2681" s="9" t="s">
        <v>424</v>
      </c>
      <c r="E2681" s="9" t="s">
        <v>19043</v>
      </c>
      <c r="F2681" s="10">
        <v>1.514</v>
      </c>
      <c r="G2681" s="10">
        <v>1.665</v>
      </c>
      <c r="H2681" s="10"/>
      <c r="I2681" s="9" t="s">
        <v>96</v>
      </c>
      <c r="J2681" s="9" t="s">
        <v>19044</v>
      </c>
      <c r="K2681" s="9" t="s">
        <v>19045</v>
      </c>
      <c r="L2681" s="8" t="s">
        <v>19046</v>
      </c>
      <c r="M2681" s="9" t="s">
        <v>49</v>
      </c>
      <c r="N2681" s="9" t="s">
        <v>37</v>
      </c>
      <c r="O2681" s="9">
        <f>HYPERLINK("https://www.google.com/maps/search/?api=1&amp;query=41.99451128,1.52834684", "https://www.google.com/maps/search/?api=1&amp;query=41.99451128,1.52834684")</f>
      </c>
      <c r="P2681" s="9" t="s">
        <v>8430</v>
      </c>
      <c r="Q2681" s="9" t="s">
        <v>19047</v>
      </c>
    </row>
    <row r="2682" spans="1:17" x14ac:dyDescent="0.25">
      <c r="A2682" s="8" t="s">
        <v>19048</v>
      </c>
      <c r="B2682" s="8" t="s">
        <v>19049</v>
      </c>
      <c r="C2682" s="9" t="s">
        <v>19050</v>
      </c>
      <c r="D2682" s="9" t="s">
        <v>400</v>
      </c>
      <c r="E2682" s="9" t="s">
        <v>19051</v>
      </c>
      <c r="F2682" s="10">
        <v>1.514</v>
      </c>
      <c r="G2682" s="10">
        <v>1.665</v>
      </c>
      <c r="H2682" s="10"/>
      <c r="I2682" s="9" t="s">
        <v>400</v>
      </c>
      <c r="J2682" s="9" t="s">
        <v>19052</v>
      </c>
      <c r="K2682" s="9" t="s">
        <v>19053</v>
      </c>
      <c r="L2682" s="8" t="s">
        <v>19054</v>
      </c>
      <c r="M2682" s="9" t="s">
        <v>49</v>
      </c>
      <c r="N2682" s="9" t="s">
        <v>37</v>
      </c>
      <c r="O2682" s="9">
        <f>HYPERLINK("https://www.google.com/maps/search/?api=1&amp;query=39.27197865,-0.57426113", "https://www.google.com/maps/search/?api=1&amp;query=39.27197865,-0.57426113")</f>
      </c>
      <c r="P2682" s="9" t="s">
        <v>2865</v>
      </c>
      <c r="Q2682" s="9" t="s">
        <v>10247</v>
      </c>
    </row>
    <row r="2683" spans="1:17" x14ac:dyDescent="0.25">
      <c r="A2683" s="8" t="s">
        <v>19055</v>
      </c>
      <c r="B2683" s="8" t="s">
        <v>19056</v>
      </c>
      <c r="C2683" s="9" t="s">
        <v>19057</v>
      </c>
      <c r="D2683" s="9" t="s">
        <v>30</v>
      </c>
      <c r="E2683" s="9" t="s">
        <v>17519</v>
      </c>
      <c r="F2683" s="10">
        <v>1.514</v>
      </c>
      <c r="G2683" s="10">
        <v>1.665</v>
      </c>
      <c r="H2683" s="10"/>
      <c r="I2683" s="9" t="s">
        <v>32</v>
      </c>
      <c r="J2683" s="9" t="s">
        <v>19058</v>
      </c>
      <c r="K2683" s="9" t="s">
        <v>19059</v>
      </c>
      <c r="L2683" s="8" t="s">
        <v>17522</v>
      </c>
      <c r="M2683" s="9" t="s">
        <v>36</v>
      </c>
      <c r="N2683" s="9" t="s">
        <v>66</v>
      </c>
      <c r="O2683" s="9">
        <f>HYPERLINK("https://www.google.com/maps/search/?api=1&amp;query=38.66527259,-7.09613397", "https://www.google.com/maps/search/?api=1&amp;query=38.66527259,-7.09613397")</f>
      </c>
      <c r="P2683" s="9" t="s">
        <v>266</v>
      </c>
      <c r="Q2683" s="9" t="s">
        <v>15145</v>
      </c>
    </row>
    <row r="2684" spans="1:17" x14ac:dyDescent="0.25">
      <c r="A2684" s="8" t="s">
        <v>19060</v>
      </c>
      <c r="B2684" s="8" t="s">
        <v>19061</v>
      </c>
      <c r="C2684" s="9" t="s">
        <v>19062</v>
      </c>
      <c r="D2684" s="9" t="s">
        <v>1434</v>
      </c>
      <c r="E2684" s="9" t="s">
        <v>19063</v>
      </c>
      <c r="F2684" s="10">
        <v>1.514</v>
      </c>
      <c r="G2684" s="10">
        <v>1.665</v>
      </c>
      <c r="H2684" s="10"/>
      <c r="I2684" s="9" t="s">
        <v>1434</v>
      </c>
      <c r="J2684" s="9" t="s">
        <v>19064</v>
      </c>
      <c r="K2684" s="9" t="s">
        <v>19065</v>
      </c>
      <c r="L2684" s="8" t="s">
        <v>19066</v>
      </c>
      <c r="M2684" s="9" t="s">
        <v>36</v>
      </c>
      <c r="N2684" s="9" t="s">
        <v>122</v>
      </c>
      <c r="O2684" s="9">
        <f>HYPERLINK("https://www.google.com/maps/search/?api=1&amp;query=42.57081688,-2.76155278", "https://www.google.com/maps/search/?api=1&amp;query=42.57081688,-2.76155278")</f>
      </c>
      <c r="P2684" s="9" t="s">
        <v>1759</v>
      </c>
      <c r="Q2684" s="9" t="s">
        <v>19067</v>
      </c>
    </row>
    <row r="2685" spans="1:17" x14ac:dyDescent="0.25">
      <c r="A2685" s="8" t="s">
        <v>19068</v>
      </c>
      <c r="B2685" s="8" t="s">
        <v>19069</v>
      </c>
      <c r="C2685" s="9" t="s">
        <v>19070</v>
      </c>
      <c r="D2685" s="9" t="s">
        <v>1560</v>
      </c>
      <c r="E2685" s="9" t="s">
        <v>19071</v>
      </c>
      <c r="F2685" s="10">
        <v>1.514</v>
      </c>
      <c r="G2685" s="10">
        <v>1.665</v>
      </c>
      <c r="H2685" s="10"/>
      <c r="I2685" s="9" t="s">
        <v>400</v>
      </c>
      <c r="J2685" s="9" t="s">
        <v>19072</v>
      </c>
      <c r="K2685" s="9" t="s">
        <v>19073</v>
      </c>
      <c r="L2685" s="8" t="s">
        <v>19074</v>
      </c>
      <c r="M2685" s="9" t="s">
        <v>36</v>
      </c>
      <c r="N2685" s="9" t="s">
        <v>19075</v>
      </c>
      <c r="O2685" s="9">
        <f>HYPERLINK("https://www.google.com/maps/search/?api=1&amp;query=39.93115655,-0.19621794", "https://www.google.com/maps/search/?api=1&amp;query=39.93115655,-0.19621794")</f>
      </c>
      <c r="P2685" s="9" t="s">
        <v>8524</v>
      </c>
      <c r="Q2685" s="9" t="s">
        <v>19076</v>
      </c>
    </row>
    <row r="2686" spans="1:17" x14ac:dyDescent="0.25">
      <c r="A2686" s="8" t="s">
        <v>19077</v>
      </c>
      <c r="B2686" s="8" t="s">
        <v>19078</v>
      </c>
      <c r="C2686" s="9" t="s">
        <v>19079</v>
      </c>
      <c r="D2686" s="9" t="s">
        <v>424</v>
      </c>
      <c r="E2686" s="9" t="s">
        <v>19080</v>
      </c>
      <c r="F2686" s="10">
        <v>1.514</v>
      </c>
      <c r="G2686" s="10">
        <v>1.665</v>
      </c>
      <c r="H2686" s="10"/>
      <c r="I2686" s="9" t="s">
        <v>96</v>
      </c>
      <c r="J2686" s="9" t="s">
        <v>19081</v>
      </c>
      <c r="K2686" s="9" t="s">
        <v>19082</v>
      </c>
      <c r="L2686" s="8" t="s">
        <v>19083</v>
      </c>
      <c r="M2686" s="9" t="s">
        <v>49</v>
      </c>
      <c r="N2686" s="9" t="s">
        <v>37</v>
      </c>
      <c r="O2686" s="9">
        <f>HYPERLINK("https://www.google.com/maps/search/?api=1&amp;query=41.63838117,0.87426107", "https://www.google.com/maps/search/?api=1&amp;query=41.63838117,0.87426107")</f>
      </c>
      <c r="P2686" s="9" t="s">
        <v>14691</v>
      </c>
      <c r="Q2686" s="9" t="s">
        <v>19084</v>
      </c>
    </row>
    <row r="2687" spans="1:17" x14ac:dyDescent="0.25">
      <c r="A2687" s="8" t="s">
        <v>19085</v>
      </c>
      <c r="B2687" s="8" t="s">
        <v>19086</v>
      </c>
      <c r="C2687" s="9" t="s">
        <v>19087</v>
      </c>
      <c r="D2687" s="9" t="s">
        <v>187</v>
      </c>
      <c r="E2687" s="9" t="s">
        <v>19088</v>
      </c>
      <c r="F2687" s="10">
        <v>1.514</v>
      </c>
      <c r="G2687" s="10">
        <v>1.665</v>
      </c>
      <c r="H2687" s="10"/>
      <c r="I2687" s="9" t="s">
        <v>74</v>
      </c>
      <c r="J2687" s="9" t="s">
        <v>19089</v>
      </c>
      <c r="K2687" s="9" t="s">
        <v>19090</v>
      </c>
      <c r="L2687" s="8" t="s">
        <v>19091</v>
      </c>
      <c r="M2687" s="9" t="s">
        <v>36</v>
      </c>
      <c r="N2687" s="9" t="s">
        <v>211</v>
      </c>
      <c r="O2687" s="9">
        <f>HYPERLINK("https://www.google.com/maps/search/?api=1&amp;query=42.56528994,-6.60573826", "https://www.google.com/maps/search/?api=1&amp;query=42.56528994,-6.60573826")</f>
      </c>
      <c r="P2687" s="9" t="s">
        <v>2213</v>
      </c>
      <c r="Q2687" s="9" t="s">
        <v>19092</v>
      </c>
    </row>
    <row r="2688" spans="1:17" x14ac:dyDescent="0.25">
      <c r="A2688" s="8" t="s">
        <v>19093</v>
      </c>
      <c r="B2688" s="8" t="s">
        <v>19094</v>
      </c>
      <c r="C2688" s="9" t="s">
        <v>19095</v>
      </c>
      <c r="D2688" s="9" t="s">
        <v>226</v>
      </c>
      <c r="E2688" s="9" t="s">
        <v>19096</v>
      </c>
      <c r="F2688" s="10">
        <v>1.514</v>
      </c>
      <c r="G2688" s="10">
        <v>1.665</v>
      </c>
      <c r="H2688" s="10"/>
      <c r="I2688" s="9" t="s">
        <v>168</v>
      </c>
      <c r="J2688" s="9" t="s">
        <v>19097</v>
      </c>
      <c r="K2688" s="9" t="s">
        <v>19098</v>
      </c>
      <c r="L2688" s="8" t="s">
        <v>19099</v>
      </c>
      <c r="M2688" s="9" t="s">
        <v>36</v>
      </c>
      <c r="N2688" s="9" t="s">
        <v>19100</v>
      </c>
      <c r="O2688" s="9">
        <f>HYPERLINK("https://www.google.com/maps/search/?api=1&amp;query=40.34852979,-1.85008428", "https://www.google.com/maps/search/?api=1&amp;query=40.34852979,-1.85008428")</f>
      </c>
      <c r="P2688" s="9" t="s">
        <v>1803</v>
      </c>
      <c r="Q2688" s="9" t="s">
        <v>3771</v>
      </c>
    </row>
    <row r="2689" spans="1:17" x14ac:dyDescent="0.25">
      <c r="A2689" s="8" t="s">
        <v>19101</v>
      </c>
      <c r="B2689" s="8" t="s">
        <v>19102</v>
      </c>
      <c r="C2689" s="9" t="s">
        <v>19103</v>
      </c>
      <c r="D2689" s="9" t="s">
        <v>344</v>
      </c>
      <c r="E2689" s="9" t="s">
        <v>1931</v>
      </c>
      <c r="F2689" s="10">
        <v>1.514</v>
      </c>
      <c r="G2689" s="10">
        <v>1.665</v>
      </c>
      <c r="H2689" s="10"/>
      <c r="I2689" s="9" t="s">
        <v>140</v>
      </c>
      <c r="J2689" s="9" t="s">
        <v>19104</v>
      </c>
      <c r="K2689" s="9" t="s">
        <v>19105</v>
      </c>
      <c r="L2689" s="8" t="s">
        <v>8803</v>
      </c>
      <c r="M2689" s="9" t="s">
        <v>36</v>
      </c>
      <c r="N2689" s="9" t="s">
        <v>211</v>
      </c>
      <c r="O2689" s="9">
        <f>HYPERLINK("https://www.google.com/maps/search/?api=1&amp;query=43.33918199,-8.38932013", "https://www.google.com/maps/search/?api=1&amp;query=43.33918199,-8.38932013")</f>
      </c>
      <c r="P2689" s="9" t="s">
        <v>1287</v>
      </c>
      <c r="Q2689" s="9" t="s">
        <v>1204</v>
      </c>
    </row>
    <row r="2690" spans="1:17" x14ac:dyDescent="0.25">
      <c r="A2690" s="8" t="s">
        <v>19106</v>
      </c>
      <c r="B2690" s="8" t="s">
        <v>19107</v>
      </c>
      <c r="C2690" s="9" t="s">
        <v>19108</v>
      </c>
      <c r="D2690" s="9" t="s">
        <v>61</v>
      </c>
      <c r="E2690" s="9" t="s">
        <v>10278</v>
      </c>
      <c r="F2690" s="10">
        <v>1.514</v>
      </c>
      <c r="G2690" s="10">
        <v>1.665</v>
      </c>
      <c r="H2690" s="10"/>
      <c r="I2690" s="9" t="s">
        <v>45</v>
      </c>
      <c r="J2690" s="9" t="s">
        <v>19109</v>
      </c>
      <c r="K2690" s="9" t="s">
        <v>19110</v>
      </c>
      <c r="L2690" s="8" t="s">
        <v>10281</v>
      </c>
      <c r="M2690" s="9" t="s">
        <v>36</v>
      </c>
      <c r="N2690" s="9" t="s">
        <v>964</v>
      </c>
      <c r="O2690" s="9">
        <f>HYPERLINK("https://www.google.com/maps/search/?api=1&amp;query=36.86716056,-6.02980868", "https://www.google.com/maps/search/?api=1&amp;query=36.86716056,-6.02980868")</f>
      </c>
      <c r="P2690" s="9" t="s">
        <v>11881</v>
      </c>
      <c r="Q2690" s="9" t="s">
        <v>17483</v>
      </c>
    </row>
    <row r="2691" spans="1:17" x14ac:dyDescent="0.25">
      <c r="A2691" s="8" t="s">
        <v>19111</v>
      </c>
      <c r="B2691" s="8" t="s">
        <v>19112</v>
      </c>
      <c r="C2691" s="9" t="s">
        <v>19113</v>
      </c>
      <c r="D2691" s="9" t="s">
        <v>61</v>
      </c>
      <c r="E2691" s="9" t="s">
        <v>61</v>
      </c>
      <c r="F2691" s="10">
        <v>1.514</v>
      </c>
      <c r="G2691" s="10">
        <v>1.665</v>
      </c>
      <c r="H2691" s="10"/>
      <c r="I2691" s="9" t="s">
        <v>45</v>
      </c>
      <c r="J2691" s="9" t="s">
        <v>19114</v>
      </c>
      <c r="K2691" s="9" t="s">
        <v>19115</v>
      </c>
      <c r="L2691" s="8" t="s">
        <v>7617</v>
      </c>
      <c r="M2691" s="9" t="s">
        <v>49</v>
      </c>
      <c r="N2691" s="9" t="s">
        <v>88</v>
      </c>
      <c r="O2691" s="9">
        <f>HYPERLINK("https://www.google.com/maps/search/?api=1&amp;query=37.41519288,-5.92890657", "https://www.google.com/maps/search/?api=1&amp;query=37.41519288,-5.92890657")</f>
      </c>
      <c r="P2691" s="9" t="s">
        <v>880</v>
      </c>
      <c r="Q2691" s="9" t="s">
        <v>112</v>
      </c>
    </row>
    <row r="2692" spans="1:17" x14ac:dyDescent="0.25">
      <c r="A2692" s="8" t="s">
        <v>19116</v>
      </c>
      <c r="B2692" s="8" t="s">
        <v>19117</v>
      </c>
      <c r="C2692" s="9" t="s">
        <v>19118</v>
      </c>
      <c r="D2692" s="9" t="s">
        <v>197</v>
      </c>
      <c r="E2692" s="9" t="s">
        <v>19119</v>
      </c>
      <c r="F2692" s="10">
        <v>1.514</v>
      </c>
      <c r="G2692" s="10">
        <v>1.665</v>
      </c>
      <c r="H2692" s="10"/>
      <c r="I2692" s="9" t="s">
        <v>168</v>
      </c>
      <c r="J2692" s="9" t="s">
        <v>19120</v>
      </c>
      <c r="K2692" s="9" t="s">
        <v>19121</v>
      </c>
      <c r="L2692" s="8" t="s">
        <v>19122</v>
      </c>
      <c r="M2692" s="9" t="s">
        <v>100</v>
      </c>
      <c r="N2692" s="9" t="s">
        <v>1719</v>
      </c>
      <c r="O2692" s="9">
        <f>HYPERLINK("https://www.google.com/maps/search/?api=1&amp;query=39.93569228,-3.92161236", "https://www.google.com/maps/search/?api=1&amp;query=39.93569228,-3.92161236")</f>
      </c>
      <c r="P2692" s="9" t="s">
        <v>8200</v>
      </c>
      <c r="Q2692" s="9" t="s">
        <v>1742</v>
      </c>
    </row>
    <row r="2693" spans="1:17" x14ac:dyDescent="0.25">
      <c r="A2693" s="8" t="s">
        <v>19123</v>
      </c>
      <c r="B2693" s="8" t="s">
        <v>19124</v>
      </c>
      <c r="C2693" s="9" t="s">
        <v>19125</v>
      </c>
      <c r="D2693" s="9" t="s">
        <v>197</v>
      </c>
      <c r="E2693" s="9" t="s">
        <v>19126</v>
      </c>
      <c r="F2693" s="10">
        <v>1.514</v>
      </c>
      <c r="G2693" s="10">
        <v>1.665</v>
      </c>
      <c r="H2693" s="10"/>
      <c r="I2693" s="9" t="s">
        <v>168</v>
      </c>
      <c r="J2693" s="9" t="s">
        <v>19127</v>
      </c>
      <c r="K2693" s="9" t="s">
        <v>19128</v>
      </c>
      <c r="L2693" s="8" t="s">
        <v>19129</v>
      </c>
      <c r="M2693" s="9" t="s">
        <v>49</v>
      </c>
      <c r="N2693" s="9" t="s">
        <v>211</v>
      </c>
      <c r="O2693" s="9">
        <f>HYPERLINK("https://www.google.com/maps/search/?api=1&amp;query=39.67212521,-3.01807212", "https://www.google.com/maps/search/?api=1&amp;query=39.67212521,-3.01807212")</f>
      </c>
      <c r="P2693" s="9" t="s">
        <v>2594</v>
      </c>
      <c r="Q2693" s="9" t="s">
        <v>1204</v>
      </c>
    </row>
    <row r="2694" spans="1:17" x14ac:dyDescent="0.25">
      <c r="A2694" s="8" t="s">
        <v>19130</v>
      </c>
      <c r="B2694" s="8" t="s">
        <v>19131</v>
      </c>
      <c r="C2694" s="9" t="s">
        <v>19132</v>
      </c>
      <c r="D2694" s="9" t="s">
        <v>631</v>
      </c>
      <c r="E2694" s="9" t="s">
        <v>19133</v>
      </c>
      <c r="F2694" s="10">
        <v>1.514</v>
      </c>
      <c r="G2694" s="10">
        <v>1.665</v>
      </c>
      <c r="H2694" s="10"/>
      <c r="I2694" s="9" t="s">
        <v>45</v>
      </c>
      <c r="J2694" s="9" t="s">
        <v>19134</v>
      </c>
      <c r="K2694" s="9" t="s">
        <v>19135</v>
      </c>
      <c r="L2694" s="8" t="s">
        <v>19136</v>
      </c>
      <c r="M2694" s="9" t="s">
        <v>36</v>
      </c>
      <c r="N2694" s="9" t="s">
        <v>1695</v>
      </c>
      <c r="O2694" s="9">
        <f>HYPERLINK("https://www.google.com/maps/search/?api=1&amp;query=37.55260941,-4.36171669", "https://www.google.com/maps/search/?api=1&amp;query=37.55260941,-4.36171669")</f>
      </c>
      <c r="P2694" s="9" t="s">
        <v>8566</v>
      </c>
      <c r="Q2694" s="9" t="s">
        <v>8298</v>
      </c>
    </row>
    <row r="2695" spans="1:17" x14ac:dyDescent="0.25">
      <c r="A2695" s="8" t="s">
        <v>19137</v>
      </c>
      <c r="B2695" s="8" t="s">
        <v>19138</v>
      </c>
      <c r="C2695" s="9" t="s">
        <v>19139</v>
      </c>
      <c r="D2695" s="9" t="s">
        <v>83</v>
      </c>
      <c r="E2695" s="9" t="s">
        <v>83</v>
      </c>
      <c r="F2695" s="10">
        <v>1.514</v>
      </c>
      <c r="G2695" s="10">
        <v>1.665</v>
      </c>
      <c r="H2695" s="10"/>
      <c r="I2695" s="9" t="s">
        <v>83</v>
      </c>
      <c r="J2695" s="9" t="s">
        <v>19140</v>
      </c>
      <c r="K2695" s="9" t="s">
        <v>19141</v>
      </c>
      <c r="L2695" s="8" t="s">
        <v>19142</v>
      </c>
      <c r="M2695" s="9" t="s">
        <v>49</v>
      </c>
      <c r="N2695" s="9" t="s">
        <v>37</v>
      </c>
      <c r="O2695" s="9">
        <f>HYPERLINK("https://www.google.com/maps/search/?api=1&amp;query=40.40441585,-3.70536501", "https://www.google.com/maps/search/?api=1&amp;query=40.40441585,-3.70536501")</f>
      </c>
      <c r="P2695" s="9" t="s">
        <v>172</v>
      </c>
      <c r="Q2695" s="9" t="s">
        <v>15837</v>
      </c>
    </row>
    <row r="2696" spans="1:17" x14ac:dyDescent="0.25">
      <c r="A2696" s="8" t="s">
        <v>19143</v>
      </c>
      <c r="B2696" s="8" t="s">
        <v>19144</v>
      </c>
      <c r="C2696" s="9" t="s">
        <v>19145</v>
      </c>
      <c r="D2696" s="9" t="s">
        <v>307</v>
      </c>
      <c r="E2696" s="9" t="s">
        <v>19146</v>
      </c>
      <c r="F2696" s="10">
        <v>1.514</v>
      </c>
      <c r="G2696" s="10">
        <v>1.665</v>
      </c>
      <c r="H2696" s="10"/>
      <c r="I2696" s="9" t="s">
        <v>74</v>
      </c>
      <c r="J2696" s="9" t="s">
        <v>19147</v>
      </c>
      <c r="K2696" s="9" t="s">
        <v>19148</v>
      </c>
      <c r="L2696" s="8" t="s">
        <v>19149</v>
      </c>
      <c r="M2696" s="9" t="s">
        <v>49</v>
      </c>
      <c r="N2696" s="9" t="s">
        <v>122</v>
      </c>
      <c r="O2696" s="9">
        <f>HYPERLINK("https://www.google.com/maps/search/?api=1&amp;query=41.99625539,-6.02571945", "https://www.google.com/maps/search/?api=1&amp;query=41.99625539,-6.02571945")</f>
      </c>
      <c r="P2696" s="9" t="s">
        <v>617</v>
      </c>
      <c r="Q2696" s="9" t="s">
        <v>19150</v>
      </c>
    </row>
    <row r="2697" spans="1:17" x14ac:dyDescent="0.25">
      <c r="A2697" s="8" t="s">
        <v>19151</v>
      </c>
      <c r="B2697" s="8" t="s">
        <v>19152</v>
      </c>
      <c r="C2697" s="9" t="s">
        <v>19153</v>
      </c>
      <c r="D2697" s="9" t="s">
        <v>187</v>
      </c>
      <c r="E2697" s="9" t="s">
        <v>13689</v>
      </c>
      <c r="F2697" s="10">
        <v>1.514</v>
      </c>
      <c r="G2697" s="10">
        <v>1.665</v>
      </c>
      <c r="H2697" s="10"/>
      <c r="I2697" s="9" t="s">
        <v>74</v>
      </c>
      <c r="J2697" s="9" t="s">
        <v>19154</v>
      </c>
      <c r="K2697" s="9" t="s">
        <v>19155</v>
      </c>
      <c r="L2697" s="8" t="s">
        <v>13692</v>
      </c>
      <c r="M2697" s="9" t="s">
        <v>100</v>
      </c>
      <c r="N2697" s="9" t="s">
        <v>19156</v>
      </c>
      <c r="O2697" s="9">
        <f>HYPERLINK("https://www.google.com/maps/search/?api=1&amp;query=42.57001132,-5.5195301", "https://www.google.com/maps/search/?api=1&amp;query=42.57001132,-5.5195301")</f>
      </c>
      <c r="P2697" s="9" t="s">
        <v>321</v>
      </c>
      <c r="Q2697" s="9" t="s">
        <v>19157</v>
      </c>
    </row>
    <row r="2698" spans="1:17" x14ac:dyDescent="0.25">
      <c r="A2698" s="8" t="s">
        <v>19158</v>
      </c>
      <c r="B2698" s="8" t="s">
        <v>19159</v>
      </c>
      <c r="C2698" s="9" t="s">
        <v>19160</v>
      </c>
      <c r="D2698" s="9" t="s">
        <v>1847</v>
      </c>
      <c r="E2698" s="9" t="s">
        <v>19161</v>
      </c>
      <c r="F2698" s="10">
        <v>1.514</v>
      </c>
      <c r="G2698" s="10">
        <v>1.665</v>
      </c>
      <c r="H2698" s="10"/>
      <c r="I2698" s="9" t="s">
        <v>74</v>
      </c>
      <c r="J2698" s="9" t="s">
        <v>19162</v>
      </c>
      <c r="K2698" s="9" t="s">
        <v>19163</v>
      </c>
      <c r="L2698" s="8" t="s">
        <v>19164</v>
      </c>
      <c r="M2698" s="9" t="s">
        <v>36</v>
      </c>
      <c r="N2698" s="9" t="s">
        <v>1719</v>
      </c>
      <c r="O2698" s="9">
        <f>HYPERLINK("https://www.google.com/maps/search/?api=1&amp;query=41.00663046,-4.60391046", "https://www.google.com/maps/search/?api=1&amp;query=41.00663046,-4.60391046")</f>
      </c>
      <c r="P2698" s="9" t="s">
        <v>56</v>
      </c>
      <c r="Q2698" s="9" t="s">
        <v>3202</v>
      </c>
    </row>
    <row r="2699" spans="1:17" x14ac:dyDescent="0.25">
      <c r="A2699" s="8" t="s">
        <v>6428</v>
      </c>
      <c r="B2699" s="8" t="s">
        <v>19165</v>
      </c>
      <c r="C2699" s="9" t="s">
        <v>19166</v>
      </c>
      <c r="D2699" s="9" t="s">
        <v>398</v>
      </c>
      <c r="E2699" s="9" t="s">
        <v>19167</v>
      </c>
      <c r="F2699" s="10">
        <v>1.514</v>
      </c>
      <c r="G2699" s="10">
        <v>1.665</v>
      </c>
      <c r="H2699" s="10"/>
      <c r="I2699" s="9" t="s">
        <v>400</v>
      </c>
      <c r="J2699" s="9" t="s">
        <v>19168</v>
      </c>
      <c r="K2699" s="9" t="s">
        <v>19169</v>
      </c>
      <c r="L2699" s="8" t="s">
        <v>19170</v>
      </c>
      <c r="M2699" s="9" t="s">
        <v>49</v>
      </c>
      <c r="N2699" s="9" t="s">
        <v>88</v>
      </c>
      <c r="O2699" s="9">
        <f>HYPERLINK("https://www.google.com/maps/search/?api=1&amp;query=38.13945374,-0.77483694", "https://www.google.com/maps/search/?api=1&amp;query=38.13945374,-0.77483694")</f>
      </c>
      <c r="P2699" s="9" t="s">
        <v>1645</v>
      </c>
      <c r="Q2699" s="9" t="s">
        <v>19171</v>
      </c>
    </row>
    <row r="2700" spans="1:17" x14ac:dyDescent="0.25">
      <c r="A2700" s="8" t="s">
        <v>19172</v>
      </c>
      <c r="B2700" s="8" t="s">
        <v>19173</v>
      </c>
      <c r="C2700" s="9" t="s">
        <v>19174</v>
      </c>
      <c r="D2700" s="9" t="s">
        <v>155</v>
      </c>
      <c r="E2700" s="9" t="s">
        <v>2394</v>
      </c>
      <c r="F2700" s="10">
        <v>1.514</v>
      </c>
      <c r="G2700" s="10">
        <v>1.665</v>
      </c>
      <c r="H2700" s="10"/>
      <c r="I2700" s="9" t="s">
        <v>157</v>
      </c>
      <c r="J2700" s="9" t="s">
        <v>19175</v>
      </c>
      <c r="K2700" s="9" t="s">
        <v>19176</v>
      </c>
      <c r="L2700" s="8" t="s">
        <v>19177</v>
      </c>
      <c r="M2700" s="9" t="s">
        <v>49</v>
      </c>
      <c r="N2700" s="9" t="s">
        <v>37</v>
      </c>
      <c r="O2700" s="9">
        <f>HYPERLINK("https://www.google.com/maps/search/?api=1&amp;query=39.56646694,2.6567363", "https://www.google.com/maps/search/?api=1&amp;query=39.56646694,2.6567363")</f>
      </c>
      <c r="P2700" s="9" t="s">
        <v>19178</v>
      </c>
      <c r="Q2700" s="9" t="s">
        <v>1131</v>
      </c>
    </row>
    <row r="2701" spans="1:17" x14ac:dyDescent="0.25">
      <c r="A2701" s="8" t="s">
        <v>19179</v>
      </c>
      <c r="B2701" s="8" t="s">
        <v>19180</v>
      </c>
      <c r="C2701" s="9" t="s">
        <v>19181</v>
      </c>
      <c r="D2701" s="9" t="s">
        <v>434</v>
      </c>
      <c r="E2701" s="9" t="s">
        <v>19182</v>
      </c>
      <c r="F2701" s="10">
        <v>1.514</v>
      </c>
      <c r="G2701" s="10">
        <v>1.665</v>
      </c>
      <c r="H2701" s="10"/>
      <c r="I2701" s="9" t="s">
        <v>96</v>
      </c>
      <c r="J2701" s="9" t="s">
        <v>19183</v>
      </c>
      <c r="K2701" s="9" t="s">
        <v>19184</v>
      </c>
      <c r="L2701" s="8" t="s">
        <v>19185</v>
      </c>
      <c r="M2701" s="9" t="s">
        <v>36</v>
      </c>
      <c r="N2701" s="9" t="s">
        <v>1695</v>
      </c>
      <c r="O2701" s="9">
        <f>HYPERLINK("https://www.google.com/maps/search/?api=1&amp;query=42.02896471,3.06537549", "https://www.google.com/maps/search/?api=1&amp;query=42.02896471,3.06537549")</f>
      </c>
      <c r="P2701" s="9" t="s">
        <v>8236</v>
      </c>
      <c r="Q2701" s="9" t="s">
        <v>11593</v>
      </c>
    </row>
    <row r="2702" spans="1:17" x14ac:dyDescent="0.25">
      <c r="A2702" s="8" t="s">
        <v>19186</v>
      </c>
      <c r="B2702" s="8" t="s">
        <v>19187</v>
      </c>
      <c r="C2702" s="9" t="s">
        <v>19188</v>
      </c>
      <c r="D2702" s="9" t="s">
        <v>94</v>
      </c>
      <c r="E2702" s="9" t="s">
        <v>3810</v>
      </c>
      <c r="F2702" s="10">
        <v>1.514</v>
      </c>
      <c r="G2702" s="10">
        <v>1.665</v>
      </c>
      <c r="H2702" s="10"/>
      <c r="I2702" s="9" t="s">
        <v>96</v>
      </c>
      <c r="J2702" s="9" t="s">
        <v>19189</v>
      </c>
      <c r="K2702" s="9" t="s">
        <v>19190</v>
      </c>
      <c r="L2702" s="8" t="s">
        <v>3813</v>
      </c>
      <c r="M2702" s="9" t="s">
        <v>49</v>
      </c>
      <c r="N2702" s="9" t="s">
        <v>954</v>
      </c>
      <c r="O2702" s="9">
        <f>HYPERLINK("https://www.google.com/maps/search/?api=1&amp;query=41.48123431,2.03109285", "https://www.google.com/maps/search/?api=1&amp;query=41.48123431,2.03109285")</f>
      </c>
      <c r="P2702" s="9" t="s">
        <v>4183</v>
      </c>
      <c r="Q2702" s="9" t="s">
        <v>19191</v>
      </c>
    </row>
    <row r="2703" spans="1:17" x14ac:dyDescent="0.25">
      <c r="A2703" s="8" t="s">
        <v>19192</v>
      </c>
      <c r="B2703" s="8" t="s">
        <v>19193</v>
      </c>
      <c r="C2703" s="9" t="s">
        <v>18018</v>
      </c>
      <c r="D2703" s="9" t="s">
        <v>1617</v>
      </c>
      <c r="E2703" s="9" t="s">
        <v>4810</v>
      </c>
      <c r="F2703" s="10">
        <v>1.514</v>
      </c>
      <c r="G2703" s="10">
        <v>1.665</v>
      </c>
      <c r="H2703" s="10"/>
      <c r="I2703" s="9" t="s">
        <v>292</v>
      </c>
      <c r="J2703" s="9" t="s">
        <v>19194</v>
      </c>
      <c r="K2703" s="9" t="s">
        <v>19195</v>
      </c>
      <c r="L2703" s="8" t="s">
        <v>4813</v>
      </c>
      <c r="M2703" s="9" t="s">
        <v>49</v>
      </c>
      <c r="N2703" s="9" t="s">
        <v>37</v>
      </c>
      <c r="O2703" s="9">
        <f>HYPERLINK("https://www.google.com/maps/search/?api=1&amp;query=41.5337608,0.41322625", "https://www.google.com/maps/search/?api=1&amp;query=41.5337608,0.41322625")</f>
      </c>
      <c r="P2703" s="9" t="s">
        <v>10950</v>
      </c>
      <c r="Q2703" s="9" t="s">
        <v>19196</v>
      </c>
    </row>
    <row r="2704" spans="1:17" x14ac:dyDescent="0.25">
      <c r="A2704" s="8" t="s">
        <v>19197</v>
      </c>
      <c r="B2704" s="8" t="s">
        <v>19198</v>
      </c>
      <c r="C2704" s="9" t="s">
        <v>12669</v>
      </c>
      <c r="D2704" s="9" t="s">
        <v>138</v>
      </c>
      <c r="E2704" s="9" t="s">
        <v>19199</v>
      </c>
      <c r="F2704" s="10">
        <v>1.514</v>
      </c>
      <c r="G2704" s="10">
        <v>1.665</v>
      </c>
      <c r="H2704" s="10"/>
      <c r="I2704" s="9" t="s">
        <v>140</v>
      </c>
      <c r="J2704" s="9" t="s">
        <v>19200</v>
      </c>
      <c r="K2704" s="9" t="s">
        <v>19201</v>
      </c>
      <c r="L2704" s="8" t="s">
        <v>19202</v>
      </c>
      <c r="M2704" s="9" t="s">
        <v>36</v>
      </c>
      <c r="N2704" s="9" t="s">
        <v>211</v>
      </c>
      <c r="O2704" s="9">
        <f>HYPERLINK("https://www.google.com/maps/search/?api=1&amp;query=41.91753461,-8.87940883", "https://www.google.com/maps/search/?api=1&amp;query=41.91753461,-8.87940883")</f>
      </c>
      <c r="P2704" s="9" t="s">
        <v>880</v>
      </c>
      <c r="Q2704" s="9" t="s">
        <v>9425</v>
      </c>
    </row>
    <row r="2705" spans="1:17" x14ac:dyDescent="0.25">
      <c r="A2705" s="8" t="s">
        <v>19203</v>
      </c>
      <c r="B2705" s="8" t="s">
        <v>19204</v>
      </c>
      <c r="C2705" s="9" t="s">
        <v>19205</v>
      </c>
      <c r="D2705" s="9" t="s">
        <v>217</v>
      </c>
      <c r="E2705" s="9" t="s">
        <v>271</v>
      </c>
      <c r="F2705" s="10">
        <v>1.514</v>
      </c>
      <c r="G2705" s="10">
        <v>1.665</v>
      </c>
      <c r="H2705" s="10"/>
      <c r="I2705" s="9" t="s">
        <v>45</v>
      </c>
      <c r="J2705" s="9" t="s">
        <v>19206</v>
      </c>
      <c r="K2705" s="9" t="s">
        <v>19207</v>
      </c>
      <c r="L2705" s="8" t="s">
        <v>274</v>
      </c>
      <c r="M2705" s="9" t="s">
        <v>49</v>
      </c>
      <c r="N2705" s="9" t="s">
        <v>37</v>
      </c>
      <c r="O2705" s="9">
        <f>HYPERLINK("https://www.google.com/maps/search/?api=1&amp;query=36.71172576,-4.44046511", "https://www.google.com/maps/search/?api=1&amp;query=36.71172576,-4.44046511")</f>
      </c>
      <c r="P2705" s="9" t="s">
        <v>19208</v>
      </c>
      <c r="Q2705" s="9" t="s">
        <v>7618</v>
      </c>
    </row>
    <row r="2706" spans="1:17" x14ac:dyDescent="0.25">
      <c r="A2706" s="8" t="s">
        <v>19209</v>
      </c>
      <c r="B2706" s="8" t="s">
        <v>19210</v>
      </c>
      <c r="C2706" s="9" t="s">
        <v>13850</v>
      </c>
      <c r="D2706" s="9" t="s">
        <v>400</v>
      </c>
      <c r="E2706" s="9" t="s">
        <v>13851</v>
      </c>
      <c r="F2706" s="10">
        <v>1.514</v>
      </c>
      <c r="G2706" s="10">
        <v>1.665</v>
      </c>
      <c r="H2706" s="10"/>
      <c r="I2706" s="9" t="s">
        <v>400</v>
      </c>
      <c r="J2706" s="9" t="s">
        <v>19211</v>
      </c>
      <c r="K2706" s="9" t="s">
        <v>19212</v>
      </c>
      <c r="L2706" s="8" t="s">
        <v>13854</v>
      </c>
      <c r="M2706" s="9" t="s">
        <v>49</v>
      </c>
      <c r="N2706" s="9" t="s">
        <v>88</v>
      </c>
      <c r="O2706" s="9">
        <f>HYPERLINK("https://www.google.com/maps/search/?api=1&amp;query=38.82083659,-0.61705894", "https://www.google.com/maps/search/?api=1&amp;query=38.82083659,-0.61705894")</f>
      </c>
      <c r="P2706" s="9" t="s">
        <v>7834</v>
      </c>
      <c r="Q2706" s="9" t="s">
        <v>1131</v>
      </c>
    </row>
    <row r="2707" spans="1:17" x14ac:dyDescent="0.25">
      <c r="A2707" s="8" t="s">
        <v>19213</v>
      </c>
      <c r="B2707" s="8" t="s">
        <v>19214</v>
      </c>
      <c r="C2707" s="9" t="s">
        <v>19215</v>
      </c>
      <c r="D2707" s="9" t="s">
        <v>2288</v>
      </c>
      <c r="E2707" s="9" t="s">
        <v>7218</v>
      </c>
      <c r="F2707" s="10">
        <v>1.514</v>
      </c>
      <c r="G2707" s="10">
        <v>1.665</v>
      </c>
      <c r="H2707" s="10"/>
      <c r="I2707" s="9" t="s">
        <v>168</v>
      </c>
      <c r="J2707" s="9" t="s">
        <v>19216</v>
      </c>
      <c r="K2707" s="9" t="s">
        <v>19217</v>
      </c>
      <c r="L2707" s="8" t="s">
        <v>7221</v>
      </c>
      <c r="M2707" s="9" t="s">
        <v>36</v>
      </c>
      <c r="N2707" s="9" t="s">
        <v>19218</v>
      </c>
      <c r="O2707" s="9">
        <f>HYPERLINK("https://www.google.com/maps/search/?api=1&amp;query=39.25739455,-2.61359068", "https://www.google.com/maps/search/?api=1&amp;query=39.25739455,-2.61359068")</f>
      </c>
      <c r="P2707" s="9" t="s">
        <v>56</v>
      </c>
      <c r="Q2707" s="9" t="s">
        <v>14567</v>
      </c>
    </row>
    <row r="2708" spans="1:17" x14ac:dyDescent="0.25">
      <c r="A2708" s="8" t="s">
        <v>19219</v>
      </c>
      <c r="B2708" s="8" t="s">
        <v>19220</v>
      </c>
      <c r="C2708" s="9" t="s">
        <v>19221</v>
      </c>
      <c r="D2708" s="9" t="s">
        <v>155</v>
      </c>
      <c r="E2708" s="9" t="s">
        <v>1881</v>
      </c>
      <c r="F2708" s="10">
        <v>1.514</v>
      </c>
      <c r="G2708" s="10">
        <v>1.665</v>
      </c>
      <c r="H2708" s="10"/>
      <c r="I2708" s="9" t="s">
        <v>157</v>
      </c>
      <c r="J2708" s="9" t="s">
        <v>19222</v>
      </c>
      <c r="K2708" s="9" t="s">
        <v>19223</v>
      </c>
      <c r="L2708" s="8" t="s">
        <v>1884</v>
      </c>
      <c r="M2708" s="9" t="s">
        <v>36</v>
      </c>
      <c r="N2708" s="9" t="s">
        <v>770</v>
      </c>
      <c r="O2708" s="9">
        <f>HYPERLINK("https://www.google.com/maps/search/?api=1&amp;query=39.44361249,3.23547566", "https://www.google.com/maps/search/?api=1&amp;query=39.44361249,3.23547566")</f>
      </c>
      <c r="P2708" s="9" t="s">
        <v>13868</v>
      </c>
      <c r="Q2708" s="9" t="s">
        <v>8460</v>
      </c>
    </row>
    <row r="2709" spans="1:17" x14ac:dyDescent="0.25">
      <c r="A2709" s="8" t="s">
        <v>19224</v>
      </c>
      <c r="B2709" s="8" t="s">
        <v>19225</v>
      </c>
      <c r="C2709" s="9" t="s">
        <v>19226</v>
      </c>
      <c r="D2709" s="9" t="s">
        <v>1282</v>
      </c>
      <c r="E2709" s="9" t="s">
        <v>14179</v>
      </c>
      <c r="F2709" s="10">
        <v>1.514</v>
      </c>
      <c r="G2709" s="10">
        <v>1.665</v>
      </c>
      <c r="H2709" s="10"/>
      <c r="I2709" s="9" t="s">
        <v>45</v>
      </c>
      <c r="J2709" s="9" t="s">
        <v>19227</v>
      </c>
      <c r="K2709" s="9" t="s">
        <v>19228</v>
      </c>
      <c r="L2709" s="8" t="s">
        <v>14182</v>
      </c>
      <c r="M2709" s="9" t="s">
        <v>49</v>
      </c>
      <c r="N2709" s="9" t="s">
        <v>3326</v>
      </c>
      <c r="O2709" s="9">
        <f>HYPERLINK("https://www.google.com/maps/search/?api=1&amp;query=37.48153376,-2.76682025", "https://www.google.com/maps/search/?api=1&amp;query=37.48153376,-2.76682025")</f>
      </c>
      <c r="P2709" s="9" t="s">
        <v>6218</v>
      </c>
      <c r="Q2709" s="9" t="s">
        <v>1982</v>
      </c>
    </row>
    <row r="2710" spans="1:17" x14ac:dyDescent="0.25">
      <c r="A2710" s="8" t="s">
        <v>19229</v>
      </c>
      <c r="B2710" s="8" t="s">
        <v>19230</v>
      </c>
      <c r="C2710" s="9" t="s">
        <v>19231</v>
      </c>
      <c r="D2710" s="9" t="s">
        <v>155</v>
      </c>
      <c r="E2710" s="9" t="s">
        <v>2394</v>
      </c>
      <c r="F2710" s="10">
        <v>1.514</v>
      </c>
      <c r="G2710" s="10">
        <v>1.665</v>
      </c>
      <c r="H2710" s="10"/>
      <c r="I2710" s="9" t="s">
        <v>157</v>
      </c>
      <c r="J2710" s="9" t="s">
        <v>19232</v>
      </c>
      <c r="K2710" s="9" t="s">
        <v>19233</v>
      </c>
      <c r="L2710" s="8" t="s">
        <v>14989</v>
      </c>
      <c r="M2710" s="9" t="s">
        <v>49</v>
      </c>
      <c r="N2710" s="9" t="s">
        <v>37</v>
      </c>
      <c r="O2710" s="9">
        <f>HYPERLINK("https://www.google.com/maps/search/?api=1&amp;query=39.58638573,2.6528748", "https://www.google.com/maps/search/?api=1&amp;query=39.58638573,2.6528748")</f>
      </c>
      <c r="P2710" s="9" t="s">
        <v>1250</v>
      </c>
      <c r="Q2710" s="9" t="s">
        <v>1131</v>
      </c>
    </row>
    <row r="2711" spans="1:17" x14ac:dyDescent="0.25">
      <c r="A2711" s="8" t="s">
        <v>19234</v>
      </c>
      <c r="B2711" s="8" t="s">
        <v>19235</v>
      </c>
      <c r="C2711" s="9" t="s">
        <v>19236</v>
      </c>
      <c r="D2711" s="9" t="s">
        <v>61</v>
      </c>
      <c r="E2711" s="9" t="s">
        <v>8293</v>
      </c>
      <c r="F2711" s="10">
        <v>1.514</v>
      </c>
      <c r="G2711" s="10">
        <v>1.665</v>
      </c>
      <c r="H2711" s="10"/>
      <c r="I2711" s="9" t="s">
        <v>45</v>
      </c>
      <c r="J2711" s="9" t="s">
        <v>19237</v>
      </c>
      <c r="K2711" s="9" t="s">
        <v>19238</v>
      </c>
      <c r="L2711" s="8" t="s">
        <v>8296</v>
      </c>
      <c r="M2711" s="9" t="s">
        <v>36</v>
      </c>
      <c r="N2711" s="9" t="s">
        <v>19239</v>
      </c>
      <c r="O2711" s="9">
        <f>HYPERLINK("https://www.google.com/maps/search/?api=1&amp;query=37.48947634,-5.16483171", "https://www.google.com/maps/search/?api=1&amp;query=37.48947634,-5.16483171")</f>
      </c>
      <c r="P2711" s="9" t="s">
        <v>583</v>
      </c>
      <c r="Q2711" s="9" t="s">
        <v>2998</v>
      </c>
    </row>
    <row r="2712" spans="1:17" x14ac:dyDescent="0.25">
      <c r="A2712" s="8" t="s">
        <v>19240</v>
      </c>
      <c r="B2712" s="8" t="s">
        <v>19241</v>
      </c>
      <c r="C2712" s="9" t="s">
        <v>19242</v>
      </c>
      <c r="D2712" s="9" t="s">
        <v>83</v>
      </c>
      <c r="E2712" s="9" t="s">
        <v>83</v>
      </c>
      <c r="F2712" s="10">
        <v>1.514</v>
      </c>
      <c r="G2712" s="10">
        <v>1.665</v>
      </c>
      <c r="H2712" s="10"/>
      <c r="I2712" s="9" t="s">
        <v>83</v>
      </c>
      <c r="J2712" s="9" t="s">
        <v>19243</v>
      </c>
      <c r="K2712" s="9" t="s">
        <v>19244</v>
      </c>
      <c r="L2712" s="8" t="s">
        <v>16597</v>
      </c>
      <c r="M2712" s="9" t="s">
        <v>49</v>
      </c>
      <c r="N2712" s="9" t="s">
        <v>19245</v>
      </c>
      <c r="O2712" s="9">
        <f>HYPERLINK("https://www.google.com/maps/search/?api=1&amp;query=40.42597168,-3.66468565", "https://www.google.com/maps/search/?api=1&amp;query=40.42597168,-3.66468565")</f>
      </c>
      <c r="P2712" s="9" t="s">
        <v>2594</v>
      </c>
      <c r="Q2712" s="9" t="s">
        <v>1131</v>
      </c>
    </row>
    <row r="2713" spans="1:17" x14ac:dyDescent="0.25">
      <c r="A2713" s="8" t="s">
        <v>19246</v>
      </c>
      <c r="B2713" s="8" t="s">
        <v>19247</v>
      </c>
      <c r="C2713" s="9" t="s">
        <v>19248</v>
      </c>
      <c r="D2713" s="9" t="s">
        <v>1617</v>
      </c>
      <c r="E2713" s="9" t="s">
        <v>19249</v>
      </c>
      <c r="F2713" s="10">
        <v>1.514</v>
      </c>
      <c r="G2713" s="10">
        <v>1.665</v>
      </c>
      <c r="H2713" s="10"/>
      <c r="I2713" s="9" t="s">
        <v>292</v>
      </c>
      <c r="J2713" s="9" t="s">
        <v>19250</v>
      </c>
      <c r="K2713" s="9" t="s">
        <v>19251</v>
      </c>
      <c r="L2713" s="8" t="s">
        <v>19252</v>
      </c>
      <c r="M2713" s="9" t="s">
        <v>49</v>
      </c>
      <c r="N2713" s="9" t="s">
        <v>12538</v>
      </c>
      <c r="O2713" s="9">
        <f>HYPERLINK("https://www.google.com/maps/search/?api=1&amp;query=42.05214627,-0.01521405", "https://www.google.com/maps/search/?api=1&amp;query=42.05214627,-0.01521405")</f>
      </c>
      <c r="P2713" s="9" t="s">
        <v>1100</v>
      </c>
      <c r="Q2713" s="9" t="s">
        <v>1204</v>
      </c>
    </row>
    <row r="2714" spans="1:17" x14ac:dyDescent="0.25">
      <c r="A2714" s="8" t="s">
        <v>19253</v>
      </c>
      <c r="B2714" s="8" t="s">
        <v>19254</v>
      </c>
      <c r="C2714" s="9" t="s">
        <v>19255</v>
      </c>
      <c r="D2714" s="9" t="s">
        <v>128</v>
      </c>
      <c r="E2714" s="9" t="s">
        <v>129</v>
      </c>
      <c r="F2714" s="10">
        <v>1.514</v>
      </c>
      <c r="G2714" s="10">
        <v>1.665</v>
      </c>
      <c r="H2714" s="10"/>
      <c r="I2714" s="9" t="s">
        <v>45</v>
      </c>
      <c r="J2714" s="9" t="s">
        <v>19256</v>
      </c>
      <c r="K2714" s="9" t="s">
        <v>19257</v>
      </c>
      <c r="L2714" s="8" t="s">
        <v>3435</v>
      </c>
      <c r="M2714" s="9" t="s">
        <v>49</v>
      </c>
      <c r="N2714" s="9" t="s">
        <v>19258</v>
      </c>
      <c r="O2714" s="9">
        <f>HYPERLINK("https://www.google.com/maps/search/?api=1&amp;query=36.67795946,-6.14490683", "https://www.google.com/maps/search/?api=1&amp;query=36.67795946,-6.14490683")</f>
      </c>
      <c r="P2714" s="9" t="s">
        <v>5555</v>
      </c>
      <c r="Q2714" s="9" t="s">
        <v>151</v>
      </c>
    </row>
    <row r="2715" spans="1:17" x14ac:dyDescent="0.25">
      <c r="A2715" s="8" t="s">
        <v>19259</v>
      </c>
      <c r="B2715" s="8" t="s">
        <v>19260</v>
      </c>
      <c r="C2715" s="9" t="s">
        <v>10646</v>
      </c>
      <c r="D2715" s="9" t="s">
        <v>658</v>
      </c>
      <c r="E2715" s="9" t="s">
        <v>19261</v>
      </c>
      <c r="F2715" s="10">
        <v>1.514</v>
      </c>
      <c r="G2715" s="10">
        <v>1.665</v>
      </c>
      <c r="H2715" s="10"/>
      <c r="I2715" s="9" t="s">
        <v>45</v>
      </c>
      <c r="J2715" s="9" t="s">
        <v>19262</v>
      </c>
      <c r="K2715" s="9" t="s">
        <v>19263</v>
      </c>
      <c r="L2715" s="8" t="s">
        <v>19264</v>
      </c>
      <c r="M2715" s="9" t="s">
        <v>49</v>
      </c>
      <c r="N2715" s="9" t="s">
        <v>88</v>
      </c>
      <c r="O2715" s="9">
        <f>HYPERLINK("https://www.google.com/maps/search/?api=1&amp;query=36.80473617,-2.62101577", "https://www.google.com/maps/search/?api=1&amp;query=36.80473617,-2.62101577")</f>
      </c>
      <c r="P2715" s="9" t="s">
        <v>521</v>
      </c>
      <c r="Q2715" s="9" t="s">
        <v>10247</v>
      </c>
    </row>
    <row r="2716" spans="1:17" x14ac:dyDescent="0.25">
      <c r="A2716" s="8" t="s">
        <v>19265</v>
      </c>
      <c r="B2716" s="8" t="s">
        <v>19266</v>
      </c>
      <c r="C2716" s="9" t="s">
        <v>19267</v>
      </c>
      <c r="D2716" s="9" t="s">
        <v>307</v>
      </c>
      <c r="E2716" s="9" t="s">
        <v>307</v>
      </c>
      <c r="F2716" s="10">
        <v>1.514</v>
      </c>
      <c r="G2716" s="10">
        <v>1.665</v>
      </c>
      <c r="H2716" s="10"/>
      <c r="I2716" s="9" t="s">
        <v>74</v>
      </c>
      <c r="J2716" s="9" t="s">
        <v>19268</v>
      </c>
      <c r="K2716" s="9" t="s">
        <v>19269</v>
      </c>
      <c r="L2716" s="8" t="s">
        <v>19270</v>
      </c>
      <c r="M2716" s="9" t="s">
        <v>36</v>
      </c>
      <c r="N2716" s="9" t="s">
        <v>19271</v>
      </c>
      <c r="O2716" s="9">
        <f>HYPERLINK("https://www.google.com/maps/search/?api=1&amp;query=41.50709505,-5.74784863", "https://www.google.com/maps/search/?api=1&amp;query=41.50709505,-5.74784863")</f>
      </c>
      <c r="P2716" s="9" t="s">
        <v>1250</v>
      </c>
      <c r="Q2716" s="9" t="s">
        <v>14408</v>
      </c>
    </row>
    <row r="2717" spans="1:17" x14ac:dyDescent="0.25">
      <c r="A2717" s="8" t="s">
        <v>19272</v>
      </c>
      <c r="B2717" s="8" t="s">
        <v>19273</v>
      </c>
      <c r="C2717" s="9" t="s">
        <v>19274</v>
      </c>
      <c r="D2717" s="9" t="s">
        <v>30</v>
      </c>
      <c r="E2717" s="9" t="s">
        <v>19275</v>
      </c>
      <c r="F2717" s="10">
        <v>1.514</v>
      </c>
      <c r="G2717" s="10">
        <v>1.665</v>
      </c>
      <c r="H2717" s="10"/>
      <c r="I2717" s="9" t="s">
        <v>32</v>
      </c>
      <c r="J2717" s="9" t="s">
        <v>19276</v>
      </c>
      <c r="K2717" s="9" t="s">
        <v>19277</v>
      </c>
      <c r="L2717" s="8" t="s">
        <v>19278</v>
      </c>
      <c r="M2717" s="9" t="s">
        <v>36</v>
      </c>
      <c r="N2717" s="9" t="s">
        <v>7163</v>
      </c>
      <c r="O2717" s="9">
        <f>HYPERLINK("https://www.google.com/maps/search/?api=1&amp;query=38.11604857,-6.5290244", "https://www.google.com/maps/search/?api=1&amp;query=38.11604857,-6.5290244")</f>
      </c>
      <c r="P2717" s="9" t="s">
        <v>1100</v>
      </c>
      <c r="Q2717" s="9" t="s">
        <v>1131</v>
      </c>
    </row>
    <row r="2718" spans="1:17" x14ac:dyDescent="0.25">
      <c r="A2718" s="8" t="s">
        <v>19279</v>
      </c>
      <c r="B2718" s="8" t="s">
        <v>19280</v>
      </c>
      <c r="C2718" s="9" t="s">
        <v>19281</v>
      </c>
      <c r="D2718" s="9" t="s">
        <v>197</v>
      </c>
      <c r="E2718" s="9" t="s">
        <v>9928</v>
      </c>
      <c r="F2718" s="10">
        <v>1.514</v>
      </c>
      <c r="G2718" s="10">
        <v>1.665</v>
      </c>
      <c r="H2718" s="10"/>
      <c r="I2718" s="9" t="s">
        <v>168</v>
      </c>
      <c r="J2718" s="9" t="s">
        <v>19282</v>
      </c>
      <c r="K2718" s="9" t="s">
        <v>19283</v>
      </c>
      <c r="L2718" s="8" t="s">
        <v>9931</v>
      </c>
      <c r="M2718" s="9" t="s">
        <v>100</v>
      </c>
      <c r="N2718" s="9" t="s">
        <v>645</v>
      </c>
      <c r="O2718" s="9">
        <f>HYPERLINK("https://www.google.com/maps/search/?api=1&amp;query=39.87028395,-3.47759836", "https://www.google.com/maps/search/?api=1&amp;query=39.87028395,-3.47759836")</f>
      </c>
      <c r="P2718" s="9" t="s">
        <v>38</v>
      </c>
      <c r="Q2718" s="9" t="s">
        <v>7794</v>
      </c>
    </row>
    <row r="2719" spans="1:17" x14ac:dyDescent="0.25">
      <c r="A2719" s="8" t="s">
        <v>19284</v>
      </c>
      <c r="B2719" s="8" t="s">
        <v>19285</v>
      </c>
      <c r="C2719" s="9" t="s">
        <v>19286</v>
      </c>
      <c r="D2719" s="9" t="s">
        <v>280</v>
      </c>
      <c r="E2719" s="9" t="s">
        <v>685</v>
      </c>
      <c r="F2719" s="10">
        <v>1.514</v>
      </c>
      <c r="G2719" s="10">
        <v>1.665</v>
      </c>
      <c r="H2719" s="10"/>
      <c r="I2719" s="9" t="s">
        <v>118</v>
      </c>
      <c r="J2719" s="9" t="s">
        <v>19287</v>
      </c>
      <c r="K2719" s="9" t="s">
        <v>19288</v>
      </c>
      <c r="L2719" s="8" t="s">
        <v>19289</v>
      </c>
      <c r="M2719" s="9" t="s">
        <v>49</v>
      </c>
      <c r="N2719" s="9" t="s">
        <v>12962</v>
      </c>
      <c r="O2719" s="9">
        <f>HYPERLINK("https://www.google.com/maps/search/?api=1&amp;query=43.33663441,-1.7961756", "https://www.google.com/maps/search/?api=1&amp;query=43.33663441,-1.7961756")</f>
      </c>
      <c r="P2719" s="9" t="s">
        <v>521</v>
      </c>
      <c r="Q2719" s="9" t="s">
        <v>14408</v>
      </c>
    </row>
    <row r="2720" spans="1:17" x14ac:dyDescent="0.25">
      <c r="A2720" s="8" t="s">
        <v>19290</v>
      </c>
      <c r="B2720" s="8" t="s">
        <v>19291</v>
      </c>
      <c r="C2720" s="9" t="s">
        <v>19292</v>
      </c>
      <c r="D2720" s="9" t="s">
        <v>61</v>
      </c>
      <c r="E2720" s="9" t="s">
        <v>1323</v>
      </c>
      <c r="F2720" s="10">
        <v>1.514</v>
      </c>
      <c r="G2720" s="10">
        <v>1.665</v>
      </c>
      <c r="H2720" s="10"/>
      <c r="I2720" s="9" t="s">
        <v>45</v>
      </c>
      <c r="J2720" s="9" t="s">
        <v>19293</v>
      </c>
      <c r="K2720" s="9" t="s">
        <v>19294</v>
      </c>
      <c r="L2720" s="8" t="s">
        <v>1326</v>
      </c>
      <c r="M2720" s="9" t="s">
        <v>49</v>
      </c>
      <c r="N2720" s="9" t="s">
        <v>37</v>
      </c>
      <c r="O2720" s="9">
        <f>HYPERLINK("https://www.google.com/maps/search/?api=1&amp;query=37.4216667,-6.0366666", "https://www.google.com/maps/search/?api=1&amp;query=37.4216667,-6.0366666")</f>
      </c>
      <c r="P2720" s="9" t="s">
        <v>1203</v>
      </c>
      <c r="Q2720" s="9" t="s">
        <v>4729</v>
      </c>
    </row>
    <row r="2721" spans="1:17" x14ac:dyDescent="0.25">
      <c r="A2721" s="8" t="s">
        <v>19295</v>
      </c>
      <c r="B2721" s="8" t="s">
        <v>19296</v>
      </c>
      <c r="C2721" s="9" t="s">
        <v>19297</v>
      </c>
      <c r="D2721" s="9" t="s">
        <v>83</v>
      </c>
      <c r="E2721" s="9" t="s">
        <v>19298</v>
      </c>
      <c r="F2721" s="10">
        <v>1.514</v>
      </c>
      <c r="G2721" s="10">
        <v>1.665</v>
      </c>
      <c r="H2721" s="10"/>
      <c r="I2721" s="9" t="s">
        <v>83</v>
      </c>
      <c r="J2721" s="9" t="s">
        <v>19299</v>
      </c>
      <c r="K2721" s="9" t="s">
        <v>19300</v>
      </c>
      <c r="L2721" s="8" t="s">
        <v>19301</v>
      </c>
      <c r="M2721" s="9" t="s">
        <v>36</v>
      </c>
      <c r="N2721" s="9" t="s">
        <v>211</v>
      </c>
      <c r="O2721" s="9">
        <f>HYPERLINK("https://www.google.com/maps/search/?api=1&amp;query=40.10074497,-3.49038539", "https://www.google.com/maps/search/?api=1&amp;query=40.10074497,-3.49038539")</f>
      </c>
      <c r="P2721" s="9" t="s">
        <v>771</v>
      </c>
      <c r="Q2721" s="9" t="s">
        <v>19302</v>
      </c>
    </row>
    <row r="2722" spans="1:17" x14ac:dyDescent="0.25">
      <c r="A2722" s="8" t="s">
        <v>19303</v>
      </c>
      <c r="B2722" s="8" t="s">
        <v>19304</v>
      </c>
      <c r="C2722" s="9" t="s">
        <v>19305</v>
      </c>
      <c r="D2722" s="9" t="s">
        <v>138</v>
      </c>
      <c r="E2722" s="9" t="s">
        <v>2163</v>
      </c>
      <c r="F2722" s="10">
        <v>1.514</v>
      </c>
      <c r="G2722" s="10">
        <v>1.665</v>
      </c>
      <c r="H2722" s="10"/>
      <c r="I2722" s="9" t="s">
        <v>140</v>
      </c>
      <c r="J2722" s="9" t="s">
        <v>19306</v>
      </c>
      <c r="K2722" s="9" t="s">
        <v>19307</v>
      </c>
      <c r="L2722" s="8" t="s">
        <v>19308</v>
      </c>
      <c r="M2722" s="9" t="s">
        <v>49</v>
      </c>
      <c r="N2722" s="9" t="s">
        <v>211</v>
      </c>
      <c r="O2722" s="9">
        <f>HYPERLINK("https://www.google.com/maps/search/?api=1&amp;query=42.21575503,-8.74791173", "https://www.google.com/maps/search/?api=1&amp;query=42.21575503,-8.74791173")</f>
      </c>
      <c r="P2722" s="9" t="s">
        <v>880</v>
      </c>
      <c r="Q2722" s="9" t="s">
        <v>19309</v>
      </c>
    </row>
    <row r="2723" spans="1:17" x14ac:dyDescent="0.25">
      <c r="A2723" s="8" t="s">
        <v>19310</v>
      </c>
      <c r="B2723" s="8" t="s">
        <v>19311</v>
      </c>
      <c r="C2723" s="9" t="s">
        <v>19312</v>
      </c>
      <c r="D2723" s="9" t="s">
        <v>94</v>
      </c>
      <c r="E2723" s="9" t="s">
        <v>16724</v>
      </c>
      <c r="F2723" s="10">
        <v>1.514</v>
      </c>
      <c r="G2723" s="10">
        <v>1.665</v>
      </c>
      <c r="H2723" s="10"/>
      <c r="I2723" s="9" t="s">
        <v>96</v>
      </c>
      <c r="J2723" s="9" t="s">
        <v>19313</v>
      </c>
      <c r="K2723" s="9" t="s">
        <v>19314</v>
      </c>
      <c r="L2723" s="8" t="s">
        <v>16727</v>
      </c>
      <c r="M2723" s="9" t="s">
        <v>49</v>
      </c>
      <c r="N2723" s="9" t="s">
        <v>12110</v>
      </c>
      <c r="O2723" s="9">
        <f>HYPERLINK("https://www.google.com/maps/search/?api=1&amp;query=41.67629532,2.27932213", "https://www.google.com/maps/search/?api=1&amp;query=41.67629532,2.27932213")</f>
      </c>
      <c r="P2723" s="9" t="s">
        <v>172</v>
      </c>
      <c r="Q2723" s="9" t="s">
        <v>19315</v>
      </c>
    </row>
    <row r="2724" spans="1:17" x14ac:dyDescent="0.25">
      <c r="A2724" s="8" t="s">
        <v>19316</v>
      </c>
      <c r="B2724" s="8" t="s">
        <v>19317</v>
      </c>
      <c r="C2724" s="9" t="s">
        <v>19318</v>
      </c>
      <c r="D2724" s="9" t="s">
        <v>116</v>
      </c>
      <c r="E2724" s="9" t="s">
        <v>8854</v>
      </c>
      <c r="F2724" s="10">
        <v>1.514</v>
      </c>
      <c r="G2724" s="10">
        <v>1.665</v>
      </c>
      <c r="H2724" s="10"/>
      <c r="I2724" s="9" t="s">
        <v>118</v>
      </c>
      <c r="J2724" s="9" t="s">
        <v>8855</v>
      </c>
      <c r="K2724" s="9" t="s">
        <v>19319</v>
      </c>
      <c r="L2724" s="8" t="s">
        <v>247</v>
      </c>
      <c r="M2724" s="9" t="s">
        <v>100</v>
      </c>
      <c r="N2724" s="9" t="s">
        <v>19320</v>
      </c>
      <c r="O2724" s="9">
        <f>HYPERLINK("https://www.google.com/maps/search/?api=1&amp;query=43.22944573,-2.72937306", "https://www.google.com/maps/search/?api=1&amp;query=43.22944573,-2.72937306")</f>
      </c>
      <c r="P2724" s="9" t="s">
        <v>172</v>
      </c>
      <c r="Q2724" s="9" t="s">
        <v>1131</v>
      </c>
    </row>
    <row r="2725" spans="1:17" x14ac:dyDescent="0.25">
      <c r="A2725" s="8" t="s">
        <v>19321</v>
      </c>
      <c r="B2725" s="8" t="s">
        <v>19322</v>
      </c>
      <c r="C2725" s="9" t="s">
        <v>15865</v>
      </c>
      <c r="D2725" s="9" t="s">
        <v>155</v>
      </c>
      <c r="E2725" s="9" t="s">
        <v>19323</v>
      </c>
      <c r="F2725" s="10">
        <v>1.514</v>
      </c>
      <c r="G2725" s="10">
        <v>1.665</v>
      </c>
      <c r="H2725" s="10"/>
      <c r="I2725" s="9" t="s">
        <v>157</v>
      </c>
      <c r="J2725" s="9" t="s">
        <v>19324</v>
      </c>
      <c r="K2725" s="9" t="s">
        <v>19325</v>
      </c>
      <c r="L2725" s="8" t="s">
        <v>19326</v>
      </c>
      <c r="M2725" s="9" t="s">
        <v>100</v>
      </c>
      <c r="N2725" s="9" t="s">
        <v>88</v>
      </c>
      <c r="O2725" s="9">
        <f>HYPERLINK("https://www.google.com/maps/search/?api=1&amp;query=39.64795051,2.75687089", "https://www.google.com/maps/search/?api=1&amp;query=39.64795051,2.75687089")</f>
      </c>
      <c r="P2725" s="9" t="s">
        <v>14116</v>
      </c>
      <c r="Q2725" s="9" t="s">
        <v>1131</v>
      </c>
    </row>
    <row r="2726" spans="1:17" x14ac:dyDescent="0.25">
      <c r="A2726" s="8" t="s">
        <v>19327</v>
      </c>
      <c r="B2726" s="8" t="s">
        <v>19328</v>
      </c>
      <c r="C2726" s="9" t="s">
        <v>19329</v>
      </c>
      <c r="D2726" s="9" t="s">
        <v>106</v>
      </c>
      <c r="E2726" s="9" t="s">
        <v>19330</v>
      </c>
      <c r="F2726" s="10">
        <v>1.514</v>
      </c>
      <c r="G2726" s="10">
        <v>1.665</v>
      </c>
      <c r="H2726" s="10"/>
      <c r="I2726" s="9" t="s">
        <v>106</v>
      </c>
      <c r="J2726" s="9" t="s">
        <v>19331</v>
      </c>
      <c r="K2726" s="9" t="s">
        <v>19332</v>
      </c>
      <c r="L2726" s="8" t="s">
        <v>19333</v>
      </c>
      <c r="M2726" s="9" t="s">
        <v>36</v>
      </c>
      <c r="N2726" s="9" t="s">
        <v>88</v>
      </c>
      <c r="O2726" s="9">
        <f>HYPERLINK("https://www.google.com/maps/search/?api=1&amp;query=37.98302124,-1.07674342", "https://www.google.com/maps/search/?api=1&amp;query=37.98302124,-1.07674342")</f>
      </c>
      <c r="P2726" s="9" t="s">
        <v>626</v>
      </c>
      <c r="Q2726" s="9" t="s">
        <v>19334</v>
      </c>
    </row>
    <row r="2727" spans="1:17" x14ac:dyDescent="0.25">
      <c r="A2727" s="8" t="s">
        <v>19335</v>
      </c>
      <c r="B2727" s="8" t="s">
        <v>19336</v>
      </c>
      <c r="C2727" s="9" t="s">
        <v>19337</v>
      </c>
      <c r="D2727" s="9" t="s">
        <v>1282</v>
      </c>
      <c r="E2727" s="9" t="s">
        <v>1283</v>
      </c>
      <c r="F2727" s="10">
        <v>1.514</v>
      </c>
      <c r="G2727" s="10">
        <v>1.665</v>
      </c>
      <c r="H2727" s="10"/>
      <c r="I2727" s="9" t="s">
        <v>45</v>
      </c>
      <c r="J2727" s="9" t="s">
        <v>19338</v>
      </c>
      <c r="K2727" s="9" t="s">
        <v>19339</v>
      </c>
      <c r="L2727" s="8" t="s">
        <v>1286</v>
      </c>
      <c r="M2727" s="9" t="s">
        <v>49</v>
      </c>
      <c r="N2727" s="9" t="s">
        <v>9197</v>
      </c>
      <c r="O2727" s="9">
        <f>HYPERLINK("https://www.google.com/maps/search/?api=1&amp;query=37.22634667,-3.66874997", "https://www.google.com/maps/search/?api=1&amp;query=37.22634667,-3.66874997")</f>
      </c>
      <c r="P2727" s="9" t="s">
        <v>1423</v>
      </c>
      <c r="Q2727" s="9" t="s">
        <v>16767</v>
      </c>
    </row>
    <row r="2728" spans="1:17" x14ac:dyDescent="0.25">
      <c r="A2728" s="8" t="s">
        <v>19340</v>
      </c>
      <c r="B2728" s="8" t="s">
        <v>19341</v>
      </c>
      <c r="C2728" s="9" t="s">
        <v>19342</v>
      </c>
      <c r="D2728" s="9" t="s">
        <v>94</v>
      </c>
      <c r="E2728" s="9" t="s">
        <v>11427</v>
      </c>
      <c r="F2728" s="10">
        <v>1.514</v>
      </c>
      <c r="G2728" s="10">
        <v>1.665</v>
      </c>
      <c r="H2728" s="10"/>
      <c r="I2728" s="9" t="s">
        <v>96</v>
      </c>
      <c r="J2728" s="9" t="s">
        <v>19343</v>
      </c>
      <c r="K2728" s="9" t="s">
        <v>19344</v>
      </c>
      <c r="L2728" s="8" t="s">
        <v>11430</v>
      </c>
      <c r="M2728" s="9" t="s">
        <v>36</v>
      </c>
      <c r="N2728" s="9" t="s">
        <v>592</v>
      </c>
      <c r="O2728" s="9">
        <f>HYPERLINK("https://www.google.com/maps/search/?api=1&amp;query=42.1076573,1.85336733", "https://www.google.com/maps/search/?api=1&amp;query=42.1076573,1.85336733")</f>
      </c>
      <c r="P2728" s="9" t="s">
        <v>3474</v>
      </c>
      <c r="Q2728" s="9" t="s">
        <v>1131</v>
      </c>
    </row>
    <row r="2729" spans="1:17" x14ac:dyDescent="0.25">
      <c r="A2729" s="8" t="s">
        <v>19345</v>
      </c>
      <c r="B2729" s="8" t="s">
        <v>19346</v>
      </c>
      <c r="C2729" s="9" t="s">
        <v>19347</v>
      </c>
      <c r="D2729" s="9" t="s">
        <v>344</v>
      </c>
      <c r="E2729" s="9" t="s">
        <v>12685</v>
      </c>
      <c r="F2729" s="10">
        <v>1.514</v>
      </c>
      <c r="G2729" s="10">
        <v>1.665</v>
      </c>
      <c r="H2729" s="10"/>
      <c r="I2729" s="9" t="s">
        <v>140</v>
      </c>
      <c r="J2729" s="9" t="s">
        <v>19348</v>
      </c>
      <c r="K2729" s="9" t="s">
        <v>19349</v>
      </c>
      <c r="L2729" s="8" t="s">
        <v>19350</v>
      </c>
      <c r="M2729" s="9" t="s">
        <v>49</v>
      </c>
      <c r="N2729" s="9" t="s">
        <v>15062</v>
      </c>
      <c r="O2729" s="9">
        <f>HYPERLINK("https://www.google.com/maps/search/?api=1&amp;query=42.860889,-8.201306", "https://www.google.com/maps/search/?api=1&amp;query=42.860889,-8.201306")</f>
      </c>
      <c r="P2729" s="9" t="s">
        <v>1927</v>
      </c>
      <c r="Q2729" s="9" t="s">
        <v>15104</v>
      </c>
    </row>
    <row r="2730" spans="1:17" x14ac:dyDescent="0.25">
      <c r="A2730" s="8" t="s">
        <v>19351</v>
      </c>
      <c r="B2730" s="8" t="s">
        <v>19352</v>
      </c>
      <c r="C2730" s="9" t="s">
        <v>19353</v>
      </c>
      <c r="D2730" s="9" t="s">
        <v>919</v>
      </c>
      <c r="E2730" s="9" t="s">
        <v>19354</v>
      </c>
      <c r="F2730" s="10">
        <v>1.514</v>
      </c>
      <c r="G2730" s="10">
        <v>1.665</v>
      </c>
      <c r="H2730" s="10"/>
      <c r="I2730" s="9" t="s">
        <v>118</v>
      </c>
      <c r="J2730" s="9" t="s">
        <v>19355</v>
      </c>
      <c r="K2730" s="9" t="s">
        <v>19356</v>
      </c>
      <c r="L2730" s="8" t="s">
        <v>19357</v>
      </c>
      <c r="M2730" s="9" t="s">
        <v>36</v>
      </c>
      <c r="N2730" s="9" t="s">
        <v>10659</v>
      </c>
      <c r="O2730" s="9">
        <f>HYPERLINK("https://www.google.com/maps/search/?api=1&amp;query=42.5474906,-2.57957809", "https://www.google.com/maps/search/?api=1&amp;query=42.5474906,-2.57957809")</f>
      </c>
      <c r="P2730" s="9" t="s">
        <v>583</v>
      </c>
      <c r="Q2730" s="9" t="s">
        <v>19358</v>
      </c>
    </row>
    <row r="2731" spans="1:17" x14ac:dyDescent="0.25">
      <c r="A2731" s="8" t="s">
        <v>19359</v>
      </c>
      <c r="B2731" s="8" t="s">
        <v>19360</v>
      </c>
      <c r="C2731" s="9" t="s">
        <v>19361</v>
      </c>
      <c r="D2731" s="9" t="s">
        <v>344</v>
      </c>
      <c r="E2731" s="9" t="s">
        <v>19362</v>
      </c>
      <c r="F2731" s="10">
        <v>1.514</v>
      </c>
      <c r="G2731" s="10">
        <v>1.665</v>
      </c>
      <c r="H2731" s="10"/>
      <c r="I2731" s="9" t="s">
        <v>140</v>
      </c>
      <c r="J2731" s="9" t="s">
        <v>19363</v>
      </c>
      <c r="K2731" s="9" t="s">
        <v>19364</v>
      </c>
      <c r="L2731" s="8" t="s">
        <v>19365</v>
      </c>
      <c r="M2731" s="9" t="s">
        <v>49</v>
      </c>
      <c r="N2731" s="9" t="s">
        <v>3164</v>
      </c>
      <c r="O2731" s="9">
        <f>HYPERLINK("https://www.google.com/maps/search/?api=1&amp;query=42.78438859,-9.07292467", "https://www.google.com/maps/search/?api=1&amp;query=42.78438859,-9.07292467")</f>
      </c>
      <c r="P2731" s="9" t="s">
        <v>1471</v>
      </c>
      <c r="Q2731" s="9" t="s">
        <v>19366</v>
      </c>
    </row>
    <row r="2732" spans="1:17" x14ac:dyDescent="0.25">
      <c r="A2732" s="8" t="s">
        <v>19367</v>
      </c>
      <c r="B2732" s="8" t="s">
        <v>19368</v>
      </c>
      <c r="C2732" s="9" t="s">
        <v>19369</v>
      </c>
      <c r="D2732" s="9" t="s">
        <v>94</v>
      </c>
      <c r="E2732" s="9" t="s">
        <v>5122</v>
      </c>
      <c r="F2732" s="10">
        <v>1.514</v>
      </c>
      <c r="G2732" s="10">
        <v>1.665</v>
      </c>
      <c r="H2732" s="10"/>
      <c r="I2732" s="9" t="s">
        <v>96</v>
      </c>
      <c r="J2732" s="9" t="s">
        <v>19370</v>
      </c>
      <c r="K2732" s="9" t="s">
        <v>19371</v>
      </c>
      <c r="L2732" s="8" t="s">
        <v>19372</v>
      </c>
      <c r="M2732" s="9" t="s">
        <v>49</v>
      </c>
      <c r="N2732" s="9" t="s">
        <v>37</v>
      </c>
      <c r="O2732" s="9">
        <f>HYPERLINK("https://www.google.com/maps/search/?api=1&amp;query=41.54089141,1.99022624", "https://www.google.com/maps/search/?api=1&amp;query=41.54089141,1.99022624")</f>
      </c>
      <c r="P2732" s="9" t="s">
        <v>1645</v>
      </c>
      <c r="Q2732" s="9" t="s">
        <v>19373</v>
      </c>
    </row>
    <row r="2733" spans="1:17" x14ac:dyDescent="0.25">
      <c r="A2733" s="8" t="s">
        <v>19374</v>
      </c>
      <c r="B2733" s="8" t="s">
        <v>19375</v>
      </c>
      <c r="C2733" s="9" t="s">
        <v>19376</v>
      </c>
      <c r="D2733" s="9" t="s">
        <v>469</v>
      </c>
      <c r="E2733" s="9" t="s">
        <v>1899</v>
      </c>
      <c r="F2733" s="10">
        <v>1.514</v>
      </c>
      <c r="G2733" s="10">
        <v>1.665</v>
      </c>
      <c r="H2733" s="10"/>
      <c r="I2733" s="9" t="s">
        <v>74</v>
      </c>
      <c r="J2733" s="9" t="s">
        <v>19377</v>
      </c>
      <c r="K2733" s="9" t="s">
        <v>19378</v>
      </c>
      <c r="L2733" s="8" t="s">
        <v>1902</v>
      </c>
      <c r="M2733" s="9" t="s">
        <v>36</v>
      </c>
      <c r="N2733" s="9" t="s">
        <v>3164</v>
      </c>
      <c r="O2733" s="9">
        <f>HYPERLINK("https://www.google.com/maps/search/?api=1&amp;query=41.00479881,-5.64937227", "https://www.google.com/maps/search/?api=1&amp;query=41.00479881,-5.64937227")</f>
      </c>
      <c r="P2733" s="9" t="s">
        <v>2442</v>
      </c>
      <c r="Q2733" s="9" t="s">
        <v>19379</v>
      </c>
    </row>
    <row r="2734" spans="1:17" x14ac:dyDescent="0.25">
      <c r="A2734" s="8" t="s">
        <v>19380</v>
      </c>
      <c r="B2734" s="8" t="s">
        <v>19381</v>
      </c>
      <c r="C2734" s="9" t="s">
        <v>19382</v>
      </c>
      <c r="D2734" s="9" t="s">
        <v>30</v>
      </c>
      <c r="E2734" s="9" t="s">
        <v>19383</v>
      </c>
      <c r="F2734" s="10">
        <v>1.514</v>
      </c>
      <c r="G2734" s="10">
        <v>1.665</v>
      </c>
      <c r="H2734" s="10"/>
      <c r="I2734" s="9" t="s">
        <v>32</v>
      </c>
      <c r="J2734" s="9" t="s">
        <v>19384</v>
      </c>
      <c r="K2734" s="9" t="s">
        <v>19385</v>
      </c>
      <c r="L2734" s="8" t="s">
        <v>19386</v>
      </c>
      <c r="M2734" s="9" t="s">
        <v>36</v>
      </c>
      <c r="N2734" s="9" t="s">
        <v>122</v>
      </c>
      <c r="O2734" s="9">
        <f>HYPERLINK("https://www.google.com/maps/search/?api=1&amp;query=38.26156244,-5.68494728", "https://www.google.com/maps/search/?api=1&amp;query=38.26156244,-5.68494728")</f>
      </c>
      <c r="P2734" s="9" t="s">
        <v>321</v>
      </c>
      <c r="Q2734" s="9" t="s">
        <v>4260</v>
      </c>
    </row>
    <row r="2735" spans="1:17" x14ac:dyDescent="0.25">
      <c r="A2735" s="8" t="s">
        <v>19387</v>
      </c>
      <c r="B2735" s="8" t="s">
        <v>19388</v>
      </c>
      <c r="C2735" s="9" t="s">
        <v>19389</v>
      </c>
      <c r="D2735" s="9" t="s">
        <v>61</v>
      </c>
      <c r="E2735" s="9" t="s">
        <v>4653</v>
      </c>
      <c r="F2735" s="10">
        <v>1.514</v>
      </c>
      <c r="G2735" s="10">
        <v>1.665</v>
      </c>
      <c r="H2735" s="10"/>
      <c r="I2735" s="9" t="s">
        <v>45</v>
      </c>
      <c r="J2735" s="9" t="s">
        <v>19390</v>
      </c>
      <c r="K2735" s="9" t="s">
        <v>19391</v>
      </c>
      <c r="L2735" s="8" t="s">
        <v>4656</v>
      </c>
      <c r="M2735" s="9" t="s">
        <v>49</v>
      </c>
      <c r="N2735" s="9" t="s">
        <v>37</v>
      </c>
      <c r="O2735" s="9">
        <f>HYPERLINK("https://www.google.com/maps/search/?api=1&amp;query=37.35480363,-6.02563442", "https://www.google.com/maps/search/?api=1&amp;query=37.35480363,-6.02563442")</f>
      </c>
      <c r="P2735" s="9" t="s">
        <v>258</v>
      </c>
      <c r="Q2735" s="9" t="s">
        <v>19392</v>
      </c>
    </row>
    <row r="2736" spans="1:17" x14ac:dyDescent="0.25">
      <c r="A2736" s="8" t="s">
        <v>19393</v>
      </c>
      <c r="B2736" s="8" t="s">
        <v>19394</v>
      </c>
      <c r="C2736" s="9" t="s">
        <v>19395</v>
      </c>
      <c r="D2736" s="9" t="s">
        <v>488</v>
      </c>
      <c r="E2736" s="9" t="s">
        <v>19396</v>
      </c>
      <c r="F2736" s="10">
        <v>1.514</v>
      </c>
      <c r="G2736" s="10">
        <v>1.665</v>
      </c>
      <c r="H2736" s="10"/>
      <c r="I2736" s="9" t="s">
        <v>45</v>
      </c>
      <c r="J2736" s="9" t="s">
        <v>19397</v>
      </c>
      <c r="K2736" s="9" t="s">
        <v>19398</v>
      </c>
      <c r="L2736" s="8" t="s">
        <v>19399</v>
      </c>
      <c r="M2736" s="9" t="s">
        <v>36</v>
      </c>
      <c r="N2736" s="9" t="s">
        <v>88</v>
      </c>
      <c r="O2736" s="9">
        <f>HYPERLINK("https://www.google.com/maps/search/?api=1&amp;query=38.31674834,-2.90208401", "https://www.google.com/maps/search/?api=1&amp;query=38.31674834,-2.90208401")</f>
      </c>
      <c r="P2736" s="9" t="s">
        <v>6210</v>
      </c>
      <c r="Q2736" s="9" t="s">
        <v>19400</v>
      </c>
    </row>
    <row r="2737" spans="1:17" x14ac:dyDescent="0.25">
      <c r="A2737" s="8" t="s">
        <v>19401</v>
      </c>
      <c r="B2737" s="8" t="s">
        <v>19402</v>
      </c>
      <c r="C2737" s="9" t="s">
        <v>19403</v>
      </c>
      <c r="D2737" s="9" t="s">
        <v>398</v>
      </c>
      <c r="E2737" s="9" t="s">
        <v>19404</v>
      </c>
      <c r="F2737" s="10">
        <v>1.514</v>
      </c>
      <c r="G2737" s="10">
        <v>1.665</v>
      </c>
      <c r="H2737" s="10"/>
      <c r="I2737" s="9" t="s">
        <v>400</v>
      </c>
      <c r="J2737" s="9" t="s">
        <v>19405</v>
      </c>
      <c r="K2737" s="9" t="s">
        <v>19406</v>
      </c>
      <c r="L2737" s="8" t="s">
        <v>19407</v>
      </c>
      <c r="M2737" s="9" t="s">
        <v>49</v>
      </c>
      <c r="N2737" s="9" t="s">
        <v>88</v>
      </c>
      <c r="O2737" s="9">
        <f>HYPERLINK("https://www.google.com/maps/search/?api=1&amp;query=38.78214445,-0.42471704", "https://www.google.com/maps/search/?api=1&amp;query=38.78214445,-0.42471704")</f>
      </c>
      <c r="P2737" s="9" t="s">
        <v>19408</v>
      </c>
      <c r="Q2737" s="9" t="s">
        <v>10715</v>
      </c>
    </row>
    <row r="2738" spans="1:17" x14ac:dyDescent="0.25">
      <c r="A2738" s="8" t="s">
        <v>19409</v>
      </c>
      <c r="B2738" s="8" t="s">
        <v>19410</v>
      </c>
      <c r="C2738" s="9" t="s">
        <v>19411</v>
      </c>
      <c r="D2738" s="9" t="s">
        <v>30</v>
      </c>
      <c r="E2738" s="9" t="s">
        <v>19412</v>
      </c>
      <c r="F2738" s="10">
        <v>1.514</v>
      </c>
      <c r="G2738" s="10">
        <v>1.665</v>
      </c>
      <c r="H2738" s="10"/>
      <c r="I2738" s="9" t="s">
        <v>32</v>
      </c>
      <c r="J2738" s="9" t="s">
        <v>19413</v>
      </c>
      <c r="K2738" s="9" t="s">
        <v>19414</v>
      </c>
      <c r="L2738" s="8" t="s">
        <v>19415</v>
      </c>
      <c r="M2738" s="9" t="s">
        <v>36</v>
      </c>
      <c r="N2738" s="9" t="s">
        <v>66</v>
      </c>
      <c r="O2738" s="9">
        <f>HYPERLINK("https://www.google.com/maps/search/?api=1&amp;query=38.91997885,-6.48278407", "https://www.google.com/maps/search/?api=1&amp;query=38.91997885,-6.48278407")</f>
      </c>
      <c r="P2738" s="9" t="s">
        <v>9840</v>
      </c>
      <c r="Q2738" s="9" t="s">
        <v>1170</v>
      </c>
    </row>
    <row r="2739" spans="1:17" x14ac:dyDescent="0.25">
      <c r="A2739" s="8" t="s">
        <v>19416</v>
      </c>
      <c r="B2739" s="8" t="s">
        <v>19417</v>
      </c>
      <c r="C2739" s="9" t="s">
        <v>19418</v>
      </c>
      <c r="D2739" s="9" t="s">
        <v>398</v>
      </c>
      <c r="E2739" s="9" t="s">
        <v>18772</v>
      </c>
      <c r="F2739" s="10">
        <v>1.514</v>
      </c>
      <c r="G2739" s="10">
        <v>1.665</v>
      </c>
      <c r="H2739" s="10"/>
      <c r="I2739" s="9" t="s">
        <v>400</v>
      </c>
      <c r="J2739" s="9" t="s">
        <v>19419</v>
      </c>
      <c r="K2739" s="9" t="s">
        <v>19420</v>
      </c>
      <c r="L2739" s="8" t="s">
        <v>18775</v>
      </c>
      <c r="M2739" s="9" t="s">
        <v>49</v>
      </c>
      <c r="N2739" s="9" t="s">
        <v>88</v>
      </c>
      <c r="O2739" s="9">
        <f>HYPERLINK("https://www.google.com/maps/search/?api=1&amp;query=38.08256274,-0.95413854", "https://www.google.com/maps/search/?api=1&amp;query=38.08256274,-0.95413854")</f>
      </c>
      <c r="P2739" s="9" t="s">
        <v>8827</v>
      </c>
      <c r="Q2739" s="9" t="s">
        <v>6634</v>
      </c>
    </row>
    <row r="2740" spans="1:17" x14ac:dyDescent="0.25">
      <c r="A2740" s="8" t="s">
        <v>17142</v>
      </c>
      <c r="B2740" s="8" t="s">
        <v>19421</v>
      </c>
      <c r="C2740" s="9" t="s">
        <v>19422</v>
      </c>
      <c r="D2740" s="9" t="s">
        <v>1192</v>
      </c>
      <c r="E2740" s="9" t="s">
        <v>19423</v>
      </c>
      <c r="F2740" s="10">
        <v>1.514</v>
      </c>
      <c r="G2740" s="10">
        <v>1.665</v>
      </c>
      <c r="H2740" s="10"/>
      <c r="I2740" s="9" t="s">
        <v>168</v>
      </c>
      <c r="J2740" s="9" t="s">
        <v>19424</v>
      </c>
      <c r="K2740" s="9" t="s">
        <v>19425</v>
      </c>
      <c r="L2740" s="8" t="s">
        <v>19426</v>
      </c>
      <c r="M2740" s="9" t="s">
        <v>49</v>
      </c>
      <c r="N2740" s="9" t="s">
        <v>8843</v>
      </c>
      <c r="O2740" s="9">
        <f>HYPERLINK("https://www.google.com/maps/search/?api=1&amp;query=38.94628617,-4.60847985", "https://www.google.com/maps/search/?api=1&amp;query=38.94628617,-4.60847985")</f>
      </c>
      <c r="P2740" s="9" t="s">
        <v>6210</v>
      </c>
      <c r="Q2740" s="9" t="s">
        <v>19427</v>
      </c>
    </row>
    <row r="2741" spans="1:17" x14ac:dyDescent="0.25">
      <c r="A2741" s="8" t="s">
        <v>19428</v>
      </c>
      <c r="B2741" s="8" t="s">
        <v>19429</v>
      </c>
      <c r="C2741" s="9" t="s">
        <v>19430</v>
      </c>
      <c r="D2741" s="9" t="s">
        <v>155</v>
      </c>
      <c r="E2741" s="9" t="s">
        <v>19323</v>
      </c>
      <c r="F2741" s="10">
        <v>1.514</v>
      </c>
      <c r="G2741" s="10">
        <v>1.665</v>
      </c>
      <c r="H2741" s="10"/>
      <c r="I2741" s="9" t="s">
        <v>157</v>
      </c>
      <c r="J2741" s="9" t="s">
        <v>19431</v>
      </c>
      <c r="K2741" s="9" t="s">
        <v>19432</v>
      </c>
      <c r="L2741" s="8" t="s">
        <v>19326</v>
      </c>
      <c r="M2741" s="9" t="s">
        <v>36</v>
      </c>
      <c r="N2741" s="9" t="s">
        <v>37</v>
      </c>
      <c r="O2741" s="9">
        <f>HYPERLINK("https://www.google.com/maps/search/?api=1&amp;query=39.61579646,2.71777811", "https://www.google.com/maps/search/?api=1&amp;query=39.61579646,2.71777811")</f>
      </c>
      <c r="P2741" s="9" t="s">
        <v>1250</v>
      </c>
      <c r="Q2741" s="9" t="s">
        <v>8878</v>
      </c>
    </row>
    <row r="2742" spans="1:17" x14ac:dyDescent="0.25">
      <c r="A2742" s="8" t="s">
        <v>19433</v>
      </c>
      <c r="B2742" s="8" t="s">
        <v>19434</v>
      </c>
      <c r="C2742" s="9" t="s">
        <v>19435</v>
      </c>
      <c r="D2742" s="9" t="s">
        <v>94</v>
      </c>
      <c r="E2742" s="9" t="s">
        <v>7051</v>
      </c>
      <c r="F2742" s="10">
        <v>1.514</v>
      </c>
      <c r="G2742" s="10">
        <v>1.665</v>
      </c>
      <c r="H2742" s="10"/>
      <c r="I2742" s="9" t="s">
        <v>96</v>
      </c>
      <c r="J2742" s="9" t="s">
        <v>19436</v>
      </c>
      <c r="K2742" s="9" t="s">
        <v>19437</v>
      </c>
      <c r="L2742" s="8" t="s">
        <v>7054</v>
      </c>
      <c r="M2742" s="9" t="s">
        <v>49</v>
      </c>
      <c r="N2742" s="9" t="s">
        <v>88</v>
      </c>
      <c r="O2742" s="9">
        <f>HYPERLINK("https://www.google.com/maps/search/?api=1&amp;query=41.73137148,1.83468781", "https://www.google.com/maps/search/?api=1&amp;query=41.73137148,1.83468781")</f>
      </c>
      <c r="P2742" s="9" t="s">
        <v>172</v>
      </c>
      <c r="Q2742" s="9" t="s">
        <v>1131</v>
      </c>
    </row>
    <row r="2743" spans="1:17" x14ac:dyDescent="0.25">
      <c r="A2743" s="8" t="s">
        <v>19438</v>
      </c>
      <c r="B2743" s="8" t="s">
        <v>19439</v>
      </c>
      <c r="C2743" s="9" t="s">
        <v>19440</v>
      </c>
      <c r="D2743" s="9" t="s">
        <v>658</v>
      </c>
      <c r="E2743" s="9" t="s">
        <v>16548</v>
      </c>
      <c r="F2743" s="10">
        <v>1.514</v>
      </c>
      <c r="G2743" s="10">
        <v>1.665</v>
      </c>
      <c r="H2743" s="10"/>
      <c r="I2743" s="9" t="s">
        <v>45</v>
      </c>
      <c r="J2743" s="9" t="s">
        <v>19441</v>
      </c>
      <c r="K2743" s="9" t="s">
        <v>19442</v>
      </c>
      <c r="L2743" s="8" t="s">
        <v>16551</v>
      </c>
      <c r="M2743" s="9" t="s">
        <v>49</v>
      </c>
      <c r="N2743" s="9" t="s">
        <v>592</v>
      </c>
      <c r="O2743" s="9">
        <f>HYPERLINK("https://www.google.com/maps/search/?api=1&amp;query=37.0844025,-2.3087596", "https://www.google.com/maps/search/?api=1&amp;query=37.0844025,-2.3087596")</f>
      </c>
      <c r="P2743" s="9" t="s">
        <v>1364</v>
      </c>
      <c r="Q2743" s="9" t="s">
        <v>19443</v>
      </c>
    </row>
    <row r="2744" spans="1:17" x14ac:dyDescent="0.25">
      <c r="A2744" s="8" t="s">
        <v>19444</v>
      </c>
      <c r="B2744" s="8" t="s">
        <v>19445</v>
      </c>
      <c r="C2744" s="9" t="s">
        <v>19446</v>
      </c>
      <c r="D2744" s="9" t="s">
        <v>138</v>
      </c>
      <c r="E2744" s="9" t="s">
        <v>19447</v>
      </c>
      <c r="F2744" s="10">
        <v>1.514</v>
      </c>
      <c r="G2744" s="10">
        <v>1.665</v>
      </c>
      <c r="H2744" s="10"/>
      <c r="I2744" s="9" t="s">
        <v>140</v>
      </c>
      <c r="J2744" s="9" t="s">
        <v>19448</v>
      </c>
      <c r="K2744" s="9" t="s">
        <v>19449</v>
      </c>
      <c r="L2744" s="8" t="s">
        <v>19450</v>
      </c>
      <c r="M2744" s="9" t="s">
        <v>100</v>
      </c>
      <c r="N2744" s="9" t="s">
        <v>339</v>
      </c>
      <c r="O2744" s="9">
        <f>HYPERLINK("https://www.google.com/maps/search/?api=1&amp;query=42.47773285,-8.80245432", "https://www.google.com/maps/search/?api=1&amp;query=42.47773285,-8.80245432")</f>
      </c>
      <c r="P2744" s="9" t="s">
        <v>1423</v>
      </c>
      <c r="Q2744" s="9" t="s">
        <v>7458</v>
      </c>
    </row>
    <row r="2745" spans="1:17" x14ac:dyDescent="0.25">
      <c r="A2745" s="8" t="s">
        <v>19451</v>
      </c>
      <c r="B2745" s="8" t="s">
        <v>19452</v>
      </c>
      <c r="C2745" s="9" t="s">
        <v>19453</v>
      </c>
      <c r="D2745" s="9" t="s">
        <v>444</v>
      </c>
      <c r="E2745" s="9" t="s">
        <v>19454</v>
      </c>
      <c r="F2745" s="10">
        <v>1.514</v>
      </c>
      <c r="G2745" s="10">
        <v>1.665</v>
      </c>
      <c r="H2745" s="10"/>
      <c r="I2745" s="9" t="s">
        <v>444</v>
      </c>
      <c r="J2745" s="9" t="s">
        <v>19455</v>
      </c>
      <c r="K2745" s="9" t="s">
        <v>19456</v>
      </c>
      <c r="L2745" s="8" t="s">
        <v>8299</v>
      </c>
      <c r="M2745" s="9" t="s">
        <v>49</v>
      </c>
      <c r="N2745" s="9" t="s">
        <v>5787</v>
      </c>
      <c r="O2745" s="9">
        <f>HYPERLINK("https://www.google.com/maps/search/?api=1&amp;query=43.37665436,-6.15188681", "https://www.google.com/maps/search/?api=1&amp;query=43.37665436,-6.15188681")</f>
      </c>
      <c r="P2745" s="9" t="s">
        <v>38</v>
      </c>
      <c r="Q2745" s="9" t="s">
        <v>18869</v>
      </c>
    </row>
    <row r="2746" spans="1:17" x14ac:dyDescent="0.25">
      <c r="A2746" s="8" t="s">
        <v>19457</v>
      </c>
      <c r="B2746" s="8" t="s">
        <v>19458</v>
      </c>
      <c r="C2746" s="9" t="s">
        <v>19459</v>
      </c>
      <c r="D2746" s="9" t="s">
        <v>83</v>
      </c>
      <c r="E2746" s="9" t="s">
        <v>83</v>
      </c>
      <c r="F2746" s="10">
        <v>1.514</v>
      </c>
      <c r="G2746" s="10">
        <v>1.665</v>
      </c>
      <c r="H2746" s="10"/>
      <c r="I2746" s="9" t="s">
        <v>83</v>
      </c>
      <c r="J2746" s="9" t="s">
        <v>19460</v>
      </c>
      <c r="K2746" s="9" t="s">
        <v>19461</v>
      </c>
      <c r="L2746" s="8" t="s">
        <v>303</v>
      </c>
      <c r="M2746" s="9" t="s">
        <v>49</v>
      </c>
      <c r="N2746" s="9" t="s">
        <v>19462</v>
      </c>
      <c r="O2746" s="9">
        <f>HYPERLINK("https://www.google.com/maps/search/?api=1&amp;query=40.4015013,-3.6359021", "https://www.google.com/maps/search/?api=1&amp;query=40.4015013,-3.6359021")</f>
      </c>
      <c r="P2746" s="9" t="s">
        <v>2594</v>
      </c>
      <c r="Q2746" s="9" t="s">
        <v>7794</v>
      </c>
    </row>
    <row r="2747" spans="1:17" x14ac:dyDescent="0.25">
      <c r="A2747" s="8" t="s">
        <v>19463</v>
      </c>
      <c r="B2747" s="8" t="s">
        <v>19464</v>
      </c>
      <c r="C2747" s="9" t="s">
        <v>19465</v>
      </c>
      <c r="D2747" s="9" t="s">
        <v>379</v>
      </c>
      <c r="E2747" s="9" t="s">
        <v>19466</v>
      </c>
      <c r="F2747" s="10">
        <v>1.514</v>
      </c>
      <c r="G2747" s="10">
        <v>1.665</v>
      </c>
      <c r="H2747" s="10"/>
      <c r="I2747" s="9" t="s">
        <v>379</v>
      </c>
      <c r="J2747" s="9" t="s">
        <v>19467</v>
      </c>
      <c r="K2747" s="9" t="s">
        <v>19468</v>
      </c>
      <c r="L2747" s="8" t="s">
        <v>4405</v>
      </c>
      <c r="M2747" s="9" t="s">
        <v>49</v>
      </c>
      <c r="N2747" s="9" t="s">
        <v>8958</v>
      </c>
      <c r="O2747" s="9">
        <f>HYPERLINK("https://www.google.com/maps/search/?api=1&amp;query=42.82961072,-0.9481497", "https://www.google.com/maps/search/?api=1&amp;query=42.82961072,-0.9481497")</f>
      </c>
      <c r="P2747" s="9" t="s">
        <v>1423</v>
      </c>
      <c r="Q2747" s="9" t="s">
        <v>522</v>
      </c>
    </row>
    <row r="2748" spans="1:17" x14ac:dyDescent="0.25">
      <c r="A2748" s="8" t="s">
        <v>19469</v>
      </c>
      <c r="B2748" s="8" t="s">
        <v>19470</v>
      </c>
      <c r="C2748" s="9" t="s">
        <v>19471</v>
      </c>
      <c r="D2748" s="9" t="s">
        <v>30</v>
      </c>
      <c r="E2748" s="9" t="s">
        <v>19472</v>
      </c>
      <c r="F2748" s="10">
        <v>1.514</v>
      </c>
      <c r="G2748" s="10">
        <v>1.665</v>
      </c>
      <c r="H2748" s="10"/>
      <c r="I2748" s="9" t="s">
        <v>32</v>
      </c>
      <c r="J2748" s="9" t="s">
        <v>19473</v>
      </c>
      <c r="K2748" s="9" t="s">
        <v>19474</v>
      </c>
      <c r="L2748" s="8" t="s">
        <v>19475</v>
      </c>
      <c r="M2748" s="9" t="s">
        <v>36</v>
      </c>
      <c r="N2748" s="9" t="s">
        <v>7777</v>
      </c>
      <c r="O2748" s="9">
        <f>HYPERLINK("https://www.google.com/maps/search/?api=1&amp;query=38.38074961,-7.15875762", "https://www.google.com/maps/search/?api=1&amp;query=38.38074961,-7.15875762")</f>
      </c>
      <c r="P2748" s="9" t="s">
        <v>19476</v>
      </c>
      <c r="Q2748" s="9" t="s">
        <v>14072</v>
      </c>
    </row>
    <row r="2749" spans="1:17" x14ac:dyDescent="0.25">
      <c r="A2749" s="8" t="s">
        <v>19477</v>
      </c>
      <c r="B2749" s="8" t="s">
        <v>19478</v>
      </c>
      <c r="C2749" s="9" t="s">
        <v>19479</v>
      </c>
      <c r="D2749" s="9" t="s">
        <v>94</v>
      </c>
      <c r="E2749" s="9" t="s">
        <v>19480</v>
      </c>
      <c r="F2749" s="10">
        <v>1.514</v>
      </c>
      <c r="G2749" s="10">
        <v>1.665</v>
      </c>
      <c r="H2749" s="10"/>
      <c r="I2749" s="9" t="s">
        <v>96</v>
      </c>
      <c r="J2749" s="9" t="s">
        <v>19481</v>
      </c>
      <c r="K2749" s="9" t="s">
        <v>19482</v>
      </c>
      <c r="L2749" s="8" t="s">
        <v>19483</v>
      </c>
      <c r="M2749" s="9" t="s">
        <v>100</v>
      </c>
      <c r="N2749" s="9" t="s">
        <v>88</v>
      </c>
      <c r="O2749" s="9">
        <f>HYPERLINK("https://www.google.com/maps/search/?api=1&amp;query=41.70110305,1.7930157", "https://www.google.com/maps/search/?api=1&amp;query=41.70110305,1.7930157")</f>
      </c>
      <c r="P2749" s="9" t="s">
        <v>992</v>
      </c>
      <c r="Q2749" s="9" t="s">
        <v>19484</v>
      </c>
    </row>
    <row r="2750" spans="1:17" x14ac:dyDescent="0.25">
      <c r="A2750" s="8" t="s">
        <v>19485</v>
      </c>
      <c r="B2750" s="8" t="s">
        <v>19486</v>
      </c>
      <c r="C2750" s="9" t="s">
        <v>19487</v>
      </c>
      <c r="D2750" s="9" t="s">
        <v>892</v>
      </c>
      <c r="E2750" s="9" t="s">
        <v>1166</v>
      </c>
      <c r="F2750" s="10">
        <v>1.514</v>
      </c>
      <c r="G2750" s="10">
        <v>1.665</v>
      </c>
      <c r="H2750" s="10"/>
      <c r="I2750" s="9" t="s">
        <v>32</v>
      </c>
      <c r="J2750" s="9" t="s">
        <v>19488</v>
      </c>
      <c r="K2750" s="9" t="s">
        <v>19489</v>
      </c>
      <c r="L2750" s="8" t="s">
        <v>1169</v>
      </c>
      <c r="M2750" s="9" t="s">
        <v>49</v>
      </c>
      <c r="N2750" s="9" t="s">
        <v>13862</v>
      </c>
      <c r="O2750" s="9">
        <f>HYPERLINK("https://www.google.com/maps/search/?api=1&amp;query=39.44893072,-5.88150939", "https://www.google.com/maps/search/?api=1&amp;query=39.44893072,-5.88150939")</f>
      </c>
      <c r="P2750" s="9" t="s">
        <v>4045</v>
      </c>
      <c r="Q2750" s="9" t="s">
        <v>1131</v>
      </c>
    </row>
    <row r="2751" spans="1:17" x14ac:dyDescent="0.25">
      <c r="A2751" s="8" t="s">
        <v>19490</v>
      </c>
      <c r="B2751" s="8" t="s">
        <v>19491</v>
      </c>
      <c r="C2751" s="9" t="s">
        <v>19492</v>
      </c>
      <c r="D2751" s="9" t="s">
        <v>106</v>
      </c>
      <c r="E2751" s="9" t="s">
        <v>19493</v>
      </c>
      <c r="F2751" s="10">
        <v>1.514</v>
      </c>
      <c r="G2751" s="10">
        <v>1.665</v>
      </c>
      <c r="H2751" s="10"/>
      <c r="I2751" s="9" t="s">
        <v>106</v>
      </c>
      <c r="J2751" s="9" t="s">
        <v>19494</v>
      </c>
      <c r="K2751" s="9" t="s">
        <v>19495</v>
      </c>
      <c r="L2751" s="8" t="s">
        <v>19496</v>
      </c>
      <c r="M2751" s="9" t="s">
        <v>49</v>
      </c>
      <c r="N2751" s="9" t="s">
        <v>88</v>
      </c>
      <c r="O2751" s="9">
        <f>HYPERLINK("https://www.google.com/maps/search/?api=1&amp;query=38.09863624,-1.23778008", "https://www.google.com/maps/search/?api=1&amp;query=38.09863624,-1.23778008")</f>
      </c>
      <c r="P2751" s="9" t="s">
        <v>780</v>
      </c>
      <c r="Q2751" s="9" t="s">
        <v>19497</v>
      </c>
    </row>
    <row r="2752" spans="1:17" x14ac:dyDescent="0.25">
      <c r="A2752" s="8" t="s">
        <v>19498</v>
      </c>
      <c r="B2752" s="8" t="s">
        <v>19499</v>
      </c>
      <c r="C2752" s="9" t="s">
        <v>15389</v>
      </c>
      <c r="D2752" s="9" t="s">
        <v>2288</v>
      </c>
      <c r="E2752" s="9" t="s">
        <v>19500</v>
      </c>
      <c r="F2752" s="10">
        <v>1.514</v>
      </c>
      <c r="G2752" s="10">
        <v>1.665</v>
      </c>
      <c r="H2752" s="10"/>
      <c r="I2752" s="9" t="s">
        <v>168</v>
      </c>
      <c r="J2752" s="9" t="s">
        <v>19501</v>
      </c>
      <c r="K2752" s="9" t="s">
        <v>19502</v>
      </c>
      <c r="L2752" s="8" t="s">
        <v>19503</v>
      </c>
      <c r="M2752" s="9" t="s">
        <v>49</v>
      </c>
      <c r="N2752" s="9" t="s">
        <v>88</v>
      </c>
      <c r="O2752" s="9">
        <f>HYPERLINK("https://www.google.com/maps/search/?api=1&amp;query=39.27594911,-2.33078943", "https://www.google.com/maps/search/?api=1&amp;query=39.27594911,-2.33078943")</f>
      </c>
      <c r="P2752" s="9" t="s">
        <v>493</v>
      </c>
      <c r="Q2752" s="9" t="s">
        <v>19504</v>
      </c>
    </row>
    <row r="2753" spans="1:17" x14ac:dyDescent="0.25">
      <c r="A2753" s="8" t="s">
        <v>19505</v>
      </c>
      <c r="B2753" s="8" t="s">
        <v>19506</v>
      </c>
      <c r="C2753" s="9" t="s">
        <v>19507</v>
      </c>
      <c r="D2753" s="9" t="s">
        <v>400</v>
      </c>
      <c r="E2753" s="9" t="s">
        <v>19508</v>
      </c>
      <c r="F2753" s="10">
        <v>1.514</v>
      </c>
      <c r="G2753" s="10">
        <v>1.665</v>
      </c>
      <c r="H2753" s="10"/>
      <c r="I2753" s="9" t="s">
        <v>400</v>
      </c>
      <c r="J2753" s="9" t="s">
        <v>19509</v>
      </c>
      <c r="K2753" s="9" t="s">
        <v>19510</v>
      </c>
      <c r="L2753" s="8" t="s">
        <v>19511</v>
      </c>
      <c r="M2753" s="9" t="s">
        <v>36</v>
      </c>
      <c r="N2753" s="9" t="s">
        <v>88</v>
      </c>
      <c r="O2753" s="9">
        <f>HYPERLINK("https://www.google.com/maps/search/?api=1&amp;query=39.47464376,-1.12451764", "https://www.google.com/maps/search/?api=1&amp;query=39.47464376,-1.12451764")</f>
      </c>
      <c r="P2753" s="9" t="s">
        <v>12807</v>
      </c>
      <c r="Q2753" s="9" t="s">
        <v>1950</v>
      </c>
    </row>
    <row r="2754" spans="1:17" x14ac:dyDescent="0.25">
      <c r="A2754" s="8" t="s">
        <v>19512</v>
      </c>
      <c r="B2754" s="8" t="s">
        <v>19513</v>
      </c>
      <c r="C2754" s="9" t="s">
        <v>19514</v>
      </c>
      <c r="D2754" s="9" t="s">
        <v>379</v>
      </c>
      <c r="E2754" s="9" t="s">
        <v>6136</v>
      </c>
      <c r="F2754" s="10">
        <v>1.514</v>
      </c>
      <c r="G2754" s="10">
        <v>1.665</v>
      </c>
      <c r="H2754" s="10"/>
      <c r="I2754" s="9" t="s">
        <v>379</v>
      </c>
      <c r="J2754" s="9" t="s">
        <v>19515</v>
      </c>
      <c r="K2754" s="9" t="s">
        <v>19516</v>
      </c>
      <c r="L2754" s="8" t="s">
        <v>6139</v>
      </c>
      <c r="M2754" s="9" t="s">
        <v>49</v>
      </c>
      <c r="N2754" s="9" t="s">
        <v>37</v>
      </c>
      <c r="O2754" s="9">
        <f>HYPERLINK("https://www.google.com/maps/search/?api=1&amp;query=42.05802627,-1.59992099", "https://www.google.com/maps/search/?api=1&amp;query=42.05802627,-1.59992099")</f>
      </c>
      <c r="P2754" s="9" t="s">
        <v>493</v>
      </c>
      <c r="Q2754" s="9" t="s">
        <v>19517</v>
      </c>
    </row>
    <row r="2755" spans="1:17" x14ac:dyDescent="0.25">
      <c r="A2755" s="8" t="s">
        <v>19518</v>
      </c>
      <c r="B2755" s="8" t="s">
        <v>19519</v>
      </c>
      <c r="C2755" s="9" t="s">
        <v>19520</v>
      </c>
      <c r="D2755" s="9" t="s">
        <v>290</v>
      </c>
      <c r="E2755" s="9" t="s">
        <v>19521</v>
      </c>
      <c r="F2755" s="10">
        <v>1.514</v>
      </c>
      <c r="G2755" s="10">
        <v>1.665</v>
      </c>
      <c r="H2755" s="10"/>
      <c r="I2755" s="9" t="s">
        <v>292</v>
      </c>
      <c r="J2755" s="9" t="s">
        <v>19522</v>
      </c>
      <c r="K2755" s="9" t="s">
        <v>19523</v>
      </c>
      <c r="L2755" s="8" t="s">
        <v>19524</v>
      </c>
      <c r="M2755" s="9" t="s">
        <v>49</v>
      </c>
      <c r="N2755" s="9" t="s">
        <v>88</v>
      </c>
      <c r="O2755" s="9">
        <f>HYPERLINK("https://www.google.com/maps/search/?api=1&amp;query=40.98209595,-0.44791779", "https://www.google.com/maps/search/?api=1&amp;query=40.98209595,-0.44791779")</f>
      </c>
      <c r="P2755" s="9" t="s">
        <v>493</v>
      </c>
      <c r="Q2755" s="9" t="s">
        <v>19525</v>
      </c>
    </row>
    <row r="2756" spans="1:17" x14ac:dyDescent="0.25">
      <c r="A2756" s="8" t="s">
        <v>19526</v>
      </c>
      <c r="B2756" s="8" t="s">
        <v>19527</v>
      </c>
      <c r="C2756" s="9" t="s">
        <v>18165</v>
      </c>
      <c r="D2756" s="9" t="s">
        <v>434</v>
      </c>
      <c r="E2756" s="9" t="s">
        <v>19528</v>
      </c>
      <c r="F2756" s="10">
        <v>1.514</v>
      </c>
      <c r="G2756" s="10">
        <v>1.665</v>
      </c>
      <c r="H2756" s="10"/>
      <c r="I2756" s="9" t="s">
        <v>96</v>
      </c>
      <c r="J2756" s="9" t="s">
        <v>19529</v>
      </c>
      <c r="K2756" s="9" t="s">
        <v>19530</v>
      </c>
      <c r="L2756" s="8" t="s">
        <v>19531</v>
      </c>
      <c r="M2756" s="9" t="s">
        <v>49</v>
      </c>
      <c r="N2756" s="9" t="s">
        <v>88</v>
      </c>
      <c r="O2756" s="9">
        <f>HYPERLINK("https://www.google.com/maps/search/?api=1&amp;query=42.31645398,3.06380674", "https://www.google.com/maps/search/?api=1&amp;query=42.31645398,3.06380674")</f>
      </c>
      <c r="P2756" s="9" t="s">
        <v>19532</v>
      </c>
      <c r="Q2756" s="9" t="s">
        <v>19533</v>
      </c>
    </row>
    <row r="2757" spans="1:17" x14ac:dyDescent="0.25">
      <c r="A2757" s="8" t="s">
        <v>19534</v>
      </c>
      <c r="B2757" s="8" t="s">
        <v>19535</v>
      </c>
      <c r="C2757" s="9" t="s">
        <v>19536</v>
      </c>
      <c r="D2757" s="9" t="s">
        <v>488</v>
      </c>
      <c r="E2757" s="9" t="s">
        <v>19537</v>
      </c>
      <c r="F2757" s="10">
        <v>1.514</v>
      </c>
      <c r="G2757" s="10">
        <v>1.665</v>
      </c>
      <c r="H2757" s="10"/>
      <c r="I2757" s="9" t="s">
        <v>45</v>
      </c>
      <c r="J2757" s="9" t="s">
        <v>19538</v>
      </c>
      <c r="K2757" s="9" t="s">
        <v>19539</v>
      </c>
      <c r="L2757" s="8" t="s">
        <v>19540</v>
      </c>
      <c r="M2757" s="9" t="s">
        <v>49</v>
      </c>
      <c r="N2757" s="9" t="s">
        <v>645</v>
      </c>
      <c r="O2757" s="9">
        <f>HYPERLINK("https://www.google.com/maps/search/?api=1&amp;query=37.78191732,-3.85734656", "https://www.google.com/maps/search/?api=1&amp;query=37.78191732,-3.85734656")</f>
      </c>
      <c r="P2757" s="9" t="s">
        <v>7657</v>
      </c>
      <c r="Q2757" s="9" t="s">
        <v>19541</v>
      </c>
    </row>
    <row r="2758" spans="1:17" x14ac:dyDescent="0.25">
      <c r="A2758" s="8" t="s">
        <v>19542</v>
      </c>
      <c r="B2758" s="8" t="s">
        <v>19543</v>
      </c>
      <c r="C2758" s="9" t="s">
        <v>19544</v>
      </c>
      <c r="D2758" s="9" t="s">
        <v>444</v>
      </c>
      <c r="E2758" s="9" t="s">
        <v>19545</v>
      </c>
      <c r="F2758" s="10">
        <v>1.514</v>
      </c>
      <c r="G2758" s="10">
        <v>1.665</v>
      </c>
      <c r="H2758" s="10"/>
      <c r="I2758" s="9" t="s">
        <v>444</v>
      </c>
      <c r="J2758" s="9" t="s">
        <v>19546</v>
      </c>
      <c r="K2758" s="9" t="s">
        <v>19547</v>
      </c>
      <c r="L2758" s="8" t="s">
        <v>14050</v>
      </c>
      <c r="M2758" s="9" t="s">
        <v>49</v>
      </c>
      <c r="N2758" s="9" t="s">
        <v>645</v>
      </c>
      <c r="O2758" s="9">
        <f>HYPERLINK("https://www.google.com/maps/search/?api=1&amp;query=43.41278245,-6.15731317", "https://www.google.com/maps/search/?api=1&amp;query=43.41278245,-6.15731317")</f>
      </c>
      <c r="P2758" s="9" t="s">
        <v>880</v>
      </c>
      <c r="Q2758" s="9" t="s">
        <v>19548</v>
      </c>
    </row>
    <row r="2759" spans="1:17" x14ac:dyDescent="0.25">
      <c r="A2759" s="8" t="s">
        <v>19549</v>
      </c>
      <c r="B2759" s="8" t="s">
        <v>19550</v>
      </c>
      <c r="C2759" s="9" t="s">
        <v>19551</v>
      </c>
      <c r="D2759" s="9" t="s">
        <v>106</v>
      </c>
      <c r="E2759" s="9" t="s">
        <v>3889</v>
      </c>
      <c r="F2759" s="10">
        <v>1.514</v>
      </c>
      <c r="G2759" s="10">
        <v>1.665</v>
      </c>
      <c r="H2759" s="10"/>
      <c r="I2759" s="9" t="s">
        <v>106</v>
      </c>
      <c r="J2759" s="9" t="s">
        <v>19552</v>
      </c>
      <c r="K2759" s="9" t="s">
        <v>19553</v>
      </c>
      <c r="L2759" s="8" t="s">
        <v>3892</v>
      </c>
      <c r="M2759" s="9" t="s">
        <v>36</v>
      </c>
      <c r="N2759" s="9" t="s">
        <v>37</v>
      </c>
      <c r="O2759" s="9">
        <f>HYPERLINK("https://www.google.com/maps/search/?api=1&amp;query=37.89262415,-1.3396323", "https://www.google.com/maps/search/?api=1&amp;query=37.89262415,-1.3396323")</f>
      </c>
      <c r="P2759" s="9" t="s">
        <v>2111</v>
      </c>
      <c r="Q2759" s="9" t="s">
        <v>2064</v>
      </c>
    </row>
    <row r="2760" spans="1:17" x14ac:dyDescent="0.25">
      <c r="A2760" s="8" t="s">
        <v>19554</v>
      </c>
      <c r="B2760" s="8" t="s">
        <v>19555</v>
      </c>
      <c r="C2760" s="9" t="s">
        <v>19556</v>
      </c>
      <c r="D2760" s="9" t="s">
        <v>128</v>
      </c>
      <c r="E2760" s="9" t="s">
        <v>129</v>
      </c>
      <c r="F2760" s="10">
        <v>1.514</v>
      </c>
      <c r="G2760" s="10">
        <v>1.665</v>
      </c>
      <c r="H2760" s="10"/>
      <c r="I2760" s="9" t="s">
        <v>45</v>
      </c>
      <c r="J2760" s="9" t="s">
        <v>19557</v>
      </c>
      <c r="K2760" s="9" t="s">
        <v>19558</v>
      </c>
      <c r="L2760" s="8" t="s">
        <v>132</v>
      </c>
      <c r="M2760" s="9" t="s">
        <v>36</v>
      </c>
      <c r="N2760" s="9" t="s">
        <v>483</v>
      </c>
      <c r="O2760" s="9">
        <f>HYPERLINK("https://www.google.com/maps/search/?api=1&amp;query=36.63482921,-6.07428835", "https://www.google.com/maps/search/?api=1&amp;query=36.63482921,-6.07428835")</f>
      </c>
      <c r="P2760" s="9" t="s">
        <v>19559</v>
      </c>
      <c r="Q2760" s="9" t="s">
        <v>3744</v>
      </c>
    </row>
    <row r="2761" spans="1:17" x14ac:dyDescent="0.25">
      <c r="A2761" s="8" t="s">
        <v>19560</v>
      </c>
      <c r="B2761" s="8" t="s">
        <v>19561</v>
      </c>
      <c r="C2761" s="9" t="s">
        <v>7621</v>
      </c>
      <c r="D2761" s="9" t="s">
        <v>398</v>
      </c>
      <c r="E2761" s="9" t="s">
        <v>19562</v>
      </c>
      <c r="F2761" s="10">
        <v>1.514</v>
      </c>
      <c r="G2761" s="10">
        <v>1.665</v>
      </c>
      <c r="H2761" s="10"/>
      <c r="I2761" s="9" t="s">
        <v>400</v>
      </c>
      <c r="J2761" s="9" t="s">
        <v>19563</v>
      </c>
      <c r="K2761" s="9" t="s">
        <v>19564</v>
      </c>
      <c r="L2761" s="8" t="s">
        <v>19565</v>
      </c>
      <c r="M2761" s="9" t="s">
        <v>100</v>
      </c>
      <c r="N2761" s="9" t="s">
        <v>88</v>
      </c>
      <c r="O2761" s="9">
        <f>HYPERLINK("https://www.google.com/maps/search/?api=1&amp;query=38.40103521,-0.47777864", "https://www.google.com/maps/search/?api=1&amp;query=38.40103521,-0.47777864")</f>
      </c>
      <c r="P2761" s="9" t="s">
        <v>1637</v>
      </c>
      <c r="Q2761" s="9" t="s">
        <v>19566</v>
      </c>
    </row>
    <row r="2762" spans="1:17" x14ac:dyDescent="0.25">
      <c r="A2762" s="8" t="s">
        <v>19567</v>
      </c>
      <c r="B2762" s="8" t="s">
        <v>19568</v>
      </c>
      <c r="C2762" s="9" t="s">
        <v>19569</v>
      </c>
      <c r="D2762" s="9" t="s">
        <v>434</v>
      </c>
      <c r="E2762" s="9" t="s">
        <v>19570</v>
      </c>
      <c r="F2762" s="10">
        <v>1.514</v>
      </c>
      <c r="G2762" s="10">
        <v>1.665</v>
      </c>
      <c r="H2762" s="10"/>
      <c r="I2762" s="9" t="s">
        <v>96</v>
      </c>
      <c r="J2762" s="9" t="s">
        <v>19571</v>
      </c>
      <c r="K2762" s="9" t="s">
        <v>19572</v>
      </c>
      <c r="L2762" s="8" t="s">
        <v>19573</v>
      </c>
      <c r="M2762" s="9" t="s">
        <v>49</v>
      </c>
      <c r="N2762" s="9" t="s">
        <v>88</v>
      </c>
      <c r="O2762" s="9">
        <f>HYPERLINK("https://www.google.com/maps/search/?api=1&amp;query=42.1651157,2.74510059", "https://www.google.com/maps/search/?api=1&amp;query=42.1651157,2.74510059")</f>
      </c>
      <c r="P2762" s="9" t="s">
        <v>780</v>
      </c>
      <c r="Q2762" s="9" t="s">
        <v>7556</v>
      </c>
    </row>
    <row r="2763" spans="1:17" x14ac:dyDescent="0.25">
      <c r="A2763" s="8" t="s">
        <v>19574</v>
      </c>
      <c r="B2763" s="8" t="s">
        <v>19575</v>
      </c>
      <c r="C2763" s="9" t="s">
        <v>19576</v>
      </c>
      <c r="D2763" s="9" t="s">
        <v>2050</v>
      </c>
      <c r="E2763" s="9" t="s">
        <v>19577</v>
      </c>
      <c r="F2763" s="10">
        <v>1.514</v>
      </c>
      <c r="G2763" s="10">
        <v>1.665</v>
      </c>
      <c r="H2763" s="10"/>
      <c r="I2763" s="9" t="s">
        <v>140</v>
      </c>
      <c r="J2763" s="9" t="s">
        <v>19578</v>
      </c>
      <c r="K2763" s="9" t="s">
        <v>19579</v>
      </c>
      <c r="L2763" s="8" t="s">
        <v>19580</v>
      </c>
      <c r="M2763" s="9" t="s">
        <v>36</v>
      </c>
      <c r="N2763" s="9" t="s">
        <v>3399</v>
      </c>
      <c r="O2763" s="9">
        <f>HYPERLINK("https://www.google.com/maps/search/?api=1&amp;query=42.31323623,-7.86638323", "https://www.google.com/maps/search/?api=1&amp;query=42.31323623,-7.86638323")</f>
      </c>
      <c r="P2763" s="9" t="s">
        <v>965</v>
      </c>
      <c r="Q2763" s="9" t="s">
        <v>1843</v>
      </c>
    </row>
    <row r="2764" spans="1:17" x14ac:dyDescent="0.25">
      <c r="A2764" s="8" t="s">
        <v>19581</v>
      </c>
      <c r="B2764" s="8" t="s">
        <v>19582</v>
      </c>
      <c r="C2764" s="9" t="s">
        <v>19583</v>
      </c>
      <c r="D2764" s="9" t="s">
        <v>631</v>
      </c>
      <c r="E2764" s="9" t="s">
        <v>19584</v>
      </c>
      <c r="F2764" s="10">
        <v>1.514</v>
      </c>
      <c r="G2764" s="10">
        <v>1.665</v>
      </c>
      <c r="H2764" s="10"/>
      <c r="I2764" s="9" t="s">
        <v>45</v>
      </c>
      <c r="J2764" s="9" t="s">
        <v>19585</v>
      </c>
      <c r="K2764" s="9" t="s">
        <v>19586</v>
      </c>
      <c r="L2764" s="8" t="s">
        <v>19587</v>
      </c>
      <c r="M2764" s="9" t="s">
        <v>49</v>
      </c>
      <c r="N2764" s="9" t="s">
        <v>66</v>
      </c>
      <c r="O2764" s="9">
        <f>HYPERLINK("https://www.google.com/maps/search/?api=1&amp;query=38.27532666,-5.40340709", "https://www.google.com/maps/search/?api=1&amp;query=38.27532666,-5.40340709")</f>
      </c>
      <c r="P2764" s="9" t="s">
        <v>10610</v>
      </c>
      <c r="Q2764" s="9" t="s">
        <v>2998</v>
      </c>
    </row>
    <row r="2765" spans="1:17" x14ac:dyDescent="0.25">
      <c r="A2765" s="8" t="s">
        <v>19588</v>
      </c>
      <c r="B2765" s="8" t="s">
        <v>19589</v>
      </c>
      <c r="C2765" s="9" t="s">
        <v>10549</v>
      </c>
      <c r="D2765" s="9" t="s">
        <v>106</v>
      </c>
      <c r="E2765" s="9" t="s">
        <v>836</v>
      </c>
      <c r="F2765" s="10">
        <v>1.514</v>
      </c>
      <c r="G2765" s="10">
        <v>1.665</v>
      </c>
      <c r="H2765" s="10"/>
      <c r="I2765" s="9" t="s">
        <v>106</v>
      </c>
      <c r="J2765" s="9" t="s">
        <v>19590</v>
      </c>
      <c r="K2765" s="9" t="s">
        <v>19591</v>
      </c>
      <c r="L2765" s="8" t="s">
        <v>839</v>
      </c>
      <c r="M2765" s="9" t="s">
        <v>49</v>
      </c>
      <c r="N2765" s="9" t="s">
        <v>37</v>
      </c>
      <c r="O2765" s="9">
        <f>HYPERLINK("https://www.google.com/maps/search/?api=1&amp;query=38.06336438,-1.03859282", "https://www.google.com/maps/search/?api=1&amp;query=38.06336438,-1.03859282")</f>
      </c>
      <c r="P2765" s="9" t="s">
        <v>646</v>
      </c>
      <c r="Q2765" s="9" t="s">
        <v>19592</v>
      </c>
    </row>
    <row r="2766" spans="1:17" x14ac:dyDescent="0.25">
      <c r="A2766" s="8" t="s">
        <v>11563</v>
      </c>
      <c r="B2766" s="8" t="s">
        <v>19593</v>
      </c>
      <c r="C2766" s="9" t="s">
        <v>19594</v>
      </c>
      <c r="D2766" s="9" t="s">
        <v>290</v>
      </c>
      <c r="E2766" s="9" t="s">
        <v>19595</v>
      </c>
      <c r="F2766" s="10">
        <v>1.514</v>
      </c>
      <c r="G2766" s="10">
        <v>1.665</v>
      </c>
      <c r="H2766" s="10"/>
      <c r="I2766" s="9" t="s">
        <v>292</v>
      </c>
      <c r="J2766" s="9" t="s">
        <v>19596</v>
      </c>
      <c r="K2766" s="9" t="s">
        <v>19597</v>
      </c>
      <c r="L2766" s="8" t="s">
        <v>19598</v>
      </c>
      <c r="M2766" s="9" t="s">
        <v>49</v>
      </c>
      <c r="N2766" s="9" t="s">
        <v>37</v>
      </c>
      <c r="O2766" s="9">
        <f>HYPERLINK("https://www.google.com/maps/search/?api=1&amp;query=40.78815056,-0.03559414", "https://www.google.com/maps/search/?api=1&amp;query=40.78815056,-0.03559414")</f>
      </c>
      <c r="P2766" s="9" t="s">
        <v>705</v>
      </c>
      <c r="Q2766" s="9" t="s">
        <v>19599</v>
      </c>
    </row>
    <row r="2767" spans="1:17" x14ac:dyDescent="0.25">
      <c r="A2767" s="8" t="s">
        <v>19600</v>
      </c>
      <c r="B2767" s="8" t="s">
        <v>19601</v>
      </c>
      <c r="C2767" s="9" t="s">
        <v>17039</v>
      </c>
      <c r="D2767" s="9" t="s">
        <v>1483</v>
      </c>
      <c r="E2767" s="9" t="s">
        <v>19602</v>
      </c>
      <c r="F2767" s="10">
        <v>1.514</v>
      </c>
      <c r="G2767" s="10">
        <v>1.665</v>
      </c>
      <c r="H2767" s="10"/>
      <c r="I2767" s="9" t="s">
        <v>74</v>
      </c>
      <c r="J2767" s="9" t="s">
        <v>19603</v>
      </c>
      <c r="K2767" s="9" t="s">
        <v>19604</v>
      </c>
      <c r="L2767" s="8" t="s">
        <v>11736</v>
      </c>
      <c r="M2767" s="9" t="s">
        <v>36</v>
      </c>
      <c r="N2767" s="9" t="s">
        <v>1695</v>
      </c>
      <c r="O2767" s="9">
        <f>HYPERLINK("https://www.google.com/maps/search/?api=1&amp;query=43.1116104,-3.26613548", "https://www.google.com/maps/search/?api=1&amp;query=43.1116104,-3.26613548")</f>
      </c>
      <c r="P2767" s="9" t="s">
        <v>1373</v>
      </c>
      <c r="Q2767" s="9" t="s">
        <v>14879</v>
      </c>
    </row>
    <row r="2768" spans="1:17" x14ac:dyDescent="0.25">
      <c r="A2768" s="8" t="s">
        <v>19605</v>
      </c>
      <c r="B2768" s="8" t="s">
        <v>19606</v>
      </c>
      <c r="C2768" s="9" t="s">
        <v>17385</v>
      </c>
      <c r="D2768" s="9" t="s">
        <v>106</v>
      </c>
      <c r="E2768" s="9" t="s">
        <v>17386</v>
      </c>
      <c r="F2768" s="10">
        <v>1.514</v>
      </c>
      <c r="G2768" s="10">
        <v>1.665</v>
      </c>
      <c r="H2768" s="10"/>
      <c r="I2768" s="9" t="s">
        <v>106</v>
      </c>
      <c r="J2768" s="9" t="s">
        <v>19607</v>
      </c>
      <c r="K2768" s="9" t="s">
        <v>19608</v>
      </c>
      <c r="L2768" s="8" t="s">
        <v>17389</v>
      </c>
      <c r="M2768" s="9" t="s">
        <v>49</v>
      </c>
      <c r="N2768" s="9" t="s">
        <v>88</v>
      </c>
      <c r="O2768" s="9">
        <f>HYPERLINK("https://www.google.com/maps/search/?api=1&amp;query=38.11945893,-1.30580113", "https://www.google.com/maps/search/?api=1&amp;query=38.11945893,-1.30580113")</f>
      </c>
      <c r="P2768" s="9" t="s">
        <v>172</v>
      </c>
      <c r="Q2768" s="9" t="s">
        <v>1204</v>
      </c>
    </row>
    <row r="2769" spans="1:17" x14ac:dyDescent="0.25">
      <c r="A2769" s="8" t="s">
        <v>19609</v>
      </c>
      <c r="B2769" s="8" t="s">
        <v>19610</v>
      </c>
      <c r="C2769" s="9" t="s">
        <v>19611</v>
      </c>
      <c r="D2769" s="9" t="s">
        <v>106</v>
      </c>
      <c r="E2769" s="9" t="s">
        <v>19612</v>
      </c>
      <c r="F2769" s="10">
        <v>1.514</v>
      </c>
      <c r="G2769" s="10">
        <v>1.665</v>
      </c>
      <c r="H2769" s="10"/>
      <c r="I2769" s="9" t="s">
        <v>106</v>
      </c>
      <c r="J2769" s="9" t="s">
        <v>19613</v>
      </c>
      <c r="K2769" s="9" t="s">
        <v>19614</v>
      </c>
      <c r="L2769" s="8" t="s">
        <v>19615</v>
      </c>
      <c r="M2769" s="9" t="s">
        <v>36</v>
      </c>
      <c r="N2769" s="9" t="s">
        <v>5851</v>
      </c>
      <c r="O2769" s="9">
        <f>HYPERLINK("https://www.google.com/maps/search/?api=1&amp;query=38.04408937,-1.97257344", "https://www.google.com/maps/search/?api=1&amp;query=38.04408937,-1.97257344")</f>
      </c>
      <c r="P2769" s="9" t="s">
        <v>3165</v>
      </c>
      <c r="Q2769" s="9" t="s">
        <v>102</v>
      </c>
    </row>
    <row r="2770" spans="1:17" x14ac:dyDescent="0.25">
      <c r="A2770" s="8" t="s">
        <v>19616</v>
      </c>
      <c r="B2770" s="8" t="s">
        <v>19617</v>
      </c>
      <c r="C2770" s="9" t="s">
        <v>19618</v>
      </c>
      <c r="D2770" s="9" t="s">
        <v>106</v>
      </c>
      <c r="E2770" s="9" t="s">
        <v>8707</v>
      </c>
      <c r="F2770" s="10">
        <v>1.514</v>
      </c>
      <c r="G2770" s="10">
        <v>1.665</v>
      </c>
      <c r="H2770" s="10"/>
      <c r="I2770" s="9" t="s">
        <v>106</v>
      </c>
      <c r="J2770" s="9" t="s">
        <v>19619</v>
      </c>
      <c r="K2770" s="9" t="s">
        <v>19620</v>
      </c>
      <c r="L2770" s="8" t="s">
        <v>8710</v>
      </c>
      <c r="M2770" s="9" t="s">
        <v>49</v>
      </c>
      <c r="N2770" s="9" t="s">
        <v>88</v>
      </c>
      <c r="O2770" s="9">
        <f>HYPERLINK("https://www.google.com/maps/search/?api=1&amp;query=37.97481544,-1.22940702", "https://www.google.com/maps/search/?api=1&amp;query=37.97481544,-1.22940702")</f>
      </c>
      <c r="P2770" s="9" t="s">
        <v>3443</v>
      </c>
      <c r="Q2770" s="9" t="s">
        <v>19621</v>
      </c>
    </row>
    <row r="2771" spans="1:17" x14ac:dyDescent="0.25">
      <c r="A2771" s="8" t="s">
        <v>19622</v>
      </c>
      <c r="B2771" s="8" t="s">
        <v>19623</v>
      </c>
      <c r="C2771" s="9" t="s">
        <v>19624</v>
      </c>
      <c r="D2771" s="9" t="s">
        <v>1282</v>
      </c>
      <c r="E2771" s="9" t="s">
        <v>19625</v>
      </c>
      <c r="F2771" s="10">
        <v>1.514</v>
      </c>
      <c r="G2771" s="10">
        <v>1.665</v>
      </c>
      <c r="H2771" s="10"/>
      <c r="I2771" s="9" t="s">
        <v>45</v>
      </c>
      <c r="J2771" s="9" t="s">
        <v>19626</v>
      </c>
      <c r="K2771" s="9" t="s">
        <v>19627</v>
      </c>
      <c r="L2771" s="8" t="s">
        <v>19628</v>
      </c>
      <c r="M2771" s="9" t="s">
        <v>49</v>
      </c>
      <c r="N2771" s="9" t="s">
        <v>1130</v>
      </c>
      <c r="O2771" s="9">
        <f>HYPERLINK("https://www.google.com/maps/search/?api=1&amp;query=37.44231297,-3.33441044", "https://www.google.com/maps/search/?api=1&amp;query=37.44231297,-3.33441044")</f>
      </c>
      <c r="P2771" s="9" t="s">
        <v>583</v>
      </c>
      <c r="Q2771" s="9" t="s">
        <v>1131</v>
      </c>
    </row>
    <row r="2772" spans="1:17" x14ac:dyDescent="0.25">
      <c r="A2772" s="8" t="s">
        <v>19629</v>
      </c>
      <c r="B2772" s="8" t="s">
        <v>19630</v>
      </c>
      <c r="C2772" s="9" t="s">
        <v>19631</v>
      </c>
      <c r="D2772" s="9" t="s">
        <v>138</v>
      </c>
      <c r="E2772" s="9" t="s">
        <v>11699</v>
      </c>
      <c r="F2772" s="10">
        <v>1.514</v>
      </c>
      <c r="G2772" s="10">
        <v>1.665</v>
      </c>
      <c r="H2772" s="10"/>
      <c r="I2772" s="9" t="s">
        <v>140</v>
      </c>
      <c r="J2772" s="9" t="s">
        <v>19632</v>
      </c>
      <c r="K2772" s="9" t="s">
        <v>19633</v>
      </c>
      <c r="L2772" s="8" t="s">
        <v>11702</v>
      </c>
      <c r="M2772" s="9" t="s">
        <v>36</v>
      </c>
      <c r="N2772" s="9" t="s">
        <v>37</v>
      </c>
      <c r="O2772" s="9">
        <f>HYPERLINK("https://www.google.com/maps/search/?api=1&amp;query=42.04145183,-8.64752764", "https://www.google.com/maps/search/?api=1&amp;query=42.04145183,-8.64752764")</f>
      </c>
      <c r="P2772" s="9" t="s">
        <v>955</v>
      </c>
      <c r="Q2772" s="9" t="s">
        <v>647</v>
      </c>
    </row>
    <row r="2773" spans="1:17" x14ac:dyDescent="0.25">
      <c r="A2773" s="8" t="s">
        <v>19634</v>
      </c>
      <c r="B2773" s="8" t="s">
        <v>19635</v>
      </c>
      <c r="C2773" s="9" t="s">
        <v>19636</v>
      </c>
      <c r="D2773" s="9" t="s">
        <v>400</v>
      </c>
      <c r="E2773" s="9" t="s">
        <v>15133</v>
      </c>
      <c r="F2773" s="10">
        <v>1.514</v>
      </c>
      <c r="G2773" s="10">
        <v>1.665</v>
      </c>
      <c r="H2773" s="10"/>
      <c r="I2773" s="9" t="s">
        <v>400</v>
      </c>
      <c r="J2773" s="9" t="s">
        <v>19637</v>
      </c>
      <c r="K2773" s="9" t="s">
        <v>19638</v>
      </c>
      <c r="L2773" s="8" t="s">
        <v>15136</v>
      </c>
      <c r="M2773" s="9" t="s">
        <v>49</v>
      </c>
      <c r="N2773" s="9" t="s">
        <v>161</v>
      </c>
      <c r="O2773" s="9">
        <f>HYPERLINK("https://www.google.com/maps/search/?api=1&amp;query=39.43471443,-0.40753782", "https://www.google.com/maps/search/?api=1&amp;query=39.43471443,-0.40753782")</f>
      </c>
      <c r="P2773" s="9" t="s">
        <v>2213</v>
      </c>
      <c r="Q2773" s="9" t="s">
        <v>19639</v>
      </c>
    </row>
    <row r="2774" spans="1:17" x14ac:dyDescent="0.25">
      <c r="A2774" s="8" t="s">
        <v>19640</v>
      </c>
      <c r="B2774" s="8" t="s">
        <v>19641</v>
      </c>
      <c r="C2774" s="9" t="s">
        <v>19642</v>
      </c>
      <c r="D2774" s="9" t="s">
        <v>1192</v>
      </c>
      <c r="E2774" s="9" t="s">
        <v>19643</v>
      </c>
      <c r="F2774" s="10">
        <v>1.514</v>
      </c>
      <c r="G2774" s="10">
        <v>1.665</v>
      </c>
      <c r="H2774" s="10"/>
      <c r="I2774" s="9" t="s">
        <v>168</v>
      </c>
      <c r="J2774" s="9" t="s">
        <v>19644</v>
      </c>
      <c r="K2774" s="9" t="s">
        <v>19645</v>
      </c>
      <c r="L2774" s="8" t="s">
        <v>5640</v>
      </c>
      <c r="M2774" s="9" t="s">
        <v>49</v>
      </c>
      <c r="N2774" s="9" t="s">
        <v>8508</v>
      </c>
      <c r="O2774" s="9">
        <f>HYPERLINK("https://www.google.com/maps/search/?api=1&amp;query=39.08349088,-4.61615294", "https://www.google.com/maps/search/?api=1&amp;query=39.08349088,-4.61615294")</f>
      </c>
      <c r="P2774" s="9" t="s">
        <v>771</v>
      </c>
      <c r="Q2774" s="9" t="s">
        <v>898</v>
      </c>
    </row>
    <row r="2775" spans="1:17" x14ac:dyDescent="0.25">
      <c r="A2775" s="8" t="s">
        <v>19646</v>
      </c>
      <c r="B2775" s="8" t="s">
        <v>19647</v>
      </c>
      <c r="C2775" s="9" t="s">
        <v>19648</v>
      </c>
      <c r="D2775" s="9" t="s">
        <v>434</v>
      </c>
      <c r="E2775" s="9" t="s">
        <v>19649</v>
      </c>
      <c r="F2775" s="10">
        <v>1.514</v>
      </c>
      <c r="G2775" s="10">
        <v>1.665</v>
      </c>
      <c r="H2775" s="10"/>
      <c r="I2775" s="9" t="s">
        <v>96</v>
      </c>
      <c r="J2775" s="9" t="s">
        <v>19650</v>
      </c>
      <c r="K2775" s="9" t="s">
        <v>19651</v>
      </c>
      <c r="L2775" s="8" t="s">
        <v>19652</v>
      </c>
      <c r="M2775" s="9" t="s">
        <v>49</v>
      </c>
      <c r="N2775" s="9" t="s">
        <v>17774</v>
      </c>
      <c r="O2775" s="9">
        <f>HYPERLINK("https://www.google.com/maps/search/?api=1&amp;query=42.29002837,3.27617272", "https://www.google.com/maps/search/?api=1&amp;query=42.29002837,3.27617272")</f>
      </c>
      <c r="P2775" s="9" t="s">
        <v>880</v>
      </c>
      <c r="Q2775" s="9" t="s">
        <v>7794</v>
      </c>
    </row>
    <row r="2776" spans="1:17" x14ac:dyDescent="0.25">
      <c r="A2776" s="8" t="s">
        <v>19653</v>
      </c>
      <c r="B2776" s="8" t="s">
        <v>19654</v>
      </c>
      <c r="C2776" s="9" t="s">
        <v>19655</v>
      </c>
      <c r="D2776" s="9" t="s">
        <v>61</v>
      </c>
      <c r="E2776" s="9" t="s">
        <v>19656</v>
      </c>
      <c r="F2776" s="10">
        <v>1.514</v>
      </c>
      <c r="G2776" s="10">
        <v>1.665</v>
      </c>
      <c r="H2776" s="10"/>
      <c r="I2776" s="9" t="s">
        <v>45</v>
      </c>
      <c r="J2776" s="9" t="s">
        <v>19657</v>
      </c>
      <c r="K2776" s="9" t="s">
        <v>19658</v>
      </c>
      <c r="L2776" s="8" t="s">
        <v>19659</v>
      </c>
      <c r="M2776" s="9" t="s">
        <v>36</v>
      </c>
      <c r="N2776" s="9" t="s">
        <v>88</v>
      </c>
      <c r="O2776" s="9">
        <f>HYPERLINK("https://www.google.com/maps/search/?api=1&amp;query=37.29600048,-4.76458958", "https://www.google.com/maps/search/?api=1&amp;query=37.29600048,-4.76458958")</f>
      </c>
      <c r="P2776" s="9" t="s">
        <v>8200</v>
      </c>
      <c r="Q2776" s="9" t="s">
        <v>618</v>
      </c>
    </row>
    <row r="2777" spans="1:17" x14ac:dyDescent="0.25">
      <c r="A2777" s="8" t="s">
        <v>19660</v>
      </c>
      <c r="B2777" s="8" t="s">
        <v>19661</v>
      </c>
      <c r="C2777" s="9" t="s">
        <v>19662</v>
      </c>
      <c r="D2777" s="9" t="s">
        <v>106</v>
      </c>
      <c r="E2777" s="9" t="s">
        <v>3623</v>
      </c>
      <c r="F2777" s="10">
        <v>1.514</v>
      </c>
      <c r="G2777" s="10">
        <v>1.665</v>
      </c>
      <c r="H2777" s="10"/>
      <c r="I2777" s="9" t="s">
        <v>106</v>
      </c>
      <c r="J2777" s="9" t="s">
        <v>19663</v>
      </c>
      <c r="K2777" s="9" t="s">
        <v>19664</v>
      </c>
      <c r="L2777" s="8" t="s">
        <v>3626</v>
      </c>
      <c r="M2777" s="9" t="s">
        <v>36</v>
      </c>
      <c r="N2777" s="9" t="s">
        <v>14037</v>
      </c>
      <c r="O2777" s="9">
        <f>HYPERLINK("https://www.google.com/maps/search/?api=1&amp;query=38.60668994,-1.10047597", "https://www.google.com/maps/search/?api=1&amp;query=38.60668994,-1.10047597")</f>
      </c>
      <c r="P2777" s="9" t="s">
        <v>19665</v>
      </c>
      <c r="Q2777" s="9" t="s">
        <v>19666</v>
      </c>
    </row>
    <row r="2778" spans="1:17" x14ac:dyDescent="0.25">
      <c r="A2778" s="8" t="s">
        <v>19667</v>
      </c>
      <c r="B2778" s="8" t="s">
        <v>19668</v>
      </c>
      <c r="C2778" s="9" t="s">
        <v>19669</v>
      </c>
      <c r="D2778" s="9" t="s">
        <v>1192</v>
      </c>
      <c r="E2778" s="9" t="s">
        <v>19670</v>
      </c>
      <c r="F2778" s="10">
        <v>1.514</v>
      </c>
      <c r="G2778" s="10">
        <v>1.665</v>
      </c>
      <c r="H2778" s="10"/>
      <c r="I2778" s="9" t="s">
        <v>168</v>
      </c>
      <c r="J2778" s="9" t="s">
        <v>19671</v>
      </c>
      <c r="K2778" s="9" t="s">
        <v>19672</v>
      </c>
      <c r="L2778" s="8" t="s">
        <v>2358</v>
      </c>
      <c r="M2778" s="9" t="s">
        <v>100</v>
      </c>
      <c r="N2778" s="9" t="s">
        <v>88</v>
      </c>
      <c r="O2778" s="9">
        <f>HYPERLINK("https://www.google.com/maps/search/?api=1&amp;query=38.718028,-4.071306", "https://www.google.com/maps/search/?api=1&amp;query=38.718028,-4.071306")</f>
      </c>
      <c r="P2778" s="9" t="s">
        <v>646</v>
      </c>
      <c r="Q2778" s="9" t="s">
        <v>19673</v>
      </c>
    </row>
    <row r="2779" spans="1:17" x14ac:dyDescent="0.25">
      <c r="A2779" s="8" t="s">
        <v>15757</v>
      </c>
      <c r="B2779" s="8" t="s">
        <v>19674</v>
      </c>
      <c r="C2779" s="9" t="s">
        <v>19675</v>
      </c>
      <c r="D2779" s="9" t="s">
        <v>444</v>
      </c>
      <c r="E2779" s="9" t="s">
        <v>19676</v>
      </c>
      <c r="F2779" s="10">
        <v>1.514</v>
      </c>
      <c r="G2779" s="10">
        <v>1.665</v>
      </c>
      <c r="H2779" s="10"/>
      <c r="I2779" s="9" t="s">
        <v>444</v>
      </c>
      <c r="J2779" s="9" t="s">
        <v>19677</v>
      </c>
      <c r="K2779" s="9" t="s">
        <v>19678</v>
      </c>
      <c r="L2779" s="8" t="s">
        <v>9530</v>
      </c>
      <c r="M2779" s="9" t="s">
        <v>49</v>
      </c>
      <c r="N2779" s="9" t="s">
        <v>122</v>
      </c>
      <c r="O2779" s="9">
        <f>HYPERLINK("https://www.google.com/maps/search/?api=1&amp;query=43.27193382,-6.61446314", "https://www.google.com/maps/search/?api=1&amp;query=43.27193382,-6.61446314")</f>
      </c>
      <c r="P2779" s="9" t="s">
        <v>1927</v>
      </c>
      <c r="Q2779" s="9" t="s">
        <v>12988</v>
      </c>
    </row>
    <row r="2780" spans="1:17" x14ac:dyDescent="0.25">
      <c r="A2780" s="8" t="s">
        <v>19679</v>
      </c>
      <c r="B2780" s="8" t="s">
        <v>19680</v>
      </c>
      <c r="C2780" s="9" t="s">
        <v>19681</v>
      </c>
      <c r="D2780" s="9" t="s">
        <v>1282</v>
      </c>
      <c r="E2780" s="9" t="s">
        <v>19682</v>
      </c>
      <c r="F2780" s="10">
        <v>1.514</v>
      </c>
      <c r="G2780" s="10">
        <v>1.665</v>
      </c>
      <c r="H2780" s="10"/>
      <c r="I2780" s="9" t="s">
        <v>45</v>
      </c>
      <c r="J2780" s="9" t="s">
        <v>19683</v>
      </c>
      <c r="K2780" s="9" t="s">
        <v>19684</v>
      </c>
      <c r="L2780" s="8" t="s">
        <v>19685</v>
      </c>
      <c r="M2780" s="9" t="s">
        <v>36</v>
      </c>
      <c r="N2780" s="9" t="s">
        <v>19686</v>
      </c>
      <c r="O2780" s="9">
        <f>HYPERLINK("https://www.google.com/maps/search/?api=1&amp;query=37.13482436,-3.44210373", "https://www.google.com/maps/search/?api=1&amp;query=37.13482436,-3.44210373")</f>
      </c>
      <c r="P2780" s="9" t="s">
        <v>6218</v>
      </c>
      <c r="Q2780" s="9" t="s">
        <v>1131</v>
      </c>
    </row>
    <row r="2781" spans="1:17" x14ac:dyDescent="0.25">
      <c r="A2781" s="8" t="s">
        <v>19687</v>
      </c>
      <c r="B2781" s="8" t="s">
        <v>19688</v>
      </c>
      <c r="C2781" s="9" t="s">
        <v>19689</v>
      </c>
      <c r="D2781" s="9" t="s">
        <v>61</v>
      </c>
      <c r="E2781" s="9" t="s">
        <v>62</v>
      </c>
      <c r="F2781" s="10">
        <v>1.514</v>
      </c>
      <c r="G2781" s="10">
        <v>1.665</v>
      </c>
      <c r="H2781" s="10"/>
      <c r="I2781" s="9" t="s">
        <v>45</v>
      </c>
      <c r="J2781" s="9" t="s">
        <v>19690</v>
      </c>
      <c r="K2781" s="9" t="s">
        <v>19691</v>
      </c>
      <c r="L2781" s="8" t="s">
        <v>65</v>
      </c>
      <c r="M2781" s="9" t="s">
        <v>36</v>
      </c>
      <c r="N2781" s="9" t="s">
        <v>37</v>
      </c>
      <c r="O2781" s="9">
        <f>HYPERLINK("https://www.google.com/maps/search/?api=1&amp;query=37.29933287,-4.8837884", "https://www.google.com/maps/search/?api=1&amp;query=37.29933287,-4.8837884")</f>
      </c>
      <c r="P2781" s="9" t="s">
        <v>321</v>
      </c>
      <c r="Q2781" s="9" t="s">
        <v>14909</v>
      </c>
    </row>
    <row r="2782" spans="1:17" x14ac:dyDescent="0.25">
      <c r="A2782" s="8" t="s">
        <v>19692</v>
      </c>
      <c r="B2782" s="8" t="s">
        <v>19693</v>
      </c>
      <c r="C2782" s="9" t="s">
        <v>19694</v>
      </c>
      <c r="D2782" s="9" t="s">
        <v>30</v>
      </c>
      <c r="E2782" s="9" t="s">
        <v>19695</v>
      </c>
      <c r="F2782" s="10">
        <v>1.514</v>
      </c>
      <c r="G2782" s="10">
        <v>1.665</v>
      </c>
      <c r="H2782" s="10"/>
      <c r="I2782" s="9" t="s">
        <v>32</v>
      </c>
      <c r="J2782" s="9" t="s">
        <v>19696</v>
      </c>
      <c r="K2782" s="9" t="s">
        <v>19697</v>
      </c>
      <c r="L2782" s="8" t="s">
        <v>19698</v>
      </c>
      <c r="M2782" s="9" t="s">
        <v>36</v>
      </c>
      <c r="N2782" s="9" t="s">
        <v>7745</v>
      </c>
      <c r="O2782" s="9">
        <f>HYPERLINK("https://www.google.com/maps/search/?api=1&amp;query=38.71299758,-6.82040635", "https://www.google.com/maps/search/?api=1&amp;query=38.71299758,-6.82040635")</f>
      </c>
      <c r="P2782" s="9" t="s">
        <v>1598</v>
      </c>
      <c r="Q2782" s="9" t="s">
        <v>19699</v>
      </c>
    </row>
    <row r="2783" spans="1:17" x14ac:dyDescent="0.25">
      <c r="A2783" s="8" t="s">
        <v>19700</v>
      </c>
      <c r="B2783" s="8" t="s">
        <v>19701</v>
      </c>
      <c r="C2783" s="9" t="s">
        <v>19702</v>
      </c>
      <c r="D2783" s="9" t="s">
        <v>516</v>
      </c>
      <c r="E2783" s="9" t="s">
        <v>19703</v>
      </c>
      <c r="F2783" s="10">
        <v>1.514</v>
      </c>
      <c r="G2783" s="10">
        <v>1.665</v>
      </c>
      <c r="H2783" s="10"/>
      <c r="I2783" s="9" t="s">
        <v>140</v>
      </c>
      <c r="J2783" s="9" t="s">
        <v>19704</v>
      </c>
      <c r="K2783" s="9" t="s">
        <v>19705</v>
      </c>
      <c r="L2783" s="8" t="s">
        <v>16663</v>
      </c>
      <c r="M2783" s="9" t="s">
        <v>49</v>
      </c>
      <c r="N2783" s="9" t="s">
        <v>211</v>
      </c>
      <c r="O2783" s="9">
        <f>HYPERLINK("https://www.google.com/maps/search/?api=1&amp;query=43.6670879,-7.5918153", "https://www.google.com/maps/search/?api=1&amp;query=43.6670879,-7.5918153")</f>
      </c>
      <c r="P2783" s="9" t="s">
        <v>1407</v>
      </c>
      <c r="Q2783" s="9" t="s">
        <v>1131</v>
      </c>
    </row>
    <row r="2784" spans="1:17" x14ac:dyDescent="0.25">
      <c r="A2784" s="8" t="s">
        <v>19706</v>
      </c>
      <c r="B2784" s="8" t="s">
        <v>19707</v>
      </c>
      <c r="C2784" s="9" t="s">
        <v>19708</v>
      </c>
      <c r="D2784" s="9" t="s">
        <v>631</v>
      </c>
      <c r="E2784" s="9" t="s">
        <v>9919</v>
      </c>
      <c r="F2784" s="10">
        <v>1.514</v>
      </c>
      <c r="G2784" s="10">
        <v>1.665</v>
      </c>
      <c r="H2784" s="10"/>
      <c r="I2784" s="9" t="s">
        <v>45</v>
      </c>
      <c r="J2784" s="9" t="s">
        <v>19709</v>
      </c>
      <c r="K2784" s="9" t="s">
        <v>19710</v>
      </c>
      <c r="L2784" s="8" t="s">
        <v>9922</v>
      </c>
      <c r="M2784" s="9" t="s">
        <v>36</v>
      </c>
      <c r="N2784" s="9" t="s">
        <v>88</v>
      </c>
      <c r="O2784" s="9">
        <f>HYPERLINK("https://www.google.com/maps/search/?api=1&amp;query=37.66466512,-4.94277275", "https://www.google.com/maps/search/?api=1&amp;query=37.66466512,-4.94277275")</f>
      </c>
      <c r="P2784" s="9" t="s">
        <v>56</v>
      </c>
      <c r="Q2784" s="9" t="s">
        <v>19711</v>
      </c>
    </row>
    <row r="2785" spans="1:17" x14ac:dyDescent="0.25">
      <c r="A2785" s="8" t="s">
        <v>19712</v>
      </c>
      <c r="B2785" s="8" t="s">
        <v>19713</v>
      </c>
      <c r="C2785" s="9" t="s">
        <v>19714</v>
      </c>
      <c r="D2785" s="9" t="s">
        <v>379</v>
      </c>
      <c r="E2785" s="9" t="s">
        <v>19715</v>
      </c>
      <c r="F2785" s="10">
        <v>1.514</v>
      </c>
      <c r="G2785" s="10">
        <v>1.665</v>
      </c>
      <c r="H2785" s="10"/>
      <c r="I2785" s="9" t="s">
        <v>379</v>
      </c>
      <c r="J2785" s="9" t="s">
        <v>19716</v>
      </c>
      <c r="K2785" s="9" t="s">
        <v>19717</v>
      </c>
      <c r="L2785" s="8" t="s">
        <v>19718</v>
      </c>
      <c r="M2785" s="9" t="s">
        <v>36</v>
      </c>
      <c r="N2785" s="9" t="s">
        <v>483</v>
      </c>
      <c r="O2785" s="9">
        <f>HYPERLINK("https://www.google.com/maps/search/?api=1&amp;query=42.61409975,-1.27824242", "https://www.google.com/maps/search/?api=1&amp;query=42.61409975,-1.27824242")</f>
      </c>
      <c r="P2785" s="9" t="s">
        <v>1423</v>
      </c>
      <c r="Q2785" s="9" t="s">
        <v>5645</v>
      </c>
    </row>
    <row r="2786" spans="1:17" x14ac:dyDescent="0.25">
      <c r="A2786" s="8" t="s">
        <v>19719</v>
      </c>
      <c r="B2786" s="8" t="s">
        <v>19720</v>
      </c>
      <c r="C2786" s="9" t="s">
        <v>19721</v>
      </c>
      <c r="D2786" s="9" t="s">
        <v>1434</v>
      </c>
      <c r="E2786" s="9" t="s">
        <v>19722</v>
      </c>
      <c r="F2786" s="10">
        <v>1.514</v>
      </c>
      <c r="G2786" s="10">
        <v>1.665</v>
      </c>
      <c r="H2786" s="10"/>
      <c r="I2786" s="9" t="s">
        <v>1434</v>
      </c>
      <c r="J2786" s="9" t="s">
        <v>19723</v>
      </c>
      <c r="K2786" s="9" t="s">
        <v>19724</v>
      </c>
      <c r="L2786" s="8" t="s">
        <v>19725</v>
      </c>
      <c r="M2786" s="9" t="s">
        <v>36</v>
      </c>
      <c r="N2786" s="9" t="s">
        <v>88</v>
      </c>
      <c r="O2786" s="9">
        <f>HYPERLINK("https://www.google.com/maps/search/?api=1&amp;query=42.35031729,-2.49791183", "https://www.google.com/maps/search/?api=1&amp;query=42.35031729,-2.49791183")</f>
      </c>
      <c r="P2786" s="9" t="s">
        <v>1423</v>
      </c>
      <c r="Q2786" s="9" t="s">
        <v>3744</v>
      </c>
    </row>
    <row r="2787" spans="1:17" x14ac:dyDescent="0.25">
      <c r="A2787" s="8" t="s">
        <v>19726</v>
      </c>
      <c r="B2787" s="8" t="s">
        <v>19727</v>
      </c>
      <c r="C2787" s="9" t="s">
        <v>19728</v>
      </c>
      <c r="D2787" s="9" t="s">
        <v>2288</v>
      </c>
      <c r="E2787" s="9" t="s">
        <v>19729</v>
      </c>
      <c r="F2787" s="10">
        <v>1.514</v>
      </c>
      <c r="G2787" s="10">
        <v>1.665</v>
      </c>
      <c r="H2787" s="10"/>
      <c r="I2787" s="9" t="s">
        <v>168</v>
      </c>
      <c r="J2787" s="9" t="s">
        <v>19730</v>
      </c>
      <c r="K2787" s="9" t="s">
        <v>19731</v>
      </c>
      <c r="L2787" s="8" t="s">
        <v>19732</v>
      </c>
      <c r="M2787" s="9" t="s">
        <v>49</v>
      </c>
      <c r="N2787" s="9" t="s">
        <v>37</v>
      </c>
      <c r="O2787" s="9">
        <f>HYPERLINK("https://www.google.com/maps/search/?api=1&amp;query=38.60222252,-1.68119424", "https://www.google.com/maps/search/?api=1&amp;query=38.60222252,-1.68119424")</f>
      </c>
      <c r="P2787" s="9" t="s">
        <v>19733</v>
      </c>
      <c r="Q2787" s="9" t="s">
        <v>19734</v>
      </c>
    </row>
    <row r="2788" spans="1:17" x14ac:dyDescent="0.25">
      <c r="A2788" s="8" t="s">
        <v>19735</v>
      </c>
      <c r="B2788" s="8" t="s">
        <v>19736</v>
      </c>
      <c r="C2788" s="9" t="s">
        <v>19737</v>
      </c>
      <c r="D2788" s="9" t="s">
        <v>177</v>
      </c>
      <c r="E2788" s="9" t="s">
        <v>177</v>
      </c>
      <c r="F2788" s="10">
        <v>1.514</v>
      </c>
      <c r="G2788" s="10">
        <v>1.665</v>
      </c>
      <c r="H2788" s="10"/>
      <c r="I2788" s="9" t="s">
        <v>74</v>
      </c>
      <c r="J2788" s="9" t="s">
        <v>19738</v>
      </c>
      <c r="K2788" s="9" t="s">
        <v>19739</v>
      </c>
      <c r="L2788" s="8" t="s">
        <v>2320</v>
      </c>
      <c r="M2788" s="9" t="s">
        <v>49</v>
      </c>
      <c r="N2788" s="9" t="s">
        <v>211</v>
      </c>
      <c r="O2788" s="9">
        <f>HYPERLINK("https://www.google.com/maps/search/?api=1&amp;query=41.66783992,-4.72854907", "https://www.google.com/maps/search/?api=1&amp;query=41.66783992,-4.72854907")</f>
      </c>
      <c r="P2788" s="9" t="s">
        <v>19740</v>
      </c>
      <c r="Q2788" s="9" t="s">
        <v>19741</v>
      </c>
    </row>
    <row r="2789" spans="1:17" x14ac:dyDescent="0.25">
      <c r="A2789" s="8" t="s">
        <v>19742</v>
      </c>
      <c r="B2789" s="8" t="s">
        <v>19743</v>
      </c>
      <c r="C2789" s="9" t="s">
        <v>19744</v>
      </c>
      <c r="D2789" s="9" t="s">
        <v>2050</v>
      </c>
      <c r="E2789" s="9" t="s">
        <v>19745</v>
      </c>
      <c r="F2789" s="10">
        <v>1.514</v>
      </c>
      <c r="G2789" s="10">
        <v>1.665</v>
      </c>
      <c r="H2789" s="10"/>
      <c r="I2789" s="9" t="s">
        <v>140</v>
      </c>
      <c r="J2789" s="9" t="s">
        <v>19746</v>
      </c>
      <c r="K2789" s="9" t="s">
        <v>19747</v>
      </c>
      <c r="L2789" s="8" t="s">
        <v>19748</v>
      </c>
      <c r="M2789" s="9" t="s">
        <v>100</v>
      </c>
      <c r="N2789" s="9" t="s">
        <v>211</v>
      </c>
      <c r="O2789" s="9">
        <f>HYPERLINK("https://www.google.com/maps/search/?api=1&amp;query=42.0354175,-7.9715587", "https://www.google.com/maps/search/?api=1&amp;query=42.0354175,-7.9715587")</f>
      </c>
      <c r="P2789" s="9" t="s">
        <v>992</v>
      </c>
      <c r="Q2789" s="9" t="s">
        <v>8558</v>
      </c>
    </row>
    <row r="2790" spans="1:17" x14ac:dyDescent="0.25">
      <c r="A2790" s="8" t="s">
        <v>19749</v>
      </c>
      <c r="B2790" s="8" t="s">
        <v>19750</v>
      </c>
      <c r="C2790" s="9" t="s">
        <v>19751</v>
      </c>
      <c r="D2790" s="9" t="s">
        <v>128</v>
      </c>
      <c r="E2790" s="9" t="s">
        <v>19752</v>
      </c>
      <c r="F2790" s="10">
        <v>1.514</v>
      </c>
      <c r="G2790" s="10">
        <v>1.665</v>
      </c>
      <c r="H2790" s="10"/>
      <c r="I2790" s="9" t="s">
        <v>45</v>
      </c>
      <c r="J2790" s="9" t="s">
        <v>19753</v>
      </c>
      <c r="K2790" s="9" t="s">
        <v>19754</v>
      </c>
      <c r="L2790" s="8" t="s">
        <v>19755</v>
      </c>
      <c r="M2790" s="9" t="s">
        <v>49</v>
      </c>
      <c r="N2790" s="9" t="s">
        <v>88</v>
      </c>
      <c r="O2790" s="9">
        <f>HYPERLINK("https://www.google.com/maps/search/?api=1&amp;query=36.46423253,-5.4182543", "https://www.google.com/maps/search/?api=1&amp;query=36.46423253,-5.4182543")</f>
      </c>
      <c r="P2790" s="9" t="s">
        <v>13579</v>
      </c>
      <c r="Q2790" s="9" t="s">
        <v>8878</v>
      </c>
    </row>
    <row r="2791" spans="1:17" x14ac:dyDescent="0.25">
      <c r="A2791" s="8" t="s">
        <v>19756</v>
      </c>
      <c r="B2791" s="8" t="s">
        <v>19757</v>
      </c>
      <c r="C2791" s="9" t="s">
        <v>19758</v>
      </c>
      <c r="D2791" s="9" t="s">
        <v>398</v>
      </c>
      <c r="E2791" s="9" t="s">
        <v>12794</v>
      </c>
      <c r="F2791" s="10">
        <v>1.514</v>
      </c>
      <c r="G2791" s="10">
        <v>1.665</v>
      </c>
      <c r="H2791" s="10"/>
      <c r="I2791" s="9" t="s">
        <v>400</v>
      </c>
      <c r="J2791" s="9" t="s">
        <v>19759</v>
      </c>
      <c r="K2791" s="9" t="s">
        <v>19760</v>
      </c>
      <c r="L2791" s="8" t="s">
        <v>12797</v>
      </c>
      <c r="M2791" s="9" t="s">
        <v>36</v>
      </c>
      <c r="N2791" s="9" t="s">
        <v>2640</v>
      </c>
      <c r="O2791" s="9">
        <f>HYPERLINK("https://www.google.com/maps/search/?api=1&amp;query=38.45024357,-0.37481964", "https://www.google.com/maps/search/?api=1&amp;query=38.45024357,-0.37481964")</f>
      </c>
      <c r="P2791" s="9" t="s">
        <v>3134</v>
      </c>
      <c r="Q2791" s="9" t="s">
        <v>618</v>
      </c>
    </row>
    <row r="2792" spans="1:17" x14ac:dyDescent="0.25">
      <c r="A2792" s="8" t="s">
        <v>19761</v>
      </c>
      <c r="B2792" s="8" t="s">
        <v>19762</v>
      </c>
      <c r="C2792" s="9" t="s">
        <v>19763</v>
      </c>
      <c r="D2792" s="9" t="s">
        <v>217</v>
      </c>
      <c r="E2792" s="9" t="s">
        <v>8570</v>
      </c>
      <c r="F2792" s="10">
        <v>1.514</v>
      </c>
      <c r="G2792" s="10">
        <v>1.665</v>
      </c>
      <c r="H2792" s="10"/>
      <c r="I2792" s="9" t="s">
        <v>45</v>
      </c>
      <c r="J2792" s="9" t="s">
        <v>19764</v>
      </c>
      <c r="K2792" s="9" t="s">
        <v>19765</v>
      </c>
      <c r="L2792" s="8" t="s">
        <v>8573</v>
      </c>
      <c r="M2792" s="9" t="s">
        <v>49</v>
      </c>
      <c r="N2792" s="9" t="s">
        <v>37</v>
      </c>
      <c r="O2792" s="9">
        <f>HYPERLINK("https://www.google.com/maps/search/?api=1&amp;query=36.71980789,-4.53365003", "https://www.google.com/maps/search/?api=1&amp;query=36.71980789,-4.53365003")</f>
      </c>
      <c r="P2792" s="9" t="s">
        <v>19766</v>
      </c>
      <c r="Q2792" s="9" t="s">
        <v>7618</v>
      </c>
    </row>
    <row r="2793" spans="1:17" x14ac:dyDescent="0.25">
      <c r="A2793" s="8" t="s">
        <v>19767</v>
      </c>
      <c r="B2793" s="8" t="s">
        <v>19768</v>
      </c>
      <c r="C2793" s="9" t="s">
        <v>19769</v>
      </c>
      <c r="D2793" s="9" t="s">
        <v>83</v>
      </c>
      <c r="E2793" s="9" t="s">
        <v>19770</v>
      </c>
      <c r="F2793" s="10">
        <v>1.514</v>
      </c>
      <c r="G2793" s="10">
        <v>1.665</v>
      </c>
      <c r="H2793" s="10"/>
      <c r="I2793" s="9" t="s">
        <v>83</v>
      </c>
      <c r="J2793" s="9" t="s">
        <v>19771</v>
      </c>
      <c r="K2793" s="9" t="s">
        <v>19772</v>
      </c>
      <c r="L2793" s="8" t="s">
        <v>19773</v>
      </c>
      <c r="M2793" s="9" t="s">
        <v>49</v>
      </c>
      <c r="N2793" s="9" t="s">
        <v>19774</v>
      </c>
      <c r="O2793" s="9">
        <f>HYPERLINK("https://www.google.com/maps/search/?api=1&amp;query=40.73311639,-4.06754146", "https://www.google.com/maps/search/?api=1&amp;query=40.73311639,-4.06754146")</f>
      </c>
      <c r="P2793" s="9" t="s">
        <v>11564</v>
      </c>
      <c r="Q2793" s="9" t="s">
        <v>1204</v>
      </c>
    </row>
    <row r="2794" spans="1:17" x14ac:dyDescent="0.25">
      <c r="A2794" s="8" t="s">
        <v>19775</v>
      </c>
      <c r="B2794" s="8" t="s">
        <v>19776</v>
      </c>
      <c r="C2794" s="9" t="s">
        <v>19777</v>
      </c>
      <c r="D2794" s="9" t="s">
        <v>155</v>
      </c>
      <c r="E2794" s="9" t="s">
        <v>19778</v>
      </c>
      <c r="F2794" s="10">
        <v>1.514</v>
      </c>
      <c r="G2794" s="10">
        <v>1.665</v>
      </c>
      <c r="H2794" s="10"/>
      <c r="I2794" s="9" t="s">
        <v>157</v>
      </c>
      <c r="J2794" s="9" t="s">
        <v>19779</v>
      </c>
      <c r="K2794" s="9" t="s">
        <v>19780</v>
      </c>
      <c r="L2794" s="8" t="s">
        <v>19781</v>
      </c>
      <c r="M2794" s="9" t="s">
        <v>36</v>
      </c>
      <c r="N2794" s="9" t="s">
        <v>1695</v>
      </c>
      <c r="O2794" s="9">
        <f>HYPERLINK("https://www.google.com/maps/search/?api=1&amp;query=39.8205219,3.11490683", "https://www.google.com/maps/search/?api=1&amp;query=39.8205219,3.11490683")</f>
      </c>
      <c r="P2794" s="9" t="s">
        <v>1250</v>
      </c>
      <c r="Q2794" s="9" t="s">
        <v>19782</v>
      </c>
    </row>
    <row r="2795" spans="1:17" x14ac:dyDescent="0.25">
      <c r="A2795" s="8" t="s">
        <v>19783</v>
      </c>
      <c r="B2795" s="8" t="s">
        <v>19784</v>
      </c>
      <c r="C2795" s="9" t="s">
        <v>19785</v>
      </c>
      <c r="D2795" s="9" t="s">
        <v>61</v>
      </c>
      <c r="E2795" s="9" t="s">
        <v>19786</v>
      </c>
      <c r="F2795" s="10">
        <v>1.514</v>
      </c>
      <c r="G2795" s="10">
        <v>1.665</v>
      </c>
      <c r="H2795" s="10"/>
      <c r="I2795" s="9" t="s">
        <v>45</v>
      </c>
      <c r="J2795" s="9" t="s">
        <v>19787</v>
      </c>
      <c r="K2795" s="9" t="s">
        <v>19788</v>
      </c>
      <c r="L2795" s="8" t="s">
        <v>19789</v>
      </c>
      <c r="M2795" s="9" t="s">
        <v>49</v>
      </c>
      <c r="N2795" s="9" t="s">
        <v>1695</v>
      </c>
      <c r="O2795" s="9">
        <f>HYPERLINK("https://www.google.com/maps/search/?api=1&amp;query=37.22873185,-4.89334671", "https://www.google.com/maps/search/?api=1&amp;query=37.22873185,-4.89334671")</f>
      </c>
      <c r="P2795" s="9" t="s">
        <v>16374</v>
      </c>
      <c r="Q2795" s="9" t="s">
        <v>5091</v>
      </c>
    </row>
    <row r="2796" spans="1:17" x14ac:dyDescent="0.25">
      <c r="A2796" s="8" t="s">
        <v>19790</v>
      </c>
      <c r="B2796" s="8" t="s">
        <v>19791</v>
      </c>
      <c r="C2796" s="9" t="s">
        <v>19792</v>
      </c>
      <c r="D2796" s="9" t="s">
        <v>379</v>
      </c>
      <c r="E2796" s="9" t="s">
        <v>19793</v>
      </c>
      <c r="F2796" s="10">
        <v>1.514</v>
      </c>
      <c r="G2796" s="10">
        <v>1.665</v>
      </c>
      <c r="H2796" s="10"/>
      <c r="I2796" s="9" t="s">
        <v>379</v>
      </c>
      <c r="J2796" s="9" t="s">
        <v>19794</v>
      </c>
      <c r="K2796" s="9" t="s">
        <v>19795</v>
      </c>
      <c r="L2796" s="8" t="s">
        <v>19796</v>
      </c>
      <c r="M2796" s="9" t="s">
        <v>49</v>
      </c>
      <c r="N2796" s="9" t="s">
        <v>7163</v>
      </c>
      <c r="O2796" s="9">
        <f>HYPERLINK("https://www.google.com/maps/search/?api=1&amp;query=42.4504542,-2.2108364", "https://www.google.com/maps/search/?api=1&amp;query=42.4504542,-2.2108364")</f>
      </c>
      <c r="P2796" s="9" t="s">
        <v>493</v>
      </c>
      <c r="Q2796" s="9" t="s">
        <v>19797</v>
      </c>
    </row>
    <row r="2797" spans="1:17" x14ac:dyDescent="0.25">
      <c r="A2797" s="8" t="s">
        <v>19798</v>
      </c>
      <c r="B2797" s="8" t="s">
        <v>19799</v>
      </c>
      <c r="C2797" s="9" t="s">
        <v>19800</v>
      </c>
      <c r="D2797" s="9" t="s">
        <v>631</v>
      </c>
      <c r="E2797" s="9" t="s">
        <v>19801</v>
      </c>
      <c r="F2797" s="10">
        <v>1.514</v>
      </c>
      <c r="G2797" s="10">
        <v>1.665</v>
      </c>
      <c r="H2797" s="10"/>
      <c r="I2797" s="9" t="s">
        <v>45</v>
      </c>
      <c r="J2797" s="9" t="s">
        <v>19802</v>
      </c>
      <c r="K2797" s="9" t="s">
        <v>19803</v>
      </c>
      <c r="L2797" s="8" t="s">
        <v>19804</v>
      </c>
      <c r="M2797" s="9" t="s">
        <v>36</v>
      </c>
      <c r="N2797" s="9" t="s">
        <v>37</v>
      </c>
      <c r="O2797" s="9">
        <f>HYPERLINK("https://www.google.com/maps/search/?api=1&amp;query=37.845194,-4.877972", "https://www.google.com/maps/search/?api=1&amp;query=37.845194,-4.877972")</f>
      </c>
      <c r="P2797" s="9" t="s">
        <v>10610</v>
      </c>
      <c r="Q2797" s="9" t="s">
        <v>9073</v>
      </c>
    </row>
    <row r="2798" spans="1:17" x14ac:dyDescent="0.25">
      <c r="A2798" s="8" t="s">
        <v>19805</v>
      </c>
      <c r="B2798" s="8" t="s">
        <v>19806</v>
      </c>
      <c r="C2798" s="9" t="s">
        <v>19807</v>
      </c>
      <c r="D2798" s="9" t="s">
        <v>409</v>
      </c>
      <c r="E2798" s="9" t="s">
        <v>19808</v>
      </c>
      <c r="F2798" s="10">
        <v>1.514</v>
      </c>
      <c r="G2798" s="10">
        <v>1.665</v>
      </c>
      <c r="H2798" s="10"/>
      <c r="I2798" s="9" t="s">
        <v>292</v>
      </c>
      <c r="J2798" s="9" t="s">
        <v>19809</v>
      </c>
      <c r="K2798" s="9" t="s">
        <v>19810</v>
      </c>
      <c r="L2798" s="8" t="s">
        <v>19811</v>
      </c>
      <c r="M2798" s="9" t="s">
        <v>49</v>
      </c>
      <c r="N2798" s="9" t="s">
        <v>8274</v>
      </c>
      <c r="O2798" s="9">
        <f>HYPERLINK("https://www.google.com/maps/search/?api=1&amp;query=41.28612458,-0.32351073", "https://www.google.com/maps/search/?api=1&amp;query=41.28612458,-0.32351073")</f>
      </c>
      <c r="P2798" s="9" t="s">
        <v>12730</v>
      </c>
      <c r="Q2798" s="9" t="s">
        <v>19812</v>
      </c>
    </row>
    <row r="2799" spans="1:17" x14ac:dyDescent="0.25">
      <c r="A2799" s="8" t="s">
        <v>19813</v>
      </c>
      <c r="B2799" s="8" t="s">
        <v>19814</v>
      </c>
      <c r="C2799" s="9" t="s">
        <v>19815</v>
      </c>
      <c r="D2799" s="9" t="s">
        <v>177</v>
      </c>
      <c r="E2799" s="9" t="s">
        <v>19816</v>
      </c>
      <c r="F2799" s="10">
        <v>1.514</v>
      </c>
      <c r="G2799" s="10">
        <v>1.665</v>
      </c>
      <c r="H2799" s="10"/>
      <c r="I2799" s="9" t="s">
        <v>74</v>
      </c>
      <c r="J2799" s="9" t="s">
        <v>19817</v>
      </c>
      <c r="K2799" s="9" t="s">
        <v>19818</v>
      </c>
      <c r="L2799" s="8" t="s">
        <v>19819</v>
      </c>
      <c r="M2799" s="9" t="s">
        <v>36</v>
      </c>
      <c r="N2799" s="9" t="s">
        <v>19820</v>
      </c>
      <c r="O2799" s="9">
        <f>HYPERLINK("https://www.google.com/maps/search/?api=1&amp;query=41.22066154,-4.84821918", "https://www.google.com/maps/search/?api=1&amp;query=41.22066154,-4.84821918")</f>
      </c>
      <c r="P2799" s="9" t="s">
        <v>144</v>
      </c>
      <c r="Q2799" s="9" t="s">
        <v>3202</v>
      </c>
    </row>
    <row r="2800" spans="1:17" x14ac:dyDescent="0.25">
      <c r="A2800" s="8" t="s">
        <v>19821</v>
      </c>
      <c r="B2800" s="8" t="s">
        <v>19822</v>
      </c>
      <c r="C2800" s="9" t="s">
        <v>19823</v>
      </c>
      <c r="D2800" s="9" t="s">
        <v>409</v>
      </c>
      <c r="E2800" s="9" t="s">
        <v>19824</v>
      </c>
      <c r="F2800" s="10">
        <v>1.514</v>
      </c>
      <c r="G2800" s="10">
        <v>1.665</v>
      </c>
      <c r="H2800" s="10"/>
      <c r="I2800" s="9" t="s">
        <v>292</v>
      </c>
      <c r="J2800" s="9" t="s">
        <v>19825</v>
      </c>
      <c r="K2800" s="9" t="s">
        <v>19826</v>
      </c>
      <c r="L2800" s="8" t="s">
        <v>19827</v>
      </c>
      <c r="M2800" s="9" t="s">
        <v>36</v>
      </c>
      <c r="N2800" s="9" t="s">
        <v>122</v>
      </c>
      <c r="O2800" s="9">
        <f>HYPERLINK("https://www.google.com/maps/search/?api=1&amp;query=41.30965952,-0.74244763", "https://www.google.com/maps/search/?api=1&amp;query=41.30965952,-0.74244763")</f>
      </c>
      <c r="P2800" s="9" t="s">
        <v>3165</v>
      </c>
      <c r="Q2800" s="9" t="s">
        <v>19828</v>
      </c>
    </row>
    <row r="2801" spans="1:17" x14ac:dyDescent="0.25">
      <c r="A2801" s="8" t="s">
        <v>19829</v>
      </c>
      <c r="B2801" s="8" t="s">
        <v>19830</v>
      </c>
      <c r="C2801" s="9" t="s">
        <v>19831</v>
      </c>
      <c r="D2801" s="9" t="s">
        <v>400</v>
      </c>
      <c r="E2801" s="9" t="s">
        <v>400</v>
      </c>
      <c r="F2801" s="10">
        <v>1.514</v>
      </c>
      <c r="G2801" s="10">
        <v>1.665</v>
      </c>
      <c r="H2801" s="10"/>
      <c r="I2801" s="9" t="s">
        <v>400</v>
      </c>
      <c r="J2801" s="9" t="s">
        <v>19832</v>
      </c>
      <c r="K2801" s="9" t="s">
        <v>19833</v>
      </c>
      <c r="L2801" s="8" t="s">
        <v>19834</v>
      </c>
      <c r="M2801" s="9" t="s">
        <v>49</v>
      </c>
      <c r="N2801" s="9" t="s">
        <v>88</v>
      </c>
      <c r="O2801" s="9">
        <f>HYPERLINK("https://www.google.com/maps/search/?api=1&amp;query=39.49261449,-0.37389748", "https://www.google.com/maps/search/?api=1&amp;query=39.49261449,-0.37389748")</f>
      </c>
      <c r="P2801" s="9" t="s">
        <v>7737</v>
      </c>
      <c r="Q2801" s="9" t="s">
        <v>112</v>
      </c>
    </row>
    <row r="2802" spans="1:17" x14ac:dyDescent="0.25">
      <c r="A2802" s="8" t="s">
        <v>19835</v>
      </c>
      <c r="B2802" s="8" t="s">
        <v>19836</v>
      </c>
      <c r="C2802" s="9" t="s">
        <v>19837</v>
      </c>
      <c r="D2802" s="9" t="s">
        <v>30</v>
      </c>
      <c r="E2802" s="9" t="s">
        <v>30</v>
      </c>
      <c r="F2802" s="10">
        <v>1.514</v>
      </c>
      <c r="G2802" s="10">
        <v>1.665</v>
      </c>
      <c r="H2802" s="10"/>
      <c r="I2802" s="9" t="s">
        <v>32</v>
      </c>
      <c r="J2802" s="9" t="s">
        <v>19838</v>
      </c>
      <c r="K2802" s="9" t="s">
        <v>19839</v>
      </c>
      <c r="L2802" s="8" t="s">
        <v>19840</v>
      </c>
      <c r="M2802" s="9" t="s">
        <v>49</v>
      </c>
      <c r="N2802" s="9" t="s">
        <v>211</v>
      </c>
      <c r="O2802" s="9">
        <f>HYPERLINK("https://www.google.com/maps/search/?api=1&amp;query=38.87871424,-6.96209612", "https://www.google.com/maps/search/?api=1&amp;query=38.87871424,-6.96209612")</f>
      </c>
      <c r="P2802" s="9" t="s">
        <v>521</v>
      </c>
      <c r="Q2802" s="9" t="s">
        <v>5645</v>
      </c>
    </row>
    <row r="2803" spans="1:17" x14ac:dyDescent="0.25">
      <c r="A2803" s="8" t="s">
        <v>19841</v>
      </c>
      <c r="B2803" s="8" t="s">
        <v>19842</v>
      </c>
      <c r="C2803" s="9" t="s">
        <v>19843</v>
      </c>
      <c r="D2803" s="9" t="s">
        <v>43</v>
      </c>
      <c r="E2803" s="9" t="s">
        <v>19844</v>
      </c>
      <c r="F2803" s="10">
        <v>1.514</v>
      </c>
      <c r="G2803" s="10">
        <v>1.665</v>
      </c>
      <c r="H2803" s="10"/>
      <c r="I2803" s="9" t="s">
        <v>45</v>
      </c>
      <c r="J2803" s="9" t="s">
        <v>19845</v>
      </c>
      <c r="K2803" s="9" t="s">
        <v>19846</v>
      </c>
      <c r="L2803" s="8" t="s">
        <v>19847</v>
      </c>
      <c r="M2803" s="9" t="s">
        <v>36</v>
      </c>
      <c r="N2803" s="9" t="s">
        <v>1719</v>
      </c>
      <c r="O2803" s="9">
        <f>HYPERLINK("https://www.google.com/maps/search/?api=1&amp;query=37.36335313,-6.96134288", "https://www.google.com/maps/search/?api=1&amp;query=37.36335313,-6.96134288")</f>
      </c>
      <c r="P2803" s="9" t="s">
        <v>12807</v>
      </c>
      <c r="Q2803" s="9" t="s">
        <v>19848</v>
      </c>
    </row>
    <row r="2804" spans="1:17" x14ac:dyDescent="0.25">
      <c r="A2804" s="8" t="s">
        <v>19849</v>
      </c>
      <c r="B2804" s="8" t="s">
        <v>19850</v>
      </c>
      <c r="C2804" s="9" t="s">
        <v>19851</v>
      </c>
      <c r="D2804" s="9" t="s">
        <v>290</v>
      </c>
      <c r="E2804" s="9" t="s">
        <v>19852</v>
      </c>
      <c r="F2804" s="10">
        <v>1.514</v>
      </c>
      <c r="G2804" s="10">
        <v>1.665</v>
      </c>
      <c r="H2804" s="10"/>
      <c r="I2804" s="9" t="s">
        <v>292</v>
      </c>
      <c r="J2804" s="9" t="s">
        <v>19853</v>
      </c>
      <c r="K2804" s="9" t="s">
        <v>19854</v>
      </c>
      <c r="L2804" s="8" t="s">
        <v>19855</v>
      </c>
      <c r="M2804" s="9" t="s">
        <v>49</v>
      </c>
      <c r="N2804" s="9" t="s">
        <v>14859</v>
      </c>
      <c r="O2804" s="9">
        <f>HYPERLINK("https://www.google.com/maps/search/?api=1&amp;query=40.8314615,-0.24028007", "https://www.google.com/maps/search/?api=1&amp;query=40.8314615,-0.24028007")</f>
      </c>
      <c r="P2804" s="9" t="s">
        <v>8692</v>
      </c>
      <c r="Q2804" s="9" t="s">
        <v>14072</v>
      </c>
    </row>
    <row r="2805" spans="1:17" x14ac:dyDescent="0.25">
      <c r="A2805" s="8" t="s">
        <v>19856</v>
      </c>
      <c r="B2805" s="8" t="s">
        <v>19857</v>
      </c>
      <c r="C2805" s="9" t="s">
        <v>19858</v>
      </c>
      <c r="D2805" s="9" t="s">
        <v>30</v>
      </c>
      <c r="E2805" s="9" t="s">
        <v>19859</v>
      </c>
      <c r="F2805" s="10">
        <v>1.514</v>
      </c>
      <c r="G2805" s="10">
        <v>1.665</v>
      </c>
      <c r="H2805" s="10"/>
      <c r="I2805" s="9" t="s">
        <v>32</v>
      </c>
      <c r="J2805" s="9" t="s">
        <v>19860</v>
      </c>
      <c r="K2805" s="9" t="s">
        <v>19861</v>
      </c>
      <c r="L2805" s="8" t="s">
        <v>16132</v>
      </c>
      <c r="M2805" s="9" t="s">
        <v>36</v>
      </c>
      <c r="N2805" s="9" t="s">
        <v>88</v>
      </c>
      <c r="O2805" s="9">
        <f>HYPERLINK("https://www.google.com/maps/search/?api=1&amp;query=38.64053316,-6.48714767", "https://www.google.com/maps/search/?api=1&amp;query=38.64053316,-6.48714767")</f>
      </c>
      <c r="P2805" s="9" t="s">
        <v>1803</v>
      </c>
      <c r="Q2805" s="9" t="s">
        <v>2641</v>
      </c>
    </row>
    <row r="2806" spans="1:17" x14ac:dyDescent="0.25">
      <c r="A2806" s="8" t="s">
        <v>19862</v>
      </c>
      <c r="B2806" s="8" t="s">
        <v>19863</v>
      </c>
      <c r="C2806" s="9" t="s">
        <v>19864</v>
      </c>
      <c r="D2806" s="9" t="s">
        <v>892</v>
      </c>
      <c r="E2806" s="9" t="s">
        <v>19865</v>
      </c>
      <c r="F2806" s="10">
        <v>1.514</v>
      </c>
      <c r="G2806" s="10">
        <v>1.665</v>
      </c>
      <c r="H2806" s="10"/>
      <c r="I2806" s="9" t="s">
        <v>32</v>
      </c>
      <c r="J2806" s="9" t="s">
        <v>19866</v>
      </c>
      <c r="K2806" s="9" t="s">
        <v>19867</v>
      </c>
      <c r="L2806" s="8" t="s">
        <v>18721</v>
      </c>
      <c r="M2806" s="9" t="s">
        <v>49</v>
      </c>
      <c r="N2806" s="9" t="s">
        <v>211</v>
      </c>
      <c r="O2806" s="9">
        <f>HYPERLINK("https://www.google.com/maps/search/?api=1&amp;query=39.34645005,-7.29828273", "https://www.google.com/maps/search/?api=1&amp;query=39.34645005,-7.29828273")</f>
      </c>
      <c r="P2806" s="9" t="s">
        <v>11881</v>
      </c>
      <c r="Q2806" s="9" t="s">
        <v>19868</v>
      </c>
    </row>
    <row r="2807" spans="1:17" x14ac:dyDescent="0.25">
      <c r="A2807" s="8" t="s">
        <v>19869</v>
      </c>
      <c r="B2807" s="8" t="s">
        <v>19870</v>
      </c>
      <c r="C2807" s="9" t="s">
        <v>19871</v>
      </c>
      <c r="D2807" s="9" t="s">
        <v>1483</v>
      </c>
      <c r="E2807" s="9" t="s">
        <v>19872</v>
      </c>
      <c r="F2807" s="10">
        <v>1.514</v>
      </c>
      <c r="G2807" s="10">
        <v>1.665</v>
      </c>
      <c r="H2807" s="10"/>
      <c r="I2807" s="9" t="s">
        <v>74</v>
      </c>
      <c r="J2807" s="9" t="s">
        <v>19873</v>
      </c>
      <c r="K2807" s="9" t="s">
        <v>19874</v>
      </c>
      <c r="L2807" s="8" t="s">
        <v>19875</v>
      </c>
      <c r="M2807" s="9" t="s">
        <v>49</v>
      </c>
      <c r="N2807" s="9" t="s">
        <v>7681</v>
      </c>
      <c r="O2807" s="9">
        <f>HYPERLINK("https://www.google.com/maps/search/?api=1&amp;query=41.78167389,-3.92980352", "https://www.google.com/maps/search/?api=1&amp;query=41.78167389,-3.92980352")</f>
      </c>
      <c r="P2807" s="9" t="s">
        <v>1373</v>
      </c>
      <c r="Q2807" s="9" t="s">
        <v>1534</v>
      </c>
    </row>
    <row r="2808" spans="1:17" x14ac:dyDescent="0.25">
      <c r="A2808" s="8" t="s">
        <v>19876</v>
      </c>
      <c r="B2808" s="8" t="s">
        <v>19877</v>
      </c>
      <c r="C2808" s="9" t="s">
        <v>19878</v>
      </c>
      <c r="D2808" s="9" t="s">
        <v>1192</v>
      </c>
      <c r="E2808" s="9" t="s">
        <v>19879</v>
      </c>
      <c r="F2808" s="10">
        <v>1.514</v>
      </c>
      <c r="G2808" s="10">
        <v>1.665</v>
      </c>
      <c r="H2808" s="10"/>
      <c r="I2808" s="9" t="s">
        <v>168</v>
      </c>
      <c r="J2808" s="9" t="s">
        <v>19880</v>
      </c>
      <c r="K2808" s="9" t="s">
        <v>19881</v>
      </c>
      <c r="L2808" s="8" t="s">
        <v>19882</v>
      </c>
      <c r="M2808" s="9" t="s">
        <v>100</v>
      </c>
      <c r="N2808" s="9" t="s">
        <v>19883</v>
      </c>
      <c r="O2808" s="9">
        <f>HYPERLINK("https://www.google.com/maps/search/?api=1&amp;query=39.23042812,-3.41920504", "https://www.google.com/maps/search/?api=1&amp;query=39.23042812,-3.41920504")</f>
      </c>
      <c r="P2808" s="9" t="s">
        <v>19884</v>
      </c>
      <c r="Q2808" s="9" t="s">
        <v>618</v>
      </c>
    </row>
    <row r="2809" spans="1:17" x14ac:dyDescent="0.25">
      <c r="A2809" s="8" t="s">
        <v>19885</v>
      </c>
      <c r="B2809" s="8" t="s">
        <v>19886</v>
      </c>
      <c r="C2809" s="9" t="s">
        <v>19887</v>
      </c>
      <c r="D2809" s="9" t="s">
        <v>138</v>
      </c>
      <c r="E2809" s="9" t="s">
        <v>19888</v>
      </c>
      <c r="F2809" s="10">
        <v>1.514</v>
      </c>
      <c r="G2809" s="10">
        <v>1.665</v>
      </c>
      <c r="H2809" s="10"/>
      <c r="I2809" s="9" t="s">
        <v>140</v>
      </c>
      <c r="J2809" s="9" t="s">
        <v>19889</v>
      </c>
      <c r="K2809" s="9" t="s">
        <v>19890</v>
      </c>
      <c r="L2809" s="8" t="s">
        <v>19891</v>
      </c>
      <c r="M2809" s="9" t="s">
        <v>49</v>
      </c>
      <c r="N2809" s="9" t="s">
        <v>37</v>
      </c>
      <c r="O2809" s="9">
        <f>HYPERLINK("https://www.google.com/maps/search/?api=1&amp;query=42.41550596,-8.81230945", "https://www.google.com/maps/search/?api=1&amp;query=42.41550596,-8.81230945")</f>
      </c>
      <c r="P2809" s="9" t="s">
        <v>1678</v>
      </c>
      <c r="Q2809" s="9" t="s">
        <v>19892</v>
      </c>
    </row>
    <row r="2810" spans="1:17" x14ac:dyDescent="0.25">
      <c r="A2810" s="8" t="s">
        <v>19893</v>
      </c>
      <c r="B2810" s="8" t="s">
        <v>19894</v>
      </c>
      <c r="C2810" s="9" t="s">
        <v>19895</v>
      </c>
      <c r="D2810" s="9" t="s">
        <v>2050</v>
      </c>
      <c r="E2810" s="9" t="s">
        <v>19896</v>
      </c>
      <c r="F2810" s="10">
        <v>1.514</v>
      </c>
      <c r="G2810" s="10">
        <v>1.665</v>
      </c>
      <c r="H2810" s="10"/>
      <c r="I2810" s="9" t="s">
        <v>140</v>
      </c>
      <c r="J2810" s="9" t="s">
        <v>19897</v>
      </c>
      <c r="K2810" s="9" t="s">
        <v>19898</v>
      </c>
      <c r="L2810" s="8" t="s">
        <v>19899</v>
      </c>
      <c r="M2810" s="9" t="s">
        <v>49</v>
      </c>
      <c r="N2810" s="9" t="s">
        <v>3234</v>
      </c>
      <c r="O2810" s="9">
        <f>HYPERLINK("https://www.google.com/maps/search/?api=1&amp;query=42.37441698,-8.24601188", "https://www.google.com/maps/search/?api=1&amp;query=42.37441698,-8.24601188")</f>
      </c>
      <c r="P2810" s="9" t="s">
        <v>19476</v>
      </c>
      <c r="Q2810" s="9" t="s">
        <v>14072</v>
      </c>
    </row>
    <row r="2811" spans="1:17" x14ac:dyDescent="0.25">
      <c r="A2811" s="8" t="s">
        <v>19900</v>
      </c>
      <c r="B2811" s="8" t="s">
        <v>19901</v>
      </c>
      <c r="C2811" s="9" t="s">
        <v>19902</v>
      </c>
      <c r="D2811" s="9" t="s">
        <v>2050</v>
      </c>
      <c r="E2811" s="9" t="s">
        <v>19903</v>
      </c>
      <c r="F2811" s="10">
        <v>1.514</v>
      </c>
      <c r="G2811" s="10">
        <v>1.665</v>
      </c>
      <c r="H2811" s="10"/>
      <c r="I2811" s="9" t="s">
        <v>140</v>
      </c>
      <c r="J2811" s="9" t="s">
        <v>19904</v>
      </c>
      <c r="K2811" s="9" t="s">
        <v>19905</v>
      </c>
      <c r="L2811" s="8" t="s">
        <v>19906</v>
      </c>
      <c r="M2811" s="9" t="s">
        <v>36</v>
      </c>
      <c r="N2811" s="9" t="s">
        <v>3164</v>
      </c>
      <c r="O2811" s="9">
        <f>HYPERLINK("https://www.google.com/maps/search/?api=1&amp;query=42.35129366,-7.89478832", "https://www.google.com/maps/search/?api=1&amp;query=42.35129366,-7.89478832")</f>
      </c>
      <c r="P2811" s="9" t="s">
        <v>3729</v>
      </c>
      <c r="Q2811" s="9" t="s">
        <v>19907</v>
      </c>
    </row>
    <row r="2812" spans="1:17" x14ac:dyDescent="0.25">
      <c r="A2812" s="8" t="s">
        <v>19908</v>
      </c>
      <c r="B2812" s="8" t="s">
        <v>19909</v>
      </c>
      <c r="C2812" s="9" t="s">
        <v>19910</v>
      </c>
      <c r="D2812" s="9" t="s">
        <v>400</v>
      </c>
      <c r="E2812" s="9" t="s">
        <v>2131</v>
      </c>
      <c r="F2812" s="10">
        <v>1.514</v>
      </c>
      <c r="G2812" s="10">
        <v>1.665</v>
      </c>
      <c r="H2812" s="10"/>
      <c r="I2812" s="9" t="s">
        <v>400</v>
      </c>
      <c r="J2812" s="9" t="s">
        <v>19911</v>
      </c>
      <c r="K2812" s="9" t="s">
        <v>19912</v>
      </c>
      <c r="L2812" s="8" t="s">
        <v>2134</v>
      </c>
      <c r="M2812" s="9" t="s">
        <v>36</v>
      </c>
      <c r="N2812" s="9" t="s">
        <v>88</v>
      </c>
      <c r="O2812" s="9">
        <f>HYPERLINK("https://www.google.com/maps/search/?api=1&amp;query=39.14347245,-0.27815395", "https://www.google.com/maps/search/?api=1&amp;query=39.14347245,-0.27815395")</f>
      </c>
      <c r="P2812" s="9" t="s">
        <v>7657</v>
      </c>
      <c r="Q2812" s="9" t="s">
        <v>19913</v>
      </c>
    </row>
    <row r="2813" spans="1:17" x14ac:dyDescent="0.25">
      <c r="A2813" s="8" t="s">
        <v>19914</v>
      </c>
      <c r="B2813" s="8" t="s">
        <v>19915</v>
      </c>
      <c r="C2813" s="9" t="s">
        <v>19916</v>
      </c>
      <c r="D2813" s="9" t="s">
        <v>197</v>
      </c>
      <c r="E2813" s="9" t="s">
        <v>19917</v>
      </c>
      <c r="F2813" s="10">
        <v>1.514</v>
      </c>
      <c r="G2813" s="10">
        <v>1.665</v>
      </c>
      <c r="H2813" s="10"/>
      <c r="I2813" s="9" t="s">
        <v>168</v>
      </c>
      <c r="J2813" s="9" t="s">
        <v>19918</v>
      </c>
      <c r="K2813" s="9" t="s">
        <v>19919</v>
      </c>
      <c r="L2813" s="8" t="s">
        <v>19920</v>
      </c>
      <c r="M2813" s="9" t="s">
        <v>49</v>
      </c>
      <c r="N2813" s="9" t="s">
        <v>37</v>
      </c>
      <c r="O2813" s="9">
        <f>HYPERLINK("https://www.google.com/maps/search/?api=1&amp;query=39.99265513,-3.96415755", "https://www.google.com/maps/search/?api=1&amp;query=39.99265513,-3.96415755")</f>
      </c>
      <c r="P2813" s="9" t="s">
        <v>1203</v>
      </c>
      <c r="Q2813" s="9" t="s">
        <v>1742</v>
      </c>
    </row>
    <row r="2814" spans="1:17" x14ac:dyDescent="0.25">
      <c r="A2814" s="8" t="s">
        <v>19921</v>
      </c>
      <c r="B2814" s="8" t="s">
        <v>19922</v>
      </c>
      <c r="C2814" s="9" t="s">
        <v>19923</v>
      </c>
      <c r="D2814" s="9" t="s">
        <v>400</v>
      </c>
      <c r="E2814" s="9" t="s">
        <v>15201</v>
      </c>
      <c r="F2814" s="10">
        <v>1.514</v>
      </c>
      <c r="G2814" s="10">
        <v>1.665</v>
      </c>
      <c r="H2814" s="10"/>
      <c r="I2814" s="9" t="s">
        <v>400</v>
      </c>
      <c r="J2814" s="9" t="s">
        <v>19924</v>
      </c>
      <c r="K2814" s="9" t="s">
        <v>19925</v>
      </c>
      <c r="L2814" s="8" t="s">
        <v>15204</v>
      </c>
      <c r="M2814" s="9" t="s">
        <v>100</v>
      </c>
      <c r="N2814" s="9" t="s">
        <v>37</v>
      </c>
      <c r="O2814" s="9">
        <f>HYPERLINK("https://www.google.com/maps/search/?api=1&amp;query=39.65676341,-0.28109052", "https://www.google.com/maps/search/?api=1&amp;query=39.65676341,-0.28109052")</f>
      </c>
      <c r="P2814" s="9" t="s">
        <v>564</v>
      </c>
      <c r="Q2814" s="9" t="s">
        <v>19926</v>
      </c>
    </row>
    <row r="2815" spans="1:17" x14ac:dyDescent="0.25">
      <c r="A2815" s="8" t="s">
        <v>19927</v>
      </c>
      <c r="B2815" s="8" t="s">
        <v>19928</v>
      </c>
      <c r="C2815" s="9" t="s">
        <v>19929</v>
      </c>
      <c r="D2815" s="9" t="s">
        <v>1282</v>
      </c>
      <c r="E2815" s="9" t="s">
        <v>8101</v>
      </c>
      <c r="F2815" s="10">
        <v>1.514</v>
      </c>
      <c r="G2815" s="10">
        <v>1.665</v>
      </c>
      <c r="H2815" s="10"/>
      <c r="I2815" s="9" t="s">
        <v>45</v>
      </c>
      <c r="J2815" s="9" t="s">
        <v>19930</v>
      </c>
      <c r="K2815" s="9" t="s">
        <v>19931</v>
      </c>
      <c r="L2815" s="8" t="s">
        <v>8104</v>
      </c>
      <c r="M2815" s="9" t="s">
        <v>49</v>
      </c>
      <c r="N2815" s="9" t="s">
        <v>37</v>
      </c>
      <c r="O2815" s="9">
        <f>HYPERLINK("https://www.google.com/maps/search/?api=1&amp;query=37.18257523,-3.95274843", "https://www.google.com/maps/search/?api=1&amp;query=37.18257523,-3.95274843")</f>
      </c>
      <c r="P2815" s="9" t="s">
        <v>965</v>
      </c>
      <c r="Q2815" s="9" t="s">
        <v>19932</v>
      </c>
    </row>
    <row r="2816" spans="1:17" x14ac:dyDescent="0.25">
      <c r="A2816" s="8" t="s">
        <v>19933</v>
      </c>
      <c r="B2816" s="8" t="s">
        <v>19934</v>
      </c>
      <c r="C2816" s="9" t="s">
        <v>19935</v>
      </c>
      <c r="D2816" s="9" t="s">
        <v>400</v>
      </c>
      <c r="E2816" s="9" t="s">
        <v>19936</v>
      </c>
      <c r="F2816" s="10">
        <v>1.514</v>
      </c>
      <c r="G2816" s="10">
        <v>1.665</v>
      </c>
      <c r="H2816" s="10"/>
      <c r="I2816" s="9" t="s">
        <v>400</v>
      </c>
      <c r="J2816" s="9" t="s">
        <v>19937</v>
      </c>
      <c r="K2816" s="9" t="s">
        <v>19938</v>
      </c>
      <c r="L2816" s="8" t="s">
        <v>19939</v>
      </c>
      <c r="M2816" s="9" t="s">
        <v>36</v>
      </c>
      <c r="N2816" s="9" t="s">
        <v>19940</v>
      </c>
      <c r="O2816" s="9">
        <f>HYPERLINK("https://www.google.com/maps/search/?api=1&amp;query=39.65166035,-1.40390512", "https://www.google.com/maps/search/?api=1&amp;query=39.65166035,-1.40390512")</f>
      </c>
      <c r="P2816" s="9" t="s">
        <v>1927</v>
      </c>
      <c r="Q2816" s="9" t="s">
        <v>2998</v>
      </c>
    </row>
    <row r="2817" spans="1:17" x14ac:dyDescent="0.25">
      <c r="A2817" s="8" t="s">
        <v>19941</v>
      </c>
      <c r="B2817" s="8" t="s">
        <v>19942</v>
      </c>
      <c r="C2817" s="9" t="s">
        <v>19943</v>
      </c>
      <c r="D2817" s="9" t="s">
        <v>1560</v>
      </c>
      <c r="E2817" s="9" t="s">
        <v>19944</v>
      </c>
      <c r="F2817" s="10">
        <v>1.514</v>
      </c>
      <c r="G2817" s="10">
        <v>1.665</v>
      </c>
      <c r="H2817" s="10"/>
      <c r="I2817" s="9" t="s">
        <v>400</v>
      </c>
      <c r="J2817" s="9" t="s">
        <v>19945</v>
      </c>
      <c r="K2817" s="9" t="s">
        <v>19946</v>
      </c>
      <c r="L2817" s="8" t="s">
        <v>19947</v>
      </c>
      <c r="M2817" s="9" t="s">
        <v>49</v>
      </c>
      <c r="N2817" s="9" t="s">
        <v>1719</v>
      </c>
      <c r="O2817" s="9">
        <f>HYPERLINK("https://www.google.com/maps/search/?api=1&amp;query=40.34258773,-0.00632363", "https://www.google.com/maps/search/?api=1&amp;query=40.34258773,-0.00632363")</f>
      </c>
      <c r="P2817" s="9" t="s">
        <v>8364</v>
      </c>
      <c r="Q2817" s="9" t="s">
        <v>7556</v>
      </c>
    </row>
    <row r="2818" spans="1:17" x14ac:dyDescent="0.25">
      <c r="A2818" s="8" t="s">
        <v>19948</v>
      </c>
      <c r="B2818" s="8" t="s">
        <v>19949</v>
      </c>
      <c r="C2818" s="9" t="s">
        <v>19950</v>
      </c>
      <c r="D2818" s="9" t="s">
        <v>61</v>
      </c>
      <c r="E2818" s="9" t="s">
        <v>3865</v>
      </c>
      <c r="F2818" s="10">
        <v>1.514</v>
      </c>
      <c r="G2818" s="10">
        <v>1.665</v>
      </c>
      <c r="H2818" s="10"/>
      <c r="I2818" s="9" t="s">
        <v>45</v>
      </c>
      <c r="J2818" s="9" t="s">
        <v>19951</v>
      </c>
      <c r="K2818" s="9" t="s">
        <v>19952</v>
      </c>
      <c r="L2818" s="8" t="s">
        <v>3868</v>
      </c>
      <c r="M2818" s="9" t="s">
        <v>100</v>
      </c>
      <c r="N2818" s="9" t="s">
        <v>88</v>
      </c>
      <c r="O2818" s="9">
        <f>HYPERLINK("https://www.google.com/maps/search/?api=1&amp;query=37.5074929,-6.0748971", "https://www.google.com/maps/search/?api=1&amp;query=37.5074929,-6.0748971")</f>
      </c>
      <c r="P2818" s="9" t="s">
        <v>680</v>
      </c>
      <c r="Q2818" s="9" t="s">
        <v>19953</v>
      </c>
    </row>
    <row r="2819" spans="1:17" x14ac:dyDescent="0.25">
      <c r="A2819" s="8" t="s">
        <v>19954</v>
      </c>
      <c r="B2819" s="8" t="s">
        <v>19955</v>
      </c>
      <c r="C2819" s="9" t="s">
        <v>19956</v>
      </c>
      <c r="D2819" s="9" t="s">
        <v>892</v>
      </c>
      <c r="E2819" s="9" t="s">
        <v>11348</v>
      </c>
      <c r="F2819" s="10">
        <v>1.514</v>
      </c>
      <c r="G2819" s="10">
        <v>1.665</v>
      </c>
      <c r="H2819" s="10"/>
      <c r="I2819" s="9" t="s">
        <v>32</v>
      </c>
      <c r="J2819" s="9" t="s">
        <v>19957</v>
      </c>
      <c r="K2819" s="9" t="s">
        <v>19958</v>
      </c>
      <c r="L2819" s="8" t="s">
        <v>5291</v>
      </c>
      <c r="M2819" s="9" t="s">
        <v>49</v>
      </c>
      <c r="N2819" s="9" t="s">
        <v>122</v>
      </c>
      <c r="O2819" s="9">
        <f>HYPERLINK("https://www.google.com/maps/search/?api=1&amp;query=39.44812643,-5.3185389", "https://www.google.com/maps/search/?api=1&amp;query=39.44812643,-5.3185389")</f>
      </c>
      <c r="P2819" s="9" t="s">
        <v>8430</v>
      </c>
      <c r="Q2819" s="9" t="s">
        <v>19959</v>
      </c>
    </row>
    <row r="2820" spans="1:17" x14ac:dyDescent="0.25">
      <c r="A2820" s="8" t="s">
        <v>19960</v>
      </c>
      <c r="B2820" s="8" t="s">
        <v>19961</v>
      </c>
      <c r="C2820" s="9" t="s">
        <v>19962</v>
      </c>
      <c r="D2820" s="9" t="s">
        <v>155</v>
      </c>
      <c r="E2820" s="9" t="s">
        <v>2394</v>
      </c>
      <c r="F2820" s="10">
        <v>1.514</v>
      </c>
      <c r="G2820" s="10">
        <v>1.665</v>
      </c>
      <c r="H2820" s="10"/>
      <c r="I2820" s="9" t="s">
        <v>157</v>
      </c>
      <c r="J2820" s="9" t="s">
        <v>19963</v>
      </c>
      <c r="K2820" s="9" t="s">
        <v>19964</v>
      </c>
      <c r="L2820" s="8" t="s">
        <v>13628</v>
      </c>
      <c r="M2820" s="9" t="s">
        <v>49</v>
      </c>
      <c r="N2820" s="9" t="s">
        <v>37</v>
      </c>
      <c r="O2820" s="9">
        <f>HYPERLINK("https://www.google.com/maps/search/?api=1&amp;query=39.58428765,2.67154237", "https://www.google.com/maps/search/?api=1&amp;query=39.58428765,2.67154237")</f>
      </c>
      <c r="P2820" s="9" t="s">
        <v>1381</v>
      </c>
      <c r="Q2820" s="9" t="s">
        <v>5054</v>
      </c>
    </row>
    <row r="2821" spans="1:17" x14ac:dyDescent="0.25">
      <c r="A2821" s="8" t="s">
        <v>19965</v>
      </c>
      <c r="B2821" s="8" t="s">
        <v>19966</v>
      </c>
      <c r="C2821" s="9" t="s">
        <v>19967</v>
      </c>
      <c r="D2821" s="9" t="s">
        <v>344</v>
      </c>
      <c r="E2821" s="9" t="s">
        <v>17587</v>
      </c>
      <c r="F2821" s="10">
        <v>1.514</v>
      </c>
      <c r="G2821" s="10">
        <v>1.665</v>
      </c>
      <c r="H2821" s="10"/>
      <c r="I2821" s="9" t="s">
        <v>140</v>
      </c>
      <c r="J2821" s="9" t="s">
        <v>19968</v>
      </c>
      <c r="K2821" s="9" t="s">
        <v>19969</v>
      </c>
      <c r="L2821" s="8" t="s">
        <v>19970</v>
      </c>
      <c r="M2821" s="9" t="s">
        <v>49</v>
      </c>
      <c r="N2821" s="9" t="s">
        <v>19971</v>
      </c>
      <c r="O2821" s="9">
        <f>HYPERLINK("https://www.google.com/maps/search/?api=1&amp;query=43.02168071,-8.65620789", "https://www.google.com/maps/search/?api=1&amp;query=43.02168071,-8.65620789")</f>
      </c>
      <c r="P2821" s="9" t="s">
        <v>1759</v>
      </c>
      <c r="Q2821" s="9" t="s">
        <v>19972</v>
      </c>
    </row>
    <row r="2822" spans="1:17" x14ac:dyDescent="0.25">
      <c r="A2822" s="8" t="s">
        <v>19973</v>
      </c>
      <c r="B2822" s="8" t="s">
        <v>19974</v>
      </c>
      <c r="C2822" s="9" t="s">
        <v>19975</v>
      </c>
      <c r="D2822" s="9" t="s">
        <v>61</v>
      </c>
      <c r="E2822" s="9" t="s">
        <v>13813</v>
      </c>
      <c r="F2822" s="10">
        <v>1.514</v>
      </c>
      <c r="G2822" s="10">
        <v>1.665</v>
      </c>
      <c r="H2822" s="10"/>
      <c r="I2822" s="9" t="s">
        <v>45</v>
      </c>
      <c r="J2822" s="9" t="s">
        <v>19976</v>
      </c>
      <c r="K2822" s="9" t="s">
        <v>19977</v>
      </c>
      <c r="L2822" s="8" t="s">
        <v>13816</v>
      </c>
      <c r="M2822" s="9" t="s">
        <v>49</v>
      </c>
      <c r="N2822" s="9" t="s">
        <v>11606</v>
      </c>
      <c r="O2822" s="9">
        <f>HYPERLINK("https://www.google.com/maps/search/?api=1&amp;query=37.32930262,-5.40927408", "https://www.google.com/maps/search/?api=1&amp;query=37.32930262,-5.40927408")</f>
      </c>
      <c r="P2822" s="9" t="s">
        <v>5277</v>
      </c>
      <c r="Q2822" s="9" t="s">
        <v>8959</v>
      </c>
    </row>
    <row r="2823" spans="1:17" x14ac:dyDescent="0.25">
      <c r="A2823" s="8" t="s">
        <v>19978</v>
      </c>
      <c r="B2823" s="8" t="s">
        <v>19979</v>
      </c>
      <c r="C2823" s="9" t="s">
        <v>19980</v>
      </c>
      <c r="D2823" s="9" t="s">
        <v>516</v>
      </c>
      <c r="E2823" s="9" t="s">
        <v>19981</v>
      </c>
      <c r="F2823" s="10">
        <v>1.514</v>
      </c>
      <c r="G2823" s="10">
        <v>1.665</v>
      </c>
      <c r="H2823" s="10"/>
      <c r="I2823" s="9" t="s">
        <v>140</v>
      </c>
      <c r="J2823" s="9" t="s">
        <v>19982</v>
      </c>
      <c r="K2823" s="9" t="s">
        <v>19983</v>
      </c>
      <c r="L2823" s="8" t="s">
        <v>19984</v>
      </c>
      <c r="M2823" s="9" t="s">
        <v>49</v>
      </c>
      <c r="N2823" s="9" t="s">
        <v>19985</v>
      </c>
      <c r="O2823" s="9">
        <f>HYPERLINK("https://www.google.com/maps/search/?api=1&amp;query=42.73257082,-7.32570309", "https://www.google.com/maps/search/?api=1&amp;query=42.73257082,-7.32570309")</f>
      </c>
      <c r="P2823" s="9" t="s">
        <v>4191</v>
      </c>
      <c r="Q2823" s="9" t="s">
        <v>1131</v>
      </c>
    </row>
    <row r="2824" spans="1:17" x14ac:dyDescent="0.25">
      <c r="A2824" s="8" t="s">
        <v>19986</v>
      </c>
      <c r="B2824" s="8" t="s">
        <v>19987</v>
      </c>
      <c r="C2824" s="9" t="s">
        <v>19988</v>
      </c>
      <c r="D2824" s="9" t="s">
        <v>290</v>
      </c>
      <c r="E2824" s="9" t="s">
        <v>19989</v>
      </c>
      <c r="F2824" s="10">
        <v>1.514</v>
      </c>
      <c r="G2824" s="10">
        <v>1.665</v>
      </c>
      <c r="H2824" s="10"/>
      <c r="I2824" s="9" t="s">
        <v>292</v>
      </c>
      <c r="J2824" s="9" t="s">
        <v>19990</v>
      </c>
      <c r="K2824" s="9" t="s">
        <v>19991</v>
      </c>
      <c r="L2824" s="8" t="s">
        <v>19992</v>
      </c>
      <c r="M2824" s="9" t="s">
        <v>49</v>
      </c>
      <c r="N2824" s="9" t="s">
        <v>19993</v>
      </c>
      <c r="O2824" s="9">
        <f>HYPERLINK("https://www.google.com/maps/search/?api=1&amp;query=40.19061982,-0.65686203", "https://www.google.com/maps/search/?api=1&amp;query=40.19061982,-0.65686203")</f>
      </c>
      <c r="P2824" s="9" t="s">
        <v>583</v>
      </c>
      <c r="Q2824" s="9" t="s">
        <v>2641</v>
      </c>
    </row>
    <row r="2825" spans="1:17" x14ac:dyDescent="0.25">
      <c r="A2825" s="8" t="s">
        <v>19994</v>
      </c>
      <c r="B2825" s="8" t="s">
        <v>19995</v>
      </c>
      <c r="C2825" s="9" t="s">
        <v>19996</v>
      </c>
      <c r="D2825" s="9" t="s">
        <v>892</v>
      </c>
      <c r="E2825" s="9" t="s">
        <v>19997</v>
      </c>
      <c r="F2825" s="10">
        <v>1.514</v>
      </c>
      <c r="G2825" s="10">
        <v>1.665</v>
      </c>
      <c r="H2825" s="10"/>
      <c r="I2825" s="9" t="s">
        <v>32</v>
      </c>
      <c r="J2825" s="9" t="s">
        <v>19998</v>
      </c>
      <c r="K2825" s="9" t="s">
        <v>19999</v>
      </c>
      <c r="L2825" s="8" t="s">
        <v>20000</v>
      </c>
      <c r="M2825" s="9" t="s">
        <v>49</v>
      </c>
      <c r="N2825" s="9" t="s">
        <v>37</v>
      </c>
      <c r="O2825" s="9">
        <f>HYPERLINK("https://www.google.com/maps/search/?api=1&amp;query=39.791194,-5.696167", "https://www.google.com/maps/search/?api=1&amp;query=39.791194,-5.696167")</f>
      </c>
      <c r="P2825" s="9" t="s">
        <v>4844</v>
      </c>
      <c r="Q2825" s="9" t="s">
        <v>20001</v>
      </c>
    </row>
    <row r="2826" spans="1:17" x14ac:dyDescent="0.25">
      <c r="A2826" s="8" t="s">
        <v>20002</v>
      </c>
      <c r="B2826" s="8" t="s">
        <v>20003</v>
      </c>
      <c r="C2826" s="9" t="s">
        <v>20004</v>
      </c>
      <c r="D2826" s="9" t="s">
        <v>409</v>
      </c>
      <c r="E2826" s="9" t="s">
        <v>20005</v>
      </c>
      <c r="F2826" s="10">
        <v>1.514</v>
      </c>
      <c r="G2826" s="10">
        <v>1.665</v>
      </c>
      <c r="H2826" s="10"/>
      <c r="I2826" s="9" t="s">
        <v>292</v>
      </c>
      <c r="J2826" s="9" t="s">
        <v>20006</v>
      </c>
      <c r="K2826" s="9" t="s">
        <v>20007</v>
      </c>
      <c r="L2826" s="8" t="s">
        <v>20008</v>
      </c>
      <c r="M2826" s="9" t="s">
        <v>49</v>
      </c>
      <c r="N2826" s="9" t="s">
        <v>88</v>
      </c>
      <c r="O2826" s="9">
        <f>HYPERLINK("https://www.google.com/maps/search/?api=1&amp;query=41.24899147,-0.0677507", "https://www.google.com/maps/search/?api=1&amp;query=41.24899147,-0.0677507")</f>
      </c>
      <c r="P2826" s="9" t="s">
        <v>3400</v>
      </c>
      <c r="Q2826" s="9" t="s">
        <v>20009</v>
      </c>
    </row>
    <row r="2827" spans="1:17" x14ac:dyDescent="0.25">
      <c r="A2827" s="8" t="s">
        <v>20010</v>
      </c>
      <c r="B2827" s="8" t="s">
        <v>20011</v>
      </c>
      <c r="C2827" s="9" t="s">
        <v>18900</v>
      </c>
      <c r="D2827" s="9" t="s">
        <v>94</v>
      </c>
      <c r="E2827" s="9" t="s">
        <v>20012</v>
      </c>
      <c r="F2827" s="10">
        <v>1.514</v>
      </c>
      <c r="G2827" s="10">
        <v>1.665</v>
      </c>
      <c r="H2827" s="10"/>
      <c r="I2827" s="9" t="s">
        <v>96</v>
      </c>
      <c r="J2827" s="9" t="s">
        <v>20013</v>
      </c>
      <c r="K2827" s="9" t="s">
        <v>20014</v>
      </c>
      <c r="L2827" s="8" t="s">
        <v>20015</v>
      </c>
      <c r="M2827" s="9" t="s">
        <v>36</v>
      </c>
      <c r="N2827" s="9" t="s">
        <v>954</v>
      </c>
      <c r="O2827" s="9">
        <f>HYPERLINK("https://www.google.com/maps/search/?api=1&amp;query=41.6807358,2.48611854", "https://www.google.com/maps/search/?api=1&amp;query=41.6807358,2.48611854")</f>
      </c>
      <c r="P2827" s="9" t="s">
        <v>705</v>
      </c>
      <c r="Q2827" s="9" t="s">
        <v>20016</v>
      </c>
    </row>
    <row r="2828" spans="1:17" x14ac:dyDescent="0.25">
      <c r="A2828" s="8" t="s">
        <v>20017</v>
      </c>
      <c r="B2828" s="8" t="s">
        <v>20018</v>
      </c>
      <c r="C2828" s="9" t="s">
        <v>20019</v>
      </c>
      <c r="D2828" s="9" t="s">
        <v>166</v>
      </c>
      <c r="E2828" s="9" t="s">
        <v>20020</v>
      </c>
      <c r="F2828" s="10">
        <v>1.514</v>
      </c>
      <c r="G2828" s="10">
        <v>1.665</v>
      </c>
      <c r="H2828" s="10"/>
      <c r="I2828" s="9" t="s">
        <v>168</v>
      </c>
      <c r="J2828" s="9" t="s">
        <v>20021</v>
      </c>
      <c r="K2828" s="9" t="s">
        <v>20022</v>
      </c>
      <c r="L2828" s="8" t="s">
        <v>20023</v>
      </c>
      <c r="M2828" s="9" t="s">
        <v>49</v>
      </c>
      <c r="N2828" s="9" t="s">
        <v>37</v>
      </c>
      <c r="O2828" s="9">
        <f>HYPERLINK("https://www.google.com/maps/search/?api=1&amp;query=40.76167451,-3.00900014", "https://www.google.com/maps/search/?api=1&amp;query=40.76167451,-3.00900014")</f>
      </c>
      <c r="P2828" s="9" t="s">
        <v>8820</v>
      </c>
      <c r="Q2828" s="9" t="s">
        <v>20024</v>
      </c>
    </row>
    <row r="2829" spans="1:17" x14ac:dyDescent="0.25">
      <c r="A2829" s="8" t="s">
        <v>20025</v>
      </c>
      <c r="B2829" s="8" t="s">
        <v>20026</v>
      </c>
      <c r="C2829" s="9" t="s">
        <v>20027</v>
      </c>
      <c r="D2829" s="9" t="s">
        <v>2050</v>
      </c>
      <c r="E2829" s="9" t="s">
        <v>20028</v>
      </c>
      <c r="F2829" s="10">
        <v>1.514</v>
      </c>
      <c r="G2829" s="10">
        <v>1.665</v>
      </c>
      <c r="H2829" s="10"/>
      <c r="I2829" s="9" t="s">
        <v>140</v>
      </c>
      <c r="J2829" s="9" t="s">
        <v>20029</v>
      </c>
      <c r="K2829" s="9" t="s">
        <v>20030</v>
      </c>
      <c r="L2829" s="8" t="s">
        <v>20031</v>
      </c>
      <c r="M2829" s="9" t="s">
        <v>49</v>
      </c>
      <c r="N2829" s="9" t="s">
        <v>122</v>
      </c>
      <c r="O2829" s="9">
        <f>HYPERLINK("https://www.google.com/maps/search/?api=1&amp;query=41.95191676,-8.02935858", "https://www.google.com/maps/search/?api=1&amp;query=41.95191676,-8.02935858")</f>
      </c>
      <c r="P2829" s="9" t="s">
        <v>172</v>
      </c>
      <c r="Q2829" s="9" t="s">
        <v>14072</v>
      </c>
    </row>
    <row r="2830" spans="1:17" x14ac:dyDescent="0.25">
      <c r="A2830" s="8" t="s">
        <v>20032</v>
      </c>
      <c r="B2830" s="8" t="s">
        <v>20033</v>
      </c>
      <c r="C2830" s="9" t="s">
        <v>20034</v>
      </c>
      <c r="D2830" s="9" t="s">
        <v>1192</v>
      </c>
      <c r="E2830" s="9" t="s">
        <v>12389</v>
      </c>
      <c r="F2830" s="10">
        <v>1.514</v>
      </c>
      <c r="G2830" s="10">
        <v>1.665</v>
      </c>
      <c r="H2830" s="10"/>
      <c r="I2830" s="9" t="s">
        <v>168</v>
      </c>
      <c r="J2830" s="9" t="s">
        <v>20035</v>
      </c>
      <c r="K2830" s="9" t="s">
        <v>20036</v>
      </c>
      <c r="L2830" s="8" t="s">
        <v>12392</v>
      </c>
      <c r="M2830" s="9" t="s">
        <v>49</v>
      </c>
      <c r="N2830" s="9" t="s">
        <v>645</v>
      </c>
      <c r="O2830" s="9">
        <f>HYPERLINK("https://www.google.com/maps/search/?api=1&amp;query=39.18033541,-3.39913648", "https://www.google.com/maps/search/?api=1&amp;query=39.18033541,-3.39913648")</f>
      </c>
      <c r="P2830" s="9" t="s">
        <v>38</v>
      </c>
      <c r="Q2830" s="9" t="s">
        <v>10685</v>
      </c>
    </row>
    <row r="2831" spans="1:17" x14ac:dyDescent="0.25">
      <c r="A2831" s="8" t="s">
        <v>20037</v>
      </c>
      <c r="B2831" s="8" t="s">
        <v>20038</v>
      </c>
      <c r="C2831" s="9" t="s">
        <v>13560</v>
      </c>
      <c r="D2831" s="9" t="s">
        <v>166</v>
      </c>
      <c r="E2831" s="9" t="s">
        <v>13561</v>
      </c>
      <c r="F2831" s="10">
        <v>1.514</v>
      </c>
      <c r="G2831" s="10">
        <v>1.665</v>
      </c>
      <c r="H2831" s="10"/>
      <c r="I2831" s="9" t="s">
        <v>168</v>
      </c>
      <c r="J2831" s="9" t="s">
        <v>20039</v>
      </c>
      <c r="K2831" s="9" t="s">
        <v>20040</v>
      </c>
      <c r="L2831" s="8" t="s">
        <v>13564</v>
      </c>
      <c r="M2831" s="9" t="s">
        <v>36</v>
      </c>
      <c r="N2831" s="9" t="s">
        <v>211</v>
      </c>
      <c r="O2831" s="9">
        <f>HYPERLINK("https://www.google.com/maps/search/?api=1&amp;query=41.0137985,-2.55477365", "https://www.google.com/maps/search/?api=1&amp;query=41.0137985,-2.55477365")</f>
      </c>
      <c r="P2831" s="9" t="s">
        <v>38</v>
      </c>
      <c r="Q2831" s="9" t="s">
        <v>522</v>
      </c>
    </row>
    <row r="2832" spans="1:17" x14ac:dyDescent="0.25">
      <c r="A2832" s="8" t="s">
        <v>20041</v>
      </c>
      <c r="B2832" s="8" t="s">
        <v>20042</v>
      </c>
      <c r="C2832" s="9" t="s">
        <v>20043</v>
      </c>
      <c r="D2832" s="9" t="s">
        <v>187</v>
      </c>
      <c r="E2832" s="9" t="s">
        <v>20044</v>
      </c>
      <c r="F2832" s="10">
        <v>1.514</v>
      </c>
      <c r="G2832" s="10">
        <v>1.665</v>
      </c>
      <c r="H2832" s="10"/>
      <c r="I2832" s="9" t="s">
        <v>74</v>
      </c>
      <c r="J2832" s="9" t="s">
        <v>20045</v>
      </c>
      <c r="K2832" s="9" t="s">
        <v>20046</v>
      </c>
      <c r="L2832" s="8" t="s">
        <v>20047</v>
      </c>
      <c r="M2832" s="9" t="s">
        <v>36</v>
      </c>
      <c r="N2832" s="9" t="s">
        <v>211</v>
      </c>
      <c r="O2832" s="9">
        <f>HYPERLINK("https://www.google.com/maps/search/?api=1&amp;query=42.49535126,-5.4143878", "https://www.google.com/maps/search/?api=1&amp;query=42.49535126,-5.4143878")</f>
      </c>
      <c r="P2832" s="9" t="s">
        <v>771</v>
      </c>
      <c r="Q2832" s="9" t="s">
        <v>697</v>
      </c>
    </row>
    <row r="2833" spans="1:17" x14ac:dyDescent="0.25">
      <c r="A2833" s="8" t="s">
        <v>20048</v>
      </c>
      <c r="B2833" s="8" t="s">
        <v>20049</v>
      </c>
      <c r="C2833" s="9" t="s">
        <v>20050</v>
      </c>
      <c r="D2833" s="9" t="s">
        <v>138</v>
      </c>
      <c r="E2833" s="9" t="s">
        <v>20051</v>
      </c>
      <c r="F2833" s="10">
        <v>1.514</v>
      </c>
      <c r="G2833" s="10">
        <v>1.665</v>
      </c>
      <c r="H2833" s="10"/>
      <c r="I2833" s="9" t="s">
        <v>140</v>
      </c>
      <c r="J2833" s="9" t="s">
        <v>20052</v>
      </c>
      <c r="K2833" s="9" t="s">
        <v>20053</v>
      </c>
      <c r="L2833" s="8" t="s">
        <v>20054</v>
      </c>
      <c r="M2833" s="9" t="s">
        <v>36</v>
      </c>
      <c r="N2833" s="9" t="s">
        <v>14711</v>
      </c>
      <c r="O2833" s="9">
        <f>HYPERLINK("https://www.google.com/maps/search/?api=1&amp;query=42.10873614,-8.61945332", "https://www.google.com/maps/search/?api=1&amp;query=42.10873614,-8.61945332")</f>
      </c>
      <c r="P2833" s="9" t="s">
        <v>321</v>
      </c>
      <c r="Q2833" s="9" t="s">
        <v>1140</v>
      </c>
    </row>
    <row r="2834" spans="1:17" x14ac:dyDescent="0.25">
      <c r="A2834" s="8" t="s">
        <v>20055</v>
      </c>
      <c r="B2834" s="8" t="s">
        <v>20056</v>
      </c>
      <c r="C2834" s="9" t="s">
        <v>20057</v>
      </c>
      <c r="D2834" s="9" t="s">
        <v>444</v>
      </c>
      <c r="E2834" s="9" t="s">
        <v>20058</v>
      </c>
      <c r="F2834" s="10">
        <v>1.514</v>
      </c>
      <c r="G2834" s="10">
        <v>1.665</v>
      </c>
      <c r="H2834" s="10"/>
      <c r="I2834" s="9" t="s">
        <v>444</v>
      </c>
      <c r="J2834" s="9" t="s">
        <v>20059</v>
      </c>
      <c r="K2834" s="9" t="s">
        <v>20060</v>
      </c>
      <c r="L2834" s="8" t="s">
        <v>20061</v>
      </c>
      <c r="M2834" s="9" t="s">
        <v>36</v>
      </c>
      <c r="N2834" s="9" t="s">
        <v>3164</v>
      </c>
      <c r="O2834" s="9">
        <f>HYPERLINK("https://www.google.com/maps/search/?api=1&amp;query=43.41303399,-7.14855572", "https://www.google.com/maps/search/?api=1&amp;query=43.41303399,-7.14855572")</f>
      </c>
      <c r="P2834" s="9" t="s">
        <v>771</v>
      </c>
      <c r="Q2834" s="9" t="s">
        <v>20062</v>
      </c>
    </row>
    <row r="2835" spans="1:17" x14ac:dyDescent="0.25">
      <c r="A2835" s="8" t="s">
        <v>20063</v>
      </c>
      <c r="B2835" s="8" t="s">
        <v>20064</v>
      </c>
      <c r="C2835" s="9" t="s">
        <v>20065</v>
      </c>
      <c r="D2835" s="9" t="s">
        <v>61</v>
      </c>
      <c r="E2835" s="9" t="s">
        <v>2813</v>
      </c>
      <c r="F2835" s="10">
        <v>1.514</v>
      </c>
      <c r="G2835" s="10">
        <v>1.665</v>
      </c>
      <c r="H2835" s="10"/>
      <c r="I2835" s="9" t="s">
        <v>45</v>
      </c>
      <c r="J2835" s="9" t="s">
        <v>20066</v>
      </c>
      <c r="K2835" s="9" t="s">
        <v>20067</v>
      </c>
      <c r="L2835" s="8" t="s">
        <v>2816</v>
      </c>
      <c r="M2835" s="9" t="s">
        <v>49</v>
      </c>
      <c r="N2835" s="9" t="s">
        <v>12625</v>
      </c>
      <c r="O2835" s="9">
        <f>HYPERLINK("https://www.google.com/maps/search/?api=1&amp;query=37.46748906,-5.65047483", "https://www.google.com/maps/search/?api=1&amp;query=37.46748906,-5.65047483")</f>
      </c>
      <c r="P2835" s="9" t="s">
        <v>880</v>
      </c>
      <c r="Q2835" s="9" t="s">
        <v>20068</v>
      </c>
    </row>
    <row r="2836" spans="1:17" x14ac:dyDescent="0.25">
      <c r="A2836" s="8" t="s">
        <v>20069</v>
      </c>
      <c r="B2836" s="8" t="s">
        <v>20070</v>
      </c>
      <c r="C2836" s="9" t="s">
        <v>20071</v>
      </c>
      <c r="D2836" s="9" t="s">
        <v>94</v>
      </c>
      <c r="E2836" s="9" t="s">
        <v>20072</v>
      </c>
      <c r="F2836" s="10">
        <v>1.514</v>
      </c>
      <c r="G2836" s="10">
        <v>1.665</v>
      </c>
      <c r="H2836" s="10"/>
      <c r="I2836" s="9" t="s">
        <v>96</v>
      </c>
      <c r="J2836" s="9" t="s">
        <v>20073</v>
      </c>
      <c r="K2836" s="9" t="s">
        <v>20074</v>
      </c>
      <c r="L2836" s="8" t="s">
        <v>20075</v>
      </c>
      <c r="M2836" s="9" t="s">
        <v>36</v>
      </c>
      <c r="N2836" s="9" t="s">
        <v>37</v>
      </c>
      <c r="O2836" s="9">
        <f>HYPERLINK("https://www.google.com/maps/search/?api=1&amp;query=41.55344697,1.67586068", "https://www.google.com/maps/search/?api=1&amp;query=41.55344697,1.67586068")</f>
      </c>
      <c r="P2836" s="9" t="s">
        <v>172</v>
      </c>
      <c r="Q2836" s="9" t="s">
        <v>1140</v>
      </c>
    </row>
    <row r="2837" spans="1:17" x14ac:dyDescent="0.25">
      <c r="A2837" s="8" t="s">
        <v>20076</v>
      </c>
      <c r="B2837" s="8" t="s">
        <v>20077</v>
      </c>
      <c r="C2837" s="9" t="s">
        <v>20078</v>
      </c>
      <c r="D2837" s="9" t="s">
        <v>72</v>
      </c>
      <c r="E2837" s="9" t="s">
        <v>20079</v>
      </c>
      <c r="F2837" s="10">
        <v>1.514</v>
      </c>
      <c r="G2837" s="10">
        <v>1.665</v>
      </c>
      <c r="H2837" s="10"/>
      <c r="I2837" s="9" t="s">
        <v>74</v>
      </c>
      <c r="J2837" s="9" t="s">
        <v>20080</v>
      </c>
      <c r="K2837" s="9" t="s">
        <v>20081</v>
      </c>
      <c r="L2837" s="8" t="s">
        <v>4445</v>
      </c>
      <c r="M2837" s="9" t="s">
        <v>49</v>
      </c>
      <c r="N2837" s="9" t="s">
        <v>20082</v>
      </c>
      <c r="O2837" s="9">
        <f>HYPERLINK("https://www.google.com/maps/search/?api=1&amp;query=42.04561074,-4.89951232", "https://www.google.com/maps/search/?api=1&amp;query=42.04561074,-4.89951232")</f>
      </c>
      <c r="P2837" s="9" t="s">
        <v>880</v>
      </c>
      <c r="Q2837" s="9" t="s">
        <v>20083</v>
      </c>
    </row>
    <row r="2838" spans="1:17" x14ac:dyDescent="0.25">
      <c r="A2838" s="8" t="s">
        <v>20084</v>
      </c>
      <c r="B2838" s="8" t="s">
        <v>20085</v>
      </c>
      <c r="C2838" s="9" t="s">
        <v>20086</v>
      </c>
      <c r="D2838" s="9" t="s">
        <v>658</v>
      </c>
      <c r="E2838" s="9" t="s">
        <v>20087</v>
      </c>
      <c r="F2838" s="10">
        <v>1.514</v>
      </c>
      <c r="G2838" s="10">
        <v>1.665</v>
      </c>
      <c r="H2838" s="10"/>
      <c r="I2838" s="9" t="s">
        <v>45</v>
      </c>
      <c r="J2838" s="9" t="s">
        <v>20088</v>
      </c>
      <c r="K2838" s="9" t="s">
        <v>10795</v>
      </c>
      <c r="L2838" s="8" t="s">
        <v>20089</v>
      </c>
      <c r="M2838" s="9" t="s">
        <v>36</v>
      </c>
      <c r="N2838" s="9" t="s">
        <v>4720</v>
      </c>
      <c r="O2838" s="9">
        <f>HYPERLINK("https://www.google.com/maps/search/?api=1&amp;query=36.90433083,-2.17839442", "https://www.google.com/maps/search/?api=1&amp;query=36.90433083,-2.17839442")</f>
      </c>
      <c r="P2838" s="9" t="s">
        <v>2594</v>
      </c>
      <c r="Q2838" s="9" t="s">
        <v>112</v>
      </c>
    </row>
    <row r="2839" spans="1:17" x14ac:dyDescent="0.25">
      <c r="A2839" s="8" t="s">
        <v>20090</v>
      </c>
      <c r="B2839" s="8" t="s">
        <v>20091</v>
      </c>
      <c r="C2839" s="9" t="s">
        <v>20092</v>
      </c>
      <c r="D2839" s="9" t="s">
        <v>106</v>
      </c>
      <c r="E2839" s="9" t="s">
        <v>20093</v>
      </c>
      <c r="F2839" s="10">
        <v>1.514</v>
      </c>
      <c r="G2839" s="10">
        <v>1.665</v>
      </c>
      <c r="H2839" s="10"/>
      <c r="I2839" s="9" t="s">
        <v>106</v>
      </c>
      <c r="J2839" s="9" t="s">
        <v>20094</v>
      </c>
      <c r="K2839" s="9" t="s">
        <v>20095</v>
      </c>
      <c r="L2839" s="8" t="s">
        <v>20096</v>
      </c>
      <c r="M2839" s="9" t="s">
        <v>49</v>
      </c>
      <c r="N2839" s="9" t="s">
        <v>8863</v>
      </c>
      <c r="O2839" s="9">
        <f>HYPERLINK("https://www.google.com/maps/search/?api=1&amp;query=37.86858365,-1.83500007", "https://www.google.com/maps/search/?api=1&amp;query=37.86858365,-1.83500007")</f>
      </c>
      <c r="P2839" s="9" t="s">
        <v>2786</v>
      </c>
      <c r="Q2839" s="9" t="s">
        <v>7450</v>
      </c>
    </row>
    <row r="2840" spans="1:17" x14ac:dyDescent="0.25">
      <c r="A2840" s="8" t="s">
        <v>20097</v>
      </c>
      <c r="B2840" s="8" t="s">
        <v>20098</v>
      </c>
      <c r="C2840" s="9" t="s">
        <v>20099</v>
      </c>
      <c r="D2840" s="9" t="s">
        <v>631</v>
      </c>
      <c r="E2840" s="9" t="s">
        <v>20100</v>
      </c>
      <c r="F2840" s="10">
        <v>1.514</v>
      </c>
      <c r="G2840" s="10">
        <v>1.665</v>
      </c>
      <c r="H2840" s="10"/>
      <c r="I2840" s="9" t="s">
        <v>45</v>
      </c>
      <c r="J2840" s="9" t="s">
        <v>20101</v>
      </c>
      <c r="K2840" s="9" t="s">
        <v>20102</v>
      </c>
      <c r="L2840" s="8" t="s">
        <v>20103</v>
      </c>
      <c r="M2840" s="9" t="s">
        <v>36</v>
      </c>
      <c r="N2840" s="9" t="s">
        <v>5450</v>
      </c>
      <c r="O2840" s="9">
        <f>HYPERLINK("https://www.google.com/maps/search/?api=1&amp;query=38.12483651,-4.89947436", "https://www.google.com/maps/search/?api=1&amp;query=38.12483651,-4.89947436")</f>
      </c>
      <c r="P2840" s="9" t="s">
        <v>20104</v>
      </c>
      <c r="Q2840" s="9" t="s">
        <v>2998</v>
      </c>
    </row>
    <row r="2841" spans="1:17" x14ac:dyDescent="0.25">
      <c r="A2841" s="8" t="s">
        <v>20105</v>
      </c>
      <c r="B2841" s="8" t="s">
        <v>20106</v>
      </c>
      <c r="C2841" s="9" t="s">
        <v>20107</v>
      </c>
      <c r="D2841" s="9" t="s">
        <v>30</v>
      </c>
      <c r="E2841" s="9" t="s">
        <v>20108</v>
      </c>
      <c r="F2841" s="10">
        <v>1.514</v>
      </c>
      <c r="G2841" s="10">
        <v>1.665</v>
      </c>
      <c r="H2841" s="10"/>
      <c r="I2841" s="9" t="s">
        <v>32</v>
      </c>
      <c r="J2841" s="9" t="s">
        <v>20109</v>
      </c>
      <c r="K2841" s="9" t="s">
        <v>20110</v>
      </c>
      <c r="L2841" s="8" t="s">
        <v>20111</v>
      </c>
      <c r="M2841" s="9" t="s">
        <v>49</v>
      </c>
      <c r="N2841" s="9" t="s">
        <v>1130</v>
      </c>
      <c r="O2841" s="9">
        <f>HYPERLINK("https://www.google.com/maps/search/?api=1&amp;query=39.21383374,-7.16241748", "https://www.google.com/maps/search/?api=1&amp;query=39.21383374,-7.16241748")</f>
      </c>
      <c r="P2841" s="9" t="s">
        <v>880</v>
      </c>
      <c r="Q2841" s="9" t="s">
        <v>9916</v>
      </c>
    </row>
    <row r="2842" spans="1:17" x14ac:dyDescent="0.25">
      <c r="A2842" s="8" t="s">
        <v>20112</v>
      </c>
      <c r="B2842" s="8" t="s">
        <v>20113</v>
      </c>
      <c r="C2842" s="9" t="s">
        <v>20114</v>
      </c>
      <c r="D2842" s="9" t="s">
        <v>43</v>
      </c>
      <c r="E2842" s="9" t="s">
        <v>43</v>
      </c>
      <c r="F2842" s="10">
        <v>1.514</v>
      </c>
      <c r="G2842" s="10">
        <v>1.665</v>
      </c>
      <c r="H2842" s="10"/>
      <c r="I2842" s="9" t="s">
        <v>45</v>
      </c>
      <c r="J2842" s="9" t="s">
        <v>20115</v>
      </c>
      <c r="K2842" s="9" t="s">
        <v>20116</v>
      </c>
      <c r="L2842" s="8" t="s">
        <v>18927</v>
      </c>
      <c r="M2842" s="9" t="s">
        <v>49</v>
      </c>
      <c r="N2842" s="9" t="s">
        <v>37</v>
      </c>
      <c r="O2842" s="9">
        <f>HYPERLINK("https://www.google.com/maps/search/?api=1&amp;query=37.26693865,-6.93755592", "https://www.google.com/maps/search/?api=1&amp;query=37.26693865,-6.93755592")</f>
      </c>
      <c r="P2842" s="9" t="s">
        <v>1250</v>
      </c>
      <c r="Q2842" s="9" t="s">
        <v>1982</v>
      </c>
    </row>
    <row r="2843" spans="1:17" x14ac:dyDescent="0.25">
      <c r="A2843" s="8" t="s">
        <v>20117</v>
      </c>
      <c r="B2843" s="8" t="s">
        <v>20118</v>
      </c>
      <c r="C2843" s="9" t="s">
        <v>9509</v>
      </c>
      <c r="D2843" s="9" t="s">
        <v>197</v>
      </c>
      <c r="E2843" s="9" t="s">
        <v>20119</v>
      </c>
      <c r="F2843" s="10">
        <v>1.514</v>
      </c>
      <c r="G2843" s="10">
        <v>1.665</v>
      </c>
      <c r="H2843" s="10"/>
      <c r="I2843" s="9" t="s">
        <v>168</v>
      </c>
      <c r="J2843" s="9" t="s">
        <v>20120</v>
      </c>
      <c r="K2843" s="9" t="s">
        <v>20121</v>
      </c>
      <c r="L2843" s="8" t="s">
        <v>20122</v>
      </c>
      <c r="M2843" s="9" t="s">
        <v>36</v>
      </c>
      <c r="N2843" s="9" t="s">
        <v>88</v>
      </c>
      <c r="O2843" s="9">
        <f>HYPERLINK("https://www.google.com/maps/search/?api=1&amp;query=40.01056823,-4.82036215", "https://www.google.com/maps/search/?api=1&amp;query=40.01056823,-4.82036215")</f>
      </c>
      <c r="P2843" s="9" t="s">
        <v>646</v>
      </c>
      <c r="Q2843" s="9" t="s">
        <v>3226</v>
      </c>
    </row>
    <row r="2844" spans="1:17" x14ac:dyDescent="0.25">
      <c r="A2844" s="8" t="s">
        <v>20123</v>
      </c>
      <c r="B2844" s="8" t="s">
        <v>20124</v>
      </c>
      <c r="C2844" s="9" t="s">
        <v>20125</v>
      </c>
      <c r="D2844" s="9" t="s">
        <v>488</v>
      </c>
      <c r="E2844" s="9" t="s">
        <v>20126</v>
      </c>
      <c r="F2844" s="10">
        <v>1.514</v>
      </c>
      <c r="G2844" s="10">
        <v>1.665</v>
      </c>
      <c r="H2844" s="10"/>
      <c r="I2844" s="9" t="s">
        <v>45</v>
      </c>
      <c r="J2844" s="9" t="s">
        <v>20127</v>
      </c>
      <c r="K2844" s="9" t="s">
        <v>20128</v>
      </c>
      <c r="L2844" s="8" t="s">
        <v>20129</v>
      </c>
      <c r="M2844" s="9" t="s">
        <v>49</v>
      </c>
      <c r="N2844" s="9" t="s">
        <v>18734</v>
      </c>
      <c r="O2844" s="9">
        <f>HYPERLINK("https://www.google.com/maps/search/?api=1&amp;query=38.18004746,-3.43319781", "https://www.google.com/maps/search/?api=1&amp;query=38.18004746,-3.43319781")</f>
      </c>
      <c r="P2844" s="9" t="s">
        <v>1373</v>
      </c>
      <c r="Q2844" s="9" t="s">
        <v>20130</v>
      </c>
    </row>
    <row r="2845" spans="1:17" x14ac:dyDescent="0.25">
      <c r="A2845" s="8" t="s">
        <v>20131</v>
      </c>
      <c r="B2845" s="8" t="s">
        <v>20132</v>
      </c>
      <c r="C2845" s="9" t="s">
        <v>20133</v>
      </c>
      <c r="D2845" s="9" t="s">
        <v>155</v>
      </c>
      <c r="E2845" s="9" t="s">
        <v>20134</v>
      </c>
      <c r="F2845" s="10">
        <v>1.514</v>
      </c>
      <c r="G2845" s="10">
        <v>1.665</v>
      </c>
      <c r="H2845" s="10"/>
      <c r="I2845" s="9" t="s">
        <v>157</v>
      </c>
      <c r="J2845" s="9" t="s">
        <v>20135</v>
      </c>
      <c r="K2845" s="9" t="s">
        <v>20136</v>
      </c>
      <c r="L2845" s="8" t="s">
        <v>20137</v>
      </c>
      <c r="M2845" s="9" t="s">
        <v>49</v>
      </c>
      <c r="N2845" s="9" t="s">
        <v>10003</v>
      </c>
      <c r="O2845" s="9">
        <f>HYPERLINK("https://www.google.com/maps/search/?api=1&amp;query=39.76596192,2.70844664", "https://www.google.com/maps/search/?api=1&amp;query=39.76596192,2.70844664")</f>
      </c>
      <c r="P2845" s="9" t="s">
        <v>20138</v>
      </c>
      <c r="Q2845" s="9" t="s">
        <v>20139</v>
      </c>
    </row>
    <row r="2846" spans="1:17" x14ac:dyDescent="0.25">
      <c r="A2846" s="8" t="s">
        <v>20140</v>
      </c>
      <c r="B2846" s="8" t="s">
        <v>20141</v>
      </c>
      <c r="C2846" s="9" t="s">
        <v>20142</v>
      </c>
      <c r="D2846" s="9" t="s">
        <v>444</v>
      </c>
      <c r="E2846" s="9" t="s">
        <v>844</v>
      </c>
      <c r="F2846" s="10">
        <v>1.514</v>
      </c>
      <c r="G2846" s="10">
        <v>1.665</v>
      </c>
      <c r="H2846" s="10"/>
      <c r="I2846" s="9" t="s">
        <v>444</v>
      </c>
      <c r="J2846" s="9" t="s">
        <v>20143</v>
      </c>
      <c r="K2846" s="9" t="s">
        <v>20144</v>
      </c>
      <c r="L2846" s="8" t="s">
        <v>20145</v>
      </c>
      <c r="M2846" s="9" t="s">
        <v>49</v>
      </c>
      <c r="N2846" s="9" t="s">
        <v>88</v>
      </c>
      <c r="O2846" s="9">
        <f>HYPERLINK("https://www.google.com/maps/search/?api=1&amp;query=43.53809096,-5.6572199", "https://www.google.com/maps/search/?api=1&amp;query=43.53809096,-5.6572199")</f>
      </c>
      <c r="P2846" s="9" t="s">
        <v>1439</v>
      </c>
      <c r="Q2846" s="9" t="s">
        <v>3744</v>
      </c>
    </row>
    <row r="2847" spans="1:17" x14ac:dyDescent="0.25">
      <c r="A2847" s="8" t="s">
        <v>20146</v>
      </c>
      <c r="B2847" s="8" t="s">
        <v>20147</v>
      </c>
      <c r="C2847" s="9" t="s">
        <v>20148</v>
      </c>
      <c r="D2847" s="9" t="s">
        <v>197</v>
      </c>
      <c r="E2847" s="9" t="s">
        <v>9487</v>
      </c>
      <c r="F2847" s="10">
        <v>1.514</v>
      </c>
      <c r="G2847" s="10">
        <v>1.665</v>
      </c>
      <c r="H2847" s="10"/>
      <c r="I2847" s="9" t="s">
        <v>168</v>
      </c>
      <c r="J2847" s="9" t="s">
        <v>20149</v>
      </c>
      <c r="K2847" s="9" t="s">
        <v>20150</v>
      </c>
      <c r="L2847" s="8" t="s">
        <v>9490</v>
      </c>
      <c r="M2847" s="9" t="s">
        <v>49</v>
      </c>
      <c r="N2847" s="9" t="s">
        <v>88</v>
      </c>
      <c r="O2847" s="9">
        <f>HYPERLINK("https://www.google.com/maps/search/?api=1&amp;query=39.65059997,-3.51694854", "https://www.google.com/maps/search/?api=1&amp;query=39.65059997,-3.51694854")</f>
      </c>
      <c r="P2847" s="9" t="s">
        <v>3791</v>
      </c>
      <c r="Q2847" s="9" t="s">
        <v>7556</v>
      </c>
    </row>
    <row r="2848" spans="1:17" x14ac:dyDescent="0.25">
      <c r="A2848" s="8" t="s">
        <v>20151</v>
      </c>
      <c r="B2848" s="8" t="s">
        <v>20152</v>
      </c>
      <c r="C2848" s="9" t="s">
        <v>20153</v>
      </c>
      <c r="D2848" s="9" t="s">
        <v>307</v>
      </c>
      <c r="E2848" s="9" t="s">
        <v>20154</v>
      </c>
      <c r="F2848" s="10">
        <v>1.514</v>
      </c>
      <c r="G2848" s="10">
        <v>1.665</v>
      </c>
      <c r="H2848" s="10"/>
      <c r="I2848" s="9" t="s">
        <v>74</v>
      </c>
      <c r="J2848" s="9" t="s">
        <v>20155</v>
      </c>
      <c r="K2848" s="9" t="s">
        <v>20156</v>
      </c>
      <c r="L2848" s="8" t="s">
        <v>20157</v>
      </c>
      <c r="M2848" s="9" t="s">
        <v>49</v>
      </c>
      <c r="N2848" s="9" t="s">
        <v>20158</v>
      </c>
      <c r="O2848" s="9">
        <f>HYPERLINK("https://www.google.com/maps/search/?api=1&amp;query=41.2335068,-5.49446544", "https://www.google.com/maps/search/?api=1&amp;query=41.2335068,-5.49446544")</f>
      </c>
      <c r="P2848" s="9" t="s">
        <v>1203</v>
      </c>
      <c r="Q2848" s="9" t="s">
        <v>565</v>
      </c>
    </row>
    <row r="2849" spans="1:17" x14ac:dyDescent="0.25">
      <c r="A2849" s="8" t="s">
        <v>20159</v>
      </c>
      <c r="B2849" s="8" t="s">
        <v>20160</v>
      </c>
      <c r="C2849" s="9" t="s">
        <v>20161</v>
      </c>
      <c r="D2849" s="9" t="s">
        <v>892</v>
      </c>
      <c r="E2849" s="9" t="s">
        <v>20162</v>
      </c>
      <c r="F2849" s="10">
        <v>1.514</v>
      </c>
      <c r="G2849" s="10">
        <v>1.665</v>
      </c>
      <c r="H2849" s="10"/>
      <c r="I2849" s="9" t="s">
        <v>32</v>
      </c>
      <c r="J2849" s="9" t="s">
        <v>20163</v>
      </c>
      <c r="K2849" s="9" t="s">
        <v>20164</v>
      </c>
      <c r="L2849" s="8" t="s">
        <v>20165</v>
      </c>
      <c r="M2849" s="9" t="s">
        <v>49</v>
      </c>
      <c r="N2849" s="9" t="s">
        <v>8274</v>
      </c>
      <c r="O2849" s="9">
        <f>HYPERLINK("https://www.google.com/maps/search/?api=1&amp;query=39.13896392,-5.62156165", "https://www.google.com/maps/search/?api=1&amp;query=39.13896392,-5.62156165")</f>
      </c>
      <c r="P2849" s="9" t="s">
        <v>8200</v>
      </c>
      <c r="Q2849" s="9" t="s">
        <v>9916</v>
      </c>
    </row>
    <row r="2850" spans="1:17" x14ac:dyDescent="0.25">
      <c r="A2850" s="8" t="s">
        <v>20166</v>
      </c>
      <c r="B2850" s="8" t="s">
        <v>20167</v>
      </c>
      <c r="C2850" s="9" t="s">
        <v>20168</v>
      </c>
      <c r="D2850" s="9" t="s">
        <v>398</v>
      </c>
      <c r="E2850" s="9" t="s">
        <v>20169</v>
      </c>
      <c r="F2850" s="10">
        <v>1.514</v>
      </c>
      <c r="G2850" s="10">
        <v>1.665</v>
      </c>
      <c r="H2850" s="10"/>
      <c r="I2850" s="9" t="s">
        <v>400</v>
      </c>
      <c r="J2850" s="9" t="s">
        <v>20170</v>
      </c>
      <c r="K2850" s="9" t="s">
        <v>20171</v>
      </c>
      <c r="L2850" s="8" t="s">
        <v>20172</v>
      </c>
      <c r="M2850" s="9" t="s">
        <v>36</v>
      </c>
      <c r="N2850" s="9" t="s">
        <v>6226</v>
      </c>
      <c r="O2850" s="9">
        <f>HYPERLINK("https://www.google.com/maps/search/?api=1&amp;query=38.62655591,-0.56796837", "https://www.google.com/maps/search/?api=1&amp;query=38.62655591,-0.56796837")</f>
      </c>
      <c r="P2850" s="9" t="s">
        <v>1565</v>
      </c>
      <c r="Q2850" s="9" t="s">
        <v>1131</v>
      </c>
    </row>
    <row r="2851" spans="1:17" x14ac:dyDescent="0.25">
      <c r="A2851" s="8" t="s">
        <v>20173</v>
      </c>
      <c r="B2851" s="8" t="s">
        <v>20174</v>
      </c>
      <c r="C2851" s="9" t="s">
        <v>15446</v>
      </c>
      <c r="D2851" s="9" t="s">
        <v>1282</v>
      </c>
      <c r="E2851" s="9" t="s">
        <v>1282</v>
      </c>
      <c r="F2851" s="10">
        <v>1.514</v>
      </c>
      <c r="G2851" s="10">
        <v>1.665</v>
      </c>
      <c r="H2851" s="10"/>
      <c r="I2851" s="9" t="s">
        <v>45</v>
      </c>
      <c r="J2851" s="9" t="s">
        <v>16984</v>
      </c>
      <c r="K2851" s="9" t="s">
        <v>20175</v>
      </c>
      <c r="L2851" s="8" t="s">
        <v>10375</v>
      </c>
      <c r="M2851" s="9" t="s">
        <v>49</v>
      </c>
      <c r="N2851" s="9" t="s">
        <v>88</v>
      </c>
      <c r="O2851" s="9">
        <f>HYPERLINK("https://www.google.com/maps/search/?api=1&amp;query=37.19771881,-3.63915388", "https://www.google.com/maps/search/?api=1&amp;query=37.19771881,-3.63915388")</f>
      </c>
      <c r="P2851" s="9" t="s">
        <v>1250</v>
      </c>
      <c r="Q2851" s="9" t="s">
        <v>1534</v>
      </c>
    </row>
    <row r="2852" spans="1:17" x14ac:dyDescent="0.25">
      <c r="A2852" s="8" t="s">
        <v>20176</v>
      </c>
      <c r="B2852" s="8" t="s">
        <v>20177</v>
      </c>
      <c r="C2852" s="9" t="s">
        <v>20178</v>
      </c>
      <c r="D2852" s="9" t="s">
        <v>187</v>
      </c>
      <c r="E2852" s="9" t="s">
        <v>20179</v>
      </c>
      <c r="F2852" s="10">
        <v>1.514</v>
      </c>
      <c r="G2852" s="10">
        <v>1.665</v>
      </c>
      <c r="H2852" s="10"/>
      <c r="I2852" s="9" t="s">
        <v>74</v>
      </c>
      <c r="J2852" s="9" t="s">
        <v>20180</v>
      </c>
      <c r="K2852" s="9" t="s">
        <v>20181</v>
      </c>
      <c r="L2852" s="8" t="s">
        <v>20182</v>
      </c>
      <c r="M2852" s="9" t="s">
        <v>36</v>
      </c>
      <c r="N2852" s="9" t="s">
        <v>357</v>
      </c>
      <c r="O2852" s="9">
        <f>HYPERLINK("https://www.google.com/maps/search/?api=1&amp;query=42.54876048,-5.86779932", "https://www.google.com/maps/search/?api=1&amp;query=42.54876048,-5.86779932")</f>
      </c>
      <c r="P2852" s="9" t="s">
        <v>626</v>
      </c>
      <c r="Q2852" s="9" t="s">
        <v>20183</v>
      </c>
    </row>
    <row r="2853" spans="1:17" x14ac:dyDescent="0.25">
      <c r="A2853" s="8" t="s">
        <v>20184</v>
      </c>
      <c r="B2853" s="8" t="s">
        <v>20185</v>
      </c>
      <c r="C2853" s="9" t="s">
        <v>20186</v>
      </c>
      <c r="D2853" s="9" t="s">
        <v>409</v>
      </c>
      <c r="E2853" s="9" t="s">
        <v>409</v>
      </c>
      <c r="F2853" s="10">
        <v>1.514</v>
      </c>
      <c r="G2853" s="10">
        <v>1.665</v>
      </c>
      <c r="H2853" s="10"/>
      <c r="I2853" s="9" t="s">
        <v>292</v>
      </c>
      <c r="J2853" s="9" t="s">
        <v>20187</v>
      </c>
      <c r="K2853" s="9" t="s">
        <v>20188</v>
      </c>
      <c r="L2853" s="8" t="s">
        <v>17156</v>
      </c>
      <c r="M2853" s="9" t="s">
        <v>36</v>
      </c>
      <c r="N2853" s="9" t="s">
        <v>88</v>
      </c>
      <c r="O2853" s="9">
        <f>HYPERLINK("https://www.google.com/maps/search/?api=1&amp;query=41.66154895,-0.88636719", "https://www.google.com/maps/search/?api=1&amp;query=41.66154895,-0.88636719")</f>
      </c>
      <c r="P2853" s="9" t="s">
        <v>1471</v>
      </c>
      <c r="Q2853" s="9" t="s">
        <v>3885</v>
      </c>
    </row>
    <row r="2854" spans="1:17" x14ac:dyDescent="0.25">
      <c r="A2854" s="8" t="s">
        <v>20189</v>
      </c>
      <c r="B2854" s="8" t="s">
        <v>20190</v>
      </c>
      <c r="C2854" s="9" t="s">
        <v>20191</v>
      </c>
      <c r="D2854" s="9" t="s">
        <v>280</v>
      </c>
      <c r="E2854" s="9" t="s">
        <v>10442</v>
      </c>
      <c r="F2854" s="10">
        <v>1.514</v>
      </c>
      <c r="G2854" s="10">
        <v>1.665</v>
      </c>
      <c r="H2854" s="10"/>
      <c r="I2854" s="9" t="s">
        <v>118</v>
      </c>
      <c r="J2854" s="9" t="s">
        <v>20192</v>
      </c>
      <c r="K2854" s="9" t="s">
        <v>20193</v>
      </c>
      <c r="L2854" s="8" t="s">
        <v>10445</v>
      </c>
      <c r="M2854" s="9" t="s">
        <v>36</v>
      </c>
      <c r="N2854" s="9" t="s">
        <v>88</v>
      </c>
      <c r="O2854" s="9">
        <f>HYPERLINK("https://www.google.com/maps/search/?api=1&amp;query=43.03976924,-2.42107644", "https://www.google.com/maps/search/?api=1&amp;query=43.03976924,-2.42107644")</f>
      </c>
      <c r="P2854" s="9" t="s">
        <v>10950</v>
      </c>
      <c r="Q2854" s="9" t="s">
        <v>12402</v>
      </c>
    </row>
    <row r="2855" spans="1:17" x14ac:dyDescent="0.25">
      <c r="A2855" s="8" t="s">
        <v>20194</v>
      </c>
      <c r="B2855" s="8" t="s">
        <v>20195</v>
      </c>
      <c r="C2855" s="9" t="s">
        <v>20196</v>
      </c>
      <c r="D2855" s="9" t="s">
        <v>94</v>
      </c>
      <c r="E2855" s="9" t="s">
        <v>1023</v>
      </c>
      <c r="F2855" s="10">
        <v>1.514</v>
      </c>
      <c r="G2855" s="10">
        <v>1.665</v>
      </c>
      <c r="H2855" s="10"/>
      <c r="I2855" s="9" t="s">
        <v>96</v>
      </c>
      <c r="J2855" s="9" t="s">
        <v>20197</v>
      </c>
      <c r="K2855" s="9" t="s">
        <v>20198</v>
      </c>
      <c r="L2855" s="8" t="s">
        <v>1026</v>
      </c>
      <c r="M2855" s="9" t="s">
        <v>49</v>
      </c>
      <c r="N2855" s="9" t="s">
        <v>37</v>
      </c>
      <c r="O2855" s="9">
        <f>HYPERLINK("https://www.google.com/maps/search/?api=1&amp;query=41.47781989,2.06951961", "https://www.google.com/maps/search/?api=1&amp;query=41.47781989,2.06951961")</f>
      </c>
      <c r="P2855" s="9" t="s">
        <v>144</v>
      </c>
      <c r="Q2855" s="9" t="s">
        <v>647</v>
      </c>
    </row>
    <row r="2856" spans="1:17" x14ac:dyDescent="0.25">
      <c r="A2856" s="8" t="s">
        <v>20199</v>
      </c>
      <c r="B2856" s="8" t="s">
        <v>20200</v>
      </c>
      <c r="C2856" s="9" t="s">
        <v>20201</v>
      </c>
      <c r="D2856" s="9" t="s">
        <v>197</v>
      </c>
      <c r="E2856" s="9" t="s">
        <v>20202</v>
      </c>
      <c r="F2856" s="10">
        <v>1.514</v>
      </c>
      <c r="G2856" s="10">
        <v>1.665</v>
      </c>
      <c r="H2856" s="10"/>
      <c r="I2856" s="9" t="s">
        <v>168</v>
      </c>
      <c r="J2856" s="9" t="s">
        <v>20203</v>
      </c>
      <c r="K2856" s="9" t="s">
        <v>20204</v>
      </c>
      <c r="L2856" s="8" t="s">
        <v>20205</v>
      </c>
      <c r="M2856" s="9" t="s">
        <v>36</v>
      </c>
      <c r="N2856" s="9" t="s">
        <v>483</v>
      </c>
      <c r="O2856" s="9">
        <f>HYPERLINK("https://www.google.com/maps/search/?api=1&amp;query=40.10891463,-3.77067959", "https://www.google.com/maps/search/?api=1&amp;query=40.10891463,-3.77067959")</f>
      </c>
      <c r="P2856" s="9" t="s">
        <v>172</v>
      </c>
      <c r="Q2856" s="9" t="s">
        <v>18229</v>
      </c>
    </row>
    <row r="2857" spans="1:17" x14ac:dyDescent="0.25">
      <c r="A2857" s="8" t="s">
        <v>20206</v>
      </c>
      <c r="B2857" s="8" t="s">
        <v>20207</v>
      </c>
      <c r="C2857" s="9" t="s">
        <v>20208</v>
      </c>
      <c r="D2857" s="9" t="s">
        <v>280</v>
      </c>
      <c r="E2857" s="9" t="s">
        <v>3541</v>
      </c>
      <c r="F2857" s="10">
        <v>1.514</v>
      </c>
      <c r="G2857" s="10">
        <v>1.665</v>
      </c>
      <c r="H2857" s="10"/>
      <c r="I2857" s="9" t="s">
        <v>118</v>
      </c>
      <c r="J2857" s="9" t="s">
        <v>20209</v>
      </c>
      <c r="K2857" s="9" t="s">
        <v>20210</v>
      </c>
      <c r="L2857" s="8" t="s">
        <v>20211</v>
      </c>
      <c r="M2857" s="9" t="s">
        <v>49</v>
      </c>
      <c r="N2857" s="9" t="s">
        <v>483</v>
      </c>
      <c r="O2857" s="9">
        <f>HYPERLINK("https://www.google.com/maps/search/?api=1&amp;query=43.30905904,-1.98150625", "https://www.google.com/maps/search/?api=1&amp;query=43.30905904,-1.98150625")</f>
      </c>
      <c r="P2857" s="9" t="s">
        <v>1250</v>
      </c>
      <c r="Q2857" s="9" t="s">
        <v>1131</v>
      </c>
    </row>
    <row r="2858" spans="1:17" x14ac:dyDescent="0.25">
      <c r="A2858" s="8" t="s">
        <v>20212</v>
      </c>
      <c r="B2858" s="8" t="s">
        <v>20213</v>
      </c>
      <c r="C2858" s="9" t="s">
        <v>20214</v>
      </c>
      <c r="D2858" s="9" t="s">
        <v>177</v>
      </c>
      <c r="E2858" s="9" t="s">
        <v>178</v>
      </c>
      <c r="F2858" s="10">
        <v>1.514</v>
      </c>
      <c r="G2858" s="10">
        <v>1.665</v>
      </c>
      <c r="H2858" s="10"/>
      <c r="I2858" s="9" t="s">
        <v>74</v>
      </c>
      <c r="J2858" s="9" t="s">
        <v>20215</v>
      </c>
      <c r="K2858" s="9" t="s">
        <v>20216</v>
      </c>
      <c r="L2858" s="8" t="s">
        <v>181</v>
      </c>
      <c r="M2858" s="9" t="s">
        <v>36</v>
      </c>
      <c r="N2858" s="9" t="s">
        <v>3164</v>
      </c>
      <c r="O2858" s="9">
        <f>HYPERLINK("https://www.google.com/maps/search/?api=1&amp;query=41.30517521,-4.91106103", "https://www.google.com/maps/search/?api=1&amp;query=41.30517521,-4.91106103")</f>
      </c>
      <c r="P2858" s="9" t="s">
        <v>172</v>
      </c>
      <c r="Q2858" s="9" t="s">
        <v>874</v>
      </c>
    </row>
    <row r="2859" spans="1:17" x14ac:dyDescent="0.25">
      <c r="A2859" s="8" t="s">
        <v>20217</v>
      </c>
      <c r="B2859" s="8" t="s">
        <v>20218</v>
      </c>
      <c r="C2859" s="9" t="s">
        <v>20219</v>
      </c>
      <c r="D2859" s="9" t="s">
        <v>424</v>
      </c>
      <c r="E2859" s="9" t="s">
        <v>20220</v>
      </c>
      <c r="F2859" s="10">
        <v>1.514</v>
      </c>
      <c r="G2859" s="10">
        <v>1.665</v>
      </c>
      <c r="H2859" s="10"/>
      <c r="I2859" s="9" t="s">
        <v>96</v>
      </c>
      <c r="J2859" s="9" t="s">
        <v>20221</v>
      </c>
      <c r="K2859" s="9" t="s">
        <v>20222</v>
      </c>
      <c r="L2859" s="8" t="s">
        <v>20223</v>
      </c>
      <c r="M2859" s="9" t="s">
        <v>49</v>
      </c>
      <c r="N2859" s="9" t="s">
        <v>66</v>
      </c>
      <c r="O2859" s="9">
        <f>HYPERLINK("https://www.google.com/maps/search/?api=1&amp;query=42.00590659,1.29430211", "https://www.google.com/maps/search/?api=1&amp;query=42.00590659,1.29430211")</f>
      </c>
      <c r="P2859" s="9" t="s">
        <v>78</v>
      </c>
      <c r="Q2859" s="9" t="s">
        <v>20224</v>
      </c>
    </row>
    <row r="2860" spans="1:17" x14ac:dyDescent="0.25">
      <c r="A2860" s="8" t="s">
        <v>20225</v>
      </c>
      <c r="B2860" s="8" t="s">
        <v>20226</v>
      </c>
      <c r="C2860" s="9" t="s">
        <v>20227</v>
      </c>
      <c r="D2860" s="9" t="s">
        <v>658</v>
      </c>
      <c r="E2860" s="9" t="s">
        <v>20228</v>
      </c>
      <c r="F2860" s="10">
        <v>1.514</v>
      </c>
      <c r="G2860" s="10">
        <v>1.665</v>
      </c>
      <c r="H2860" s="10"/>
      <c r="I2860" s="9" t="s">
        <v>45</v>
      </c>
      <c r="J2860" s="9" t="s">
        <v>20229</v>
      </c>
      <c r="K2860" s="9" t="s">
        <v>20230</v>
      </c>
      <c r="L2860" s="8" t="s">
        <v>20231</v>
      </c>
      <c r="M2860" s="9" t="s">
        <v>36</v>
      </c>
      <c r="N2860" s="9" t="s">
        <v>1719</v>
      </c>
      <c r="O2860" s="9">
        <f>HYPERLINK("https://www.google.com/maps/search/?api=1&amp;query=37.30745566,-1.77022427", "https://www.google.com/maps/search/?api=1&amp;query=37.30745566,-1.77022427")</f>
      </c>
      <c r="P2860" s="9" t="s">
        <v>12807</v>
      </c>
      <c r="Q2860" s="9" t="s">
        <v>1742</v>
      </c>
    </row>
    <row r="2861" spans="1:17" x14ac:dyDescent="0.25">
      <c r="A2861" s="8" t="s">
        <v>20232</v>
      </c>
      <c r="B2861" s="8" t="s">
        <v>20233</v>
      </c>
      <c r="C2861" s="9" t="s">
        <v>20234</v>
      </c>
      <c r="D2861" s="9" t="s">
        <v>400</v>
      </c>
      <c r="E2861" s="9" t="s">
        <v>15201</v>
      </c>
      <c r="F2861" s="10">
        <v>1.514</v>
      </c>
      <c r="G2861" s="10">
        <v>1.665</v>
      </c>
      <c r="H2861" s="10"/>
      <c r="I2861" s="9" t="s">
        <v>400</v>
      </c>
      <c r="J2861" s="9" t="s">
        <v>20235</v>
      </c>
      <c r="K2861" s="9" t="s">
        <v>20236</v>
      </c>
      <c r="L2861" s="8" t="s">
        <v>15204</v>
      </c>
      <c r="M2861" s="9" t="s">
        <v>36</v>
      </c>
      <c r="N2861" s="9" t="s">
        <v>37</v>
      </c>
      <c r="O2861" s="9">
        <f>HYPERLINK("https://www.google.com/maps/search/?api=1&amp;query=39.67637825,-0.27195906", "https://www.google.com/maps/search/?api=1&amp;query=39.67637825,-0.27195906")</f>
      </c>
      <c r="P2861" s="9" t="s">
        <v>1250</v>
      </c>
      <c r="Q2861" s="9" t="s">
        <v>1131</v>
      </c>
    </row>
    <row r="2862" spans="1:17" x14ac:dyDescent="0.25">
      <c r="A2862" s="8" t="s">
        <v>20237</v>
      </c>
      <c r="B2862" s="8" t="s">
        <v>20238</v>
      </c>
      <c r="C2862" s="9" t="s">
        <v>20239</v>
      </c>
      <c r="D2862" s="9" t="s">
        <v>217</v>
      </c>
      <c r="E2862" s="9" t="s">
        <v>5058</v>
      </c>
      <c r="F2862" s="10">
        <v>1.514</v>
      </c>
      <c r="G2862" s="10">
        <v>1.665</v>
      </c>
      <c r="H2862" s="10"/>
      <c r="I2862" s="9" t="s">
        <v>45</v>
      </c>
      <c r="J2862" s="9" t="s">
        <v>20240</v>
      </c>
      <c r="K2862" s="9" t="s">
        <v>20241</v>
      </c>
      <c r="L2862" s="8" t="s">
        <v>5061</v>
      </c>
      <c r="M2862" s="9" t="s">
        <v>100</v>
      </c>
      <c r="N2862" s="9" t="s">
        <v>37</v>
      </c>
      <c r="O2862" s="9">
        <f>HYPERLINK("https://www.google.com/maps/search/?api=1&amp;query=36.49356544,-4.76430272", "https://www.google.com/maps/search/?api=1&amp;query=36.49356544,-4.76430272")</f>
      </c>
      <c r="P2862" s="9" t="s">
        <v>3013</v>
      </c>
      <c r="Q2862" s="9" t="s">
        <v>7480</v>
      </c>
    </row>
    <row r="2863" spans="1:17" x14ac:dyDescent="0.25">
      <c r="A2863" s="8" t="s">
        <v>20242</v>
      </c>
      <c r="B2863" s="8" t="s">
        <v>20243</v>
      </c>
      <c r="C2863" s="9" t="s">
        <v>20244</v>
      </c>
      <c r="D2863" s="9" t="s">
        <v>187</v>
      </c>
      <c r="E2863" s="9" t="s">
        <v>188</v>
      </c>
      <c r="F2863" s="10">
        <v>1.514</v>
      </c>
      <c r="G2863" s="10">
        <v>1.665</v>
      </c>
      <c r="H2863" s="10"/>
      <c r="I2863" s="9" t="s">
        <v>74</v>
      </c>
      <c r="J2863" s="9" t="s">
        <v>20245</v>
      </c>
      <c r="K2863" s="9" t="s">
        <v>20246</v>
      </c>
      <c r="L2863" s="8" t="s">
        <v>20247</v>
      </c>
      <c r="M2863" s="9" t="s">
        <v>36</v>
      </c>
      <c r="N2863" s="9" t="s">
        <v>211</v>
      </c>
      <c r="O2863" s="9">
        <f>HYPERLINK("https://www.google.com/maps/search/?api=1&amp;query=42.55086809,-6.57621394", "https://www.google.com/maps/search/?api=1&amp;query=42.55086809,-6.57621394")</f>
      </c>
      <c r="P2863" s="9" t="s">
        <v>3400</v>
      </c>
      <c r="Q2863" s="9" t="s">
        <v>20248</v>
      </c>
    </row>
    <row r="2864" spans="1:17" x14ac:dyDescent="0.25">
      <c r="A2864" s="8" t="s">
        <v>20249</v>
      </c>
      <c r="B2864" s="8" t="s">
        <v>20250</v>
      </c>
      <c r="C2864" s="9" t="s">
        <v>20251</v>
      </c>
      <c r="D2864" s="9" t="s">
        <v>469</v>
      </c>
      <c r="E2864" s="9" t="s">
        <v>20252</v>
      </c>
      <c r="F2864" s="10">
        <v>1.514</v>
      </c>
      <c r="G2864" s="10">
        <v>1.665</v>
      </c>
      <c r="H2864" s="10"/>
      <c r="I2864" s="9" t="s">
        <v>74</v>
      </c>
      <c r="J2864" s="9" t="s">
        <v>20253</v>
      </c>
      <c r="K2864" s="9" t="s">
        <v>20254</v>
      </c>
      <c r="L2864" s="8" t="s">
        <v>20255</v>
      </c>
      <c r="M2864" s="9" t="s">
        <v>49</v>
      </c>
      <c r="N2864" s="9" t="s">
        <v>1719</v>
      </c>
      <c r="O2864" s="9">
        <f>HYPERLINK("https://www.google.com/maps/search/?api=1&amp;query=40.38666313,-6.60816686", "https://www.google.com/maps/search/?api=1&amp;query=40.38666313,-6.60816686")</f>
      </c>
      <c r="P2864" s="9" t="s">
        <v>7311</v>
      </c>
      <c r="Q2864" s="9" t="s">
        <v>14072</v>
      </c>
    </row>
    <row r="2865" spans="1:17" x14ac:dyDescent="0.25">
      <c r="A2865" s="8" t="s">
        <v>20256</v>
      </c>
      <c r="B2865" s="8" t="s">
        <v>20257</v>
      </c>
      <c r="C2865" s="9" t="s">
        <v>20258</v>
      </c>
      <c r="D2865" s="9" t="s">
        <v>892</v>
      </c>
      <c r="E2865" s="9" t="s">
        <v>20259</v>
      </c>
      <c r="F2865" s="10">
        <v>1.514</v>
      </c>
      <c r="G2865" s="10">
        <v>1.665</v>
      </c>
      <c r="H2865" s="10"/>
      <c r="I2865" s="9" t="s">
        <v>32</v>
      </c>
      <c r="J2865" s="9" t="s">
        <v>20260</v>
      </c>
      <c r="K2865" s="9" t="s">
        <v>20261</v>
      </c>
      <c r="L2865" s="8" t="s">
        <v>5919</v>
      </c>
      <c r="M2865" s="9" t="s">
        <v>49</v>
      </c>
      <c r="N2865" s="9" t="s">
        <v>211</v>
      </c>
      <c r="O2865" s="9">
        <f>HYPERLINK("https://www.google.com/maps/search/?api=1&amp;query=39.33330806,-5.47941013", "https://www.google.com/maps/search/?api=1&amp;query=39.33330806,-5.47941013")</f>
      </c>
      <c r="P2865" s="9" t="s">
        <v>1423</v>
      </c>
      <c r="Q2865" s="9" t="s">
        <v>1742</v>
      </c>
    </row>
    <row r="2866" spans="1:17" x14ac:dyDescent="0.25">
      <c r="A2866" s="8" t="s">
        <v>20262</v>
      </c>
      <c r="B2866" s="8" t="s">
        <v>20263</v>
      </c>
      <c r="C2866" s="9" t="s">
        <v>20264</v>
      </c>
      <c r="D2866" s="9" t="s">
        <v>379</v>
      </c>
      <c r="E2866" s="9" t="s">
        <v>20265</v>
      </c>
      <c r="F2866" s="10">
        <v>1.514</v>
      </c>
      <c r="G2866" s="10">
        <v>1.665</v>
      </c>
      <c r="H2866" s="10"/>
      <c r="I2866" s="9" t="s">
        <v>379</v>
      </c>
      <c r="J2866" s="9" t="s">
        <v>20266</v>
      </c>
      <c r="K2866" s="9" t="s">
        <v>20267</v>
      </c>
      <c r="L2866" s="8" t="s">
        <v>20268</v>
      </c>
      <c r="M2866" s="9" t="s">
        <v>36</v>
      </c>
      <c r="N2866" s="9" t="s">
        <v>20269</v>
      </c>
      <c r="O2866" s="9">
        <f>HYPERLINK("https://www.google.com/maps/search/?api=1&amp;query=42.02953675,-1.51604664", "https://www.google.com/maps/search/?api=1&amp;query=42.02953675,-1.51604664")</f>
      </c>
      <c r="P2866" s="9" t="s">
        <v>8692</v>
      </c>
      <c r="Q2866" s="9" t="s">
        <v>112</v>
      </c>
    </row>
    <row r="2867" spans="1:17" x14ac:dyDescent="0.25">
      <c r="A2867" s="8" t="s">
        <v>20270</v>
      </c>
      <c r="B2867" s="8" t="s">
        <v>20271</v>
      </c>
      <c r="C2867" s="9" t="s">
        <v>20272</v>
      </c>
      <c r="D2867" s="9" t="s">
        <v>398</v>
      </c>
      <c r="E2867" s="9" t="s">
        <v>20273</v>
      </c>
      <c r="F2867" s="10">
        <v>1.514</v>
      </c>
      <c r="G2867" s="10">
        <v>1.665</v>
      </c>
      <c r="H2867" s="10"/>
      <c r="I2867" s="9" t="s">
        <v>400</v>
      </c>
      <c r="J2867" s="9" t="s">
        <v>20274</v>
      </c>
      <c r="K2867" s="9" t="s">
        <v>20275</v>
      </c>
      <c r="L2867" s="8" t="s">
        <v>20276</v>
      </c>
      <c r="M2867" s="9" t="s">
        <v>49</v>
      </c>
      <c r="N2867" s="9" t="s">
        <v>122</v>
      </c>
      <c r="O2867" s="9">
        <f>HYPERLINK("https://www.google.com/maps/search/?api=1&amp;query=38.64789382,-0.12086281", "https://www.google.com/maps/search/?api=1&amp;query=38.64789382,-0.12086281")</f>
      </c>
      <c r="P2867" s="9" t="s">
        <v>2567</v>
      </c>
      <c r="Q2867" s="9" t="s">
        <v>20277</v>
      </c>
    </row>
    <row r="2868" spans="1:17" x14ac:dyDescent="0.25">
      <c r="A2868" s="8" t="s">
        <v>20278</v>
      </c>
      <c r="B2868" s="8" t="s">
        <v>20279</v>
      </c>
      <c r="C2868" s="9" t="s">
        <v>20280</v>
      </c>
      <c r="D2868" s="9" t="s">
        <v>30</v>
      </c>
      <c r="E2868" s="9" t="s">
        <v>2042</v>
      </c>
      <c r="F2868" s="10">
        <v>1.514</v>
      </c>
      <c r="G2868" s="10">
        <v>1.665</v>
      </c>
      <c r="H2868" s="10"/>
      <c r="I2868" s="9" t="s">
        <v>32</v>
      </c>
      <c r="J2868" s="9" t="s">
        <v>20281</v>
      </c>
      <c r="K2868" s="9" t="s">
        <v>20282</v>
      </c>
      <c r="L2868" s="8" t="s">
        <v>2045</v>
      </c>
      <c r="M2868" s="9" t="s">
        <v>36</v>
      </c>
      <c r="N2868" s="9" t="s">
        <v>88</v>
      </c>
      <c r="O2868" s="9">
        <f>HYPERLINK("https://www.google.com/maps/search/?api=1&amp;query=38.43163645,-6.3989197", "https://www.google.com/maps/search/?api=1&amp;query=38.43163645,-6.3989197")</f>
      </c>
      <c r="P2868" s="9" t="s">
        <v>144</v>
      </c>
      <c r="Q2868" s="9" t="s">
        <v>1742</v>
      </c>
    </row>
    <row r="2869" spans="1:17" x14ac:dyDescent="0.25">
      <c r="A2869" s="8" t="s">
        <v>20283</v>
      </c>
      <c r="B2869" s="8" t="s">
        <v>20284</v>
      </c>
      <c r="C2869" s="9" t="s">
        <v>20285</v>
      </c>
      <c r="D2869" s="9" t="s">
        <v>217</v>
      </c>
      <c r="E2869" s="9" t="s">
        <v>20286</v>
      </c>
      <c r="F2869" s="10">
        <v>1.514</v>
      </c>
      <c r="G2869" s="10">
        <v>1.665</v>
      </c>
      <c r="H2869" s="10"/>
      <c r="I2869" s="9" t="s">
        <v>45</v>
      </c>
      <c r="J2869" s="9" t="s">
        <v>20287</v>
      </c>
      <c r="K2869" s="9" t="s">
        <v>20288</v>
      </c>
      <c r="L2869" s="8" t="s">
        <v>20289</v>
      </c>
      <c r="M2869" s="9" t="s">
        <v>49</v>
      </c>
      <c r="N2869" s="9" t="s">
        <v>66</v>
      </c>
      <c r="O2869" s="9">
        <f>HYPERLINK("https://www.google.com/maps/search/?api=1&amp;query=36.65289959,-4.67905942", "https://www.google.com/maps/search/?api=1&amp;query=36.65289959,-4.67905942")</f>
      </c>
      <c r="P2869" s="9" t="s">
        <v>1565</v>
      </c>
      <c r="Q2869" s="9" t="s">
        <v>1131</v>
      </c>
    </row>
    <row r="2870" spans="1:17" x14ac:dyDescent="0.25">
      <c r="A2870" s="8" t="s">
        <v>20290</v>
      </c>
      <c r="B2870" s="8" t="s">
        <v>20291</v>
      </c>
      <c r="C2870" s="9" t="s">
        <v>20292</v>
      </c>
      <c r="D2870" s="9" t="s">
        <v>94</v>
      </c>
      <c r="E2870" s="9" t="s">
        <v>94</v>
      </c>
      <c r="F2870" s="10">
        <v>1.514</v>
      </c>
      <c r="G2870" s="10">
        <v>1.665</v>
      </c>
      <c r="H2870" s="10"/>
      <c r="I2870" s="9" t="s">
        <v>96</v>
      </c>
      <c r="J2870" s="9" t="s">
        <v>20293</v>
      </c>
      <c r="K2870" s="9" t="s">
        <v>20294</v>
      </c>
      <c r="L2870" s="8" t="s">
        <v>20295</v>
      </c>
      <c r="M2870" s="9" t="s">
        <v>49</v>
      </c>
      <c r="N2870" s="9" t="s">
        <v>37</v>
      </c>
      <c r="O2870" s="9">
        <f>HYPERLINK("https://www.google.com/maps/search/?api=1&amp;query=41.4017819,2.14679898", "https://www.google.com/maps/search/?api=1&amp;query=41.4017819,2.14679898")</f>
      </c>
      <c r="P2870" s="9" t="s">
        <v>172</v>
      </c>
      <c r="Q2870" s="9" t="s">
        <v>3771</v>
      </c>
    </row>
    <row r="2871" spans="1:17" x14ac:dyDescent="0.25">
      <c r="A2871" s="8" t="s">
        <v>20296</v>
      </c>
      <c r="B2871" s="8" t="s">
        <v>20297</v>
      </c>
      <c r="C2871" s="9" t="s">
        <v>20298</v>
      </c>
      <c r="D2871" s="9" t="s">
        <v>30</v>
      </c>
      <c r="E2871" s="9" t="s">
        <v>30</v>
      </c>
      <c r="F2871" s="10">
        <v>1.514</v>
      </c>
      <c r="G2871" s="10">
        <v>1.665</v>
      </c>
      <c r="H2871" s="10"/>
      <c r="I2871" s="9" t="s">
        <v>32</v>
      </c>
      <c r="J2871" s="9" t="s">
        <v>20299</v>
      </c>
      <c r="K2871" s="9" t="s">
        <v>20300</v>
      </c>
      <c r="L2871" s="8" t="s">
        <v>20301</v>
      </c>
      <c r="M2871" s="9" t="s">
        <v>49</v>
      </c>
      <c r="N2871" s="9" t="s">
        <v>20302</v>
      </c>
      <c r="O2871" s="9">
        <f>HYPERLINK("https://www.google.com/maps/search/?api=1&amp;query=38.87452535,-6.97137994", "https://www.google.com/maps/search/?api=1&amp;query=38.87452535,-6.97137994")</f>
      </c>
      <c r="P2871" s="9" t="s">
        <v>1803</v>
      </c>
      <c r="Q2871" s="9" t="s">
        <v>1204</v>
      </c>
    </row>
    <row r="2872" spans="1:17" x14ac:dyDescent="0.25">
      <c r="A2872" s="8" t="s">
        <v>20303</v>
      </c>
      <c r="B2872" s="8" t="s">
        <v>20304</v>
      </c>
      <c r="C2872" s="9" t="s">
        <v>20305</v>
      </c>
      <c r="D2872" s="9" t="s">
        <v>177</v>
      </c>
      <c r="E2872" s="9" t="s">
        <v>20306</v>
      </c>
      <c r="F2872" s="10">
        <v>1.514</v>
      </c>
      <c r="G2872" s="10">
        <v>1.665</v>
      </c>
      <c r="H2872" s="10"/>
      <c r="I2872" s="9" t="s">
        <v>74</v>
      </c>
      <c r="J2872" s="9" t="s">
        <v>20307</v>
      </c>
      <c r="K2872" s="9" t="s">
        <v>20308</v>
      </c>
      <c r="L2872" s="8" t="s">
        <v>20309</v>
      </c>
      <c r="M2872" s="9" t="s">
        <v>36</v>
      </c>
      <c r="N2872" s="9" t="s">
        <v>20310</v>
      </c>
      <c r="O2872" s="9">
        <f>HYPERLINK("https://www.google.com/maps/search/?api=1&amp;query=41.72332245,-5.25279024", "https://www.google.com/maps/search/?api=1&amp;query=41.72332245,-5.25279024")</f>
      </c>
      <c r="P2872" s="9" t="s">
        <v>789</v>
      </c>
      <c r="Q2872" s="9" t="s">
        <v>1131</v>
      </c>
    </row>
    <row r="2873" spans="1:17" x14ac:dyDescent="0.25">
      <c r="A2873" s="8" t="s">
        <v>20311</v>
      </c>
      <c r="B2873" s="8" t="s">
        <v>20312</v>
      </c>
      <c r="C2873" s="9" t="s">
        <v>9716</v>
      </c>
      <c r="D2873" s="9" t="s">
        <v>400</v>
      </c>
      <c r="E2873" s="9" t="s">
        <v>9717</v>
      </c>
      <c r="F2873" s="10">
        <v>1.514</v>
      </c>
      <c r="G2873" s="10">
        <v>1.665</v>
      </c>
      <c r="H2873" s="10"/>
      <c r="I2873" s="9" t="s">
        <v>400</v>
      </c>
      <c r="J2873" s="9" t="s">
        <v>20313</v>
      </c>
      <c r="K2873" s="9" t="s">
        <v>20314</v>
      </c>
      <c r="L2873" s="8" t="s">
        <v>9720</v>
      </c>
      <c r="M2873" s="9" t="s">
        <v>49</v>
      </c>
      <c r="N2873" s="9" t="s">
        <v>9721</v>
      </c>
      <c r="O2873" s="9">
        <f>HYPERLINK("https://www.google.com/maps/search/?api=1&amp;query=38.97574607,-0.57871137", "https://www.google.com/maps/search/?api=1&amp;query=38.97574607,-0.57871137")</f>
      </c>
      <c r="P2873" s="9" t="s">
        <v>20315</v>
      </c>
      <c r="Q2873" s="9" t="s">
        <v>20316</v>
      </c>
    </row>
    <row r="2874" spans="1:17" x14ac:dyDescent="0.25">
      <c r="A2874" s="8" t="s">
        <v>20317</v>
      </c>
      <c r="B2874" s="8" t="s">
        <v>20318</v>
      </c>
      <c r="C2874" s="9" t="s">
        <v>20319</v>
      </c>
      <c r="D2874" s="9" t="s">
        <v>631</v>
      </c>
      <c r="E2874" s="9" t="s">
        <v>20320</v>
      </c>
      <c r="F2874" s="10">
        <v>1.514</v>
      </c>
      <c r="G2874" s="10">
        <v>1.665</v>
      </c>
      <c r="H2874" s="10"/>
      <c r="I2874" s="9" t="s">
        <v>45</v>
      </c>
      <c r="J2874" s="9" t="s">
        <v>20321</v>
      </c>
      <c r="K2874" s="9" t="s">
        <v>20322</v>
      </c>
      <c r="L2874" s="8" t="s">
        <v>20323</v>
      </c>
      <c r="M2874" s="9" t="s">
        <v>49</v>
      </c>
      <c r="N2874" s="9" t="s">
        <v>20324</v>
      </c>
      <c r="O2874" s="9">
        <f>HYPERLINK("https://www.google.com/maps/search/?api=1&amp;query=38.27239857,-5.20573364", "https://www.google.com/maps/search/?api=1&amp;query=38.27239857,-5.20573364")</f>
      </c>
      <c r="P2874" s="9" t="s">
        <v>1373</v>
      </c>
      <c r="Q2874" s="9" t="s">
        <v>2998</v>
      </c>
    </row>
    <row r="2875" spans="1:17" x14ac:dyDescent="0.25">
      <c r="A2875" s="8" t="s">
        <v>20325</v>
      </c>
      <c r="B2875" s="8" t="s">
        <v>20326</v>
      </c>
      <c r="C2875" s="9" t="s">
        <v>20327</v>
      </c>
      <c r="D2875" s="9" t="s">
        <v>217</v>
      </c>
      <c r="E2875" s="9" t="s">
        <v>3733</v>
      </c>
      <c r="F2875" s="10">
        <v>1.514</v>
      </c>
      <c r="G2875" s="10">
        <v>1.665</v>
      </c>
      <c r="H2875" s="10"/>
      <c r="I2875" s="9" t="s">
        <v>45</v>
      </c>
      <c r="J2875" s="9" t="s">
        <v>20328</v>
      </c>
      <c r="K2875" s="9" t="s">
        <v>20329</v>
      </c>
      <c r="L2875" s="8" t="s">
        <v>3736</v>
      </c>
      <c r="M2875" s="9" t="s">
        <v>49</v>
      </c>
      <c r="N2875" s="9" t="s">
        <v>37</v>
      </c>
      <c r="O2875" s="9">
        <f>HYPERLINK("https://www.google.com/maps/search/?api=1&amp;query=36.61501283,-4.50302862", "https://www.google.com/maps/search/?api=1&amp;query=36.61501283,-4.50302862")</f>
      </c>
      <c r="P2875" s="9" t="s">
        <v>1637</v>
      </c>
      <c r="Q2875" s="9" t="s">
        <v>7618</v>
      </c>
    </row>
    <row r="2876" spans="1:17" x14ac:dyDescent="0.25">
      <c r="A2876" s="8" t="s">
        <v>20330</v>
      </c>
      <c r="B2876" s="8" t="s">
        <v>20331</v>
      </c>
      <c r="C2876" s="9" t="s">
        <v>20332</v>
      </c>
      <c r="D2876" s="9" t="s">
        <v>400</v>
      </c>
      <c r="E2876" s="9" t="s">
        <v>20333</v>
      </c>
      <c r="F2876" s="10">
        <v>1.514</v>
      </c>
      <c r="G2876" s="10">
        <v>1.665</v>
      </c>
      <c r="H2876" s="10"/>
      <c r="I2876" s="9" t="s">
        <v>400</v>
      </c>
      <c r="J2876" s="9" t="s">
        <v>20334</v>
      </c>
      <c r="K2876" s="9" t="s">
        <v>20335</v>
      </c>
      <c r="L2876" s="8" t="s">
        <v>20336</v>
      </c>
      <c r="M2876" s="9" t="s">
        <v>49</v>
      </c>
      <c r="N2876" s="9" t="s">
        <v>20337</v>
      </c>
      <c r="O2876" s="9">
        <f>HYPERLINK("https://www.google.com/maps/search/?api=1&amp;query=38.90058686,-0.68810428", "https://www.google.com/maps/search/?api=1&amp;query=38.90058686,-0.68810428")</f>
      </c>
      <c r="P2876" s="9" t="s">
        <v>9840</v>
      </c>
      <c r="Q2876" s="9" t="s">
        <v>12402</v>
      </c>
    </row>
    <row r="2877" spans="1:17" x14ac:dyDescent="0.25">
      <c r="A2877" s="8" t="s">
        <v>20338</v>
      </c>
      <c r="B2877" s="8" t="s">
        <v>20339</v>
      </c>
      <c r="C2877" s="9" t="s">
        <v>20340</v>
      </c>
      <c r="D2877" s="9" t="s">
        <v>61</v>
      </c>
      <c r="E2877" s="9" t="s">
        <v>3997</v>
      </c>
      <c r="F2877" s="10">
        <v>1.514</v>
      </c>
      <c r="G2877" s="10">
        <v>1.665</v>
      </c>
      <c r="H2877" s="10"/>
      <c r="I2877" s="9" t="s">
        <v>45</v>
      </c>
      <c r="J2877" s="9" t="s">
        <v>20341</v>
      </c>
      <c r="K2877" s="9" t="s">
        <v>20342</v>
      </c>
      <c r="L2877" s="8" t="s">
        <v>4000</v>
      </c>
      <c r="M2877" s="9" t="s">
        <v>100</v>
      </c>
      <c r="N2877" s="9" t="s">
        <v>556</v>
      </c>
      <c r="O2877" s="9">
        <f>HYPERLINK("https://www.google.com/maps/search/?api=1&amp;query=37.37656243,-5.90873119", "https://www.google.com/maps/search/?api=1&amp;query=37.37656243,-5.90873119")</f>
      </c>
      <c r="P2877" s="9" t="s">
        <v>4183</v>
      </c>
      <c r="Q2877" s="9" t="s">
        <v>647</v>
      </c>
    </row>
    <row r="2878" spans="1:17" x14ac:dyDescent="0.25">
      <c r="A2878" s="8" t="s">
        <v>20343</v>
      </c>
      <c r="B2878" s="8" t="s">
        <v>20344</v>
      </c>
      <c r="C2878" s="9" t="s">
        <v>20345</v>
      </c>
      <c r="D2878" s="9" t="s">
        <v>469</v>
      </c>
      <c r="E2878" s="9" t="s">
        <v>20346</v>
      </c>
      <c r="F2878" s="10">
        <v>1.514</v>
      </c>
      <c r="G2878" s="10">
        <v>1.665</v>
      </c>
      <c r="H2878" s="10"/>
      <c r="I2878" s="9" t="s">
        <v>74</v>
      </c>
      <c r="J2878" s="9" t="s">
        <v>20347</v>
      </c>
      <c r="K2878" s="9" t="s">
        <v>20348</v>
      </c>
      <c r="L2878" s="8" t="s">
        <v>20349</v>
      </c>
      <c r="M2878" s="9" t="s">
        <v>49</v>
      </c>
      <c r="N2878" s="9" t="s">
        <v>211</v>
      </c>
      <c r="O2878" s="9">
        <f>HYPERLINK("https://www.google.com/maps/search/?api=1&amp;query=40.69971084,-5.62334014", "https://www.google.com/maps/search/?api=1&amp;query=40.69971084,-5.62334014")</f>
      </c>
      <c r="P2878" s="9" t="s">
        <v>880</v>
      </c>
      <c r="Q2878" s="9" t="s">
        <v>2827</v>
      </c>
    </row>
    <row r="2879" spans="1:17" x14ac:dyDescent="0.25">
      <c r="A2879" s="8" t="s">
        <v>20350</v>
      </c>
      <c r="B2879" s="8" t="s">
        <v>20351</v>
      </c>
      <c r="C2879" s="9" t="s">
        <v>20352</v>
      </c>
      <c r="D2879" s="9" t="s">
        <v>217</v>
      </c>
      <c r="E2879" s="9" t="s">
        <v>20353</v>
      </c>
      <c r="F2879" s="10">
        <v>1.514</v>
      </c>
      <c r="G2879" s="10">
        <v>1.665</v>
      </c>
      <c r="H2879" s="10"/>
      <c r="I2879" s="9" t="s">
        <v>45</v>
      </c>
      <c r="J2879" s="9" t="s">
        <v>20354</v>
      </c>
      <c r="K2879" s="9" t="s">
        <v>20355</v>
      </c>
      <c r="L2879" s="8" t="s">
        <v>6152</v>
      </c>
      <c r="M2879" s="9" t="s">
        <v>36</v>
      </c>
      <c r="N2879" s="9" t="s">
        <v>37</v>
      </c>
      <c r="O2879" s="9">
        <f>HYPERLINK("https://www.google.com/maps/search/?api=1&amp;query=36.71608672,-4.30495603", "https://www.google.com/maps/search/?api=1&amp;query=36.71608672,-4.30495603")</f>
      </c>
      <c r="P2879" s="9" t="s">
        <v>13544</v>
      </c>
      <c r="Q2879" s="9" t="s">
        <v>7618</v>
      </c>
    </row>
    <row r="2880" spans="1:17" x14ac:dyDescent="0.25">
      <c r="A2880" s="8" t="s">
        <v>20356</v>
      </c>
      <c r="B2880" s="8" t="s">
        <v>20357</v>
      </c>
      <c r="C2880" s="9" t="s">
        <v>20358</v>
      </c>
      <c r="D2880" s="9" t="s">
        <v>83</v>
      </c>
      <c r="E2880" s="9" t="s">
        <v>20359</v>
      </c>
      <c r="F2880" s="10">
        <v>1.514</v>
      </c>
      <c r="G2880" s="10">
        <v>1.665</v>
      </c>
      <c r="H2880" s="10"/>
      <c r="I2880" s="9" t="s">
        <v>83</v>
      </c>
      <c r="J2880" s="9" t="s">
        <v>20360</v>
      </c>
      <c r="K2880" s="9" t="s">
        <v>20361</v>
      </c>
      <c r="L2880" s="8" t="s">
        <v>20362</v>
      </c>
      <c r="M2880" s="9" t="s">
        <v>49</v>
      </c>
      <c r="N2880" s="9" t="s">
        <v>37</v>
      </c>
      <c r="O2880" s="9">
        <f>HYPERLINK("https://www.google.com/maps/search/?api=1&amp;query=40.67327559,-3.61035716", "https://www.google.com/maps/search/?api=1&amp;query=40.67327559,-3.61035716")</f>
      </c>
      <c r="P2880" s="9" t="s">
        <v>1590</v>
      </c>
      <c r="Q2880" s="9" t="s">
        <v>681</v>
      </c>
    </row>
    <row r="2881" spans="1:17" x14ac:dyDescent="0.25">
      <c r="A2881" s="8" t="s">
        <v>20363</v>
      </c>
      <c r="B2881" s="8" t="s">
        <v>20364</v>
      </c>
      <c r="C2881" s="9" t="s">
        <v>20365</v>
      </c>
      <c r="D2881" s="9" t="s">
        <v>631</v>
      </c>
      <c r="E2881" s="9" t="s">
        <v>20366</v>
      </c>
      <c r="F2881" s="10">
        <v>1.514</v>
      </c>
      <c r="G2881" s="10">
        <v>1.665</v>
      </c>
      <c r="H2881" s="10"/>
      <c r="I2881" s="9" t="s">
        <v>45</v>
      </c>
      <c r="J2881" s="9" t="s">
        <v>20367</v>
      </c>
      <c r="K2881" s="9" t="s">
        <v>20368</v>
      </c>
      <c r="L2881" s="8" t="s">
        <v>20369</v>
      </c>
      <c r="M2881" s="9" t="s">
        <v>36</v>
      </c>
      <c r="N2881" s="9" t="s">
        <v>20370</v>
      </c>
      <c r="O2881" s="9">
        <f>HYPERLINK("https://www.google.com/maps/search/?api=1&amp;query=38.26875825,-4.32368752", "https://www.google.com/maps/search/?api=1&amp;query=38.26875825,-4.32368752")</f>
      </c>
      <c r="P2881" s="9" t="s">
        <v>1439</v>
      </c>
      <c r="Q2881" s="9" t="s">
        <v>1566</v>
      </c>
    </row>
    <row r="2882" spans="1:17" x14ac:dyDescent="0.25">
      <c r="A2882" s="8" t="s">
        <v>20371</v>
      </c>
      <c r="B2882" s="8" t="s">
        <v>20372</v>
      </c>
      <c r="C2882" s="9" t="s">
        <v>8873</v>
      </c>
      <c r="D2882" s="9" t="s">
        <v>400</v>
      </c>
      <c r="E2882" s="9" t="s">
        <v>16256</v>
      </c>
      <c r="F2882" s="10">
        <v>1.514</v>
      </c>
      <c r="G2882" s="10">
        <v>1.665</v>
      </c>
      <c r="H2882" s="10"/>
      <c r="I2882" s="9" t="s">
        <v>400</v>
      </c>
      <c r="J2882" s="9" t="s">
        <v>20373</v>
      </c>
      <c r="K2882" s="9" t="s">
        <v>20374</v>
      </c>
      <c r="L2882" s="8" t="s">
        <v>16259</v>
      </c>
      <c r="M2882" s="9" t="s">
        <v>49</v>
      </c>
      <c r="N2882" s="9" t="s">
        <v>20375</v>
      </c>
      <c r="O2882" s="9">
        <f>HYPERLINK("https://www.google.com/maps/search/?api=1&amp;query=39.16190492,-0.44590913", "https://www.google.com/maps/search/?api=1&amp;query=39.16190492,-0.44590913")</f>
      </c>
      <c r="P2882" s="9" t="s">
        <v>20376</v>
      </c>
      <c r="Q2882" s="9" t="s">
        <v>8151</v>
      </c>
    </row>
    <row r="2883" spans="1:17" x14ac:dyDescent="0.25">
      <c r="A2883" s="8" t="s">
        <v>20377</v>
      </c>
      <c r="B2883" s="8" t="s">
        <v>20378</v>
      </c>
      <c r="C2883" s="9" t="s">
        <v>20379</v>
      </c>
      <c r="D2883" s="9" t="s">
        <v>1617</v>
      </c>
      <c r="E2883" s="9" t="s">
        <v>20380</v>
      </c>
      <c r="F2883" s="10">
        <v>1.514</v>
      </c>
      <c r="G2883" s="10">
        <v>1.665</v>
      </c>
      <c r="H2883" s="10"/>
      <c r="I2883" s="9" t="s">
        <v>292</v>
      </c>
      <c r="J2883" s="9" t="s">
        <v>20381</v>
      </c>
      <c r="K2883" s="9" t="s">
        <v>20382</v>
      </c>
      <c r="L2883" s="8" t="s">
        <v>20383</v>
      </c>
      <c r="M2883" s="9" t="s">
        <v>49</v>
      </c>
      <c r="N2883" s="9" t="s">
        <v>20384</v>
      </c>
      <c r="O2883" s="9">
        <f>HYPERLINK("https://www.google.com/maps/search/?api=1&amp;query=41.84458923,-0.25458836", "https://www.google.com/maps/search/?api=1&amp;query=41.84458923,-0.25458836")</f>
      </c>
      <c r="P2883" s="9" t="s">
        <v>1423</v>
      </c>
      <c r="Q2883" s="9" t="s">
        <v>19443</v>
      </c>
    </row>
    <row r="2884" spans="1:17" x14ac:dyDescent="0.25">
      <c r="A2884" s="8" t="s">
        <v>20385</v>
      </c>
      <c r="B2884" s="8" t="s">
        <v>20386</v>
      </c>
      <c r="C2884" s="9" t="s">
        <v>20387</v>
      </c>
      <c r="D2884" s="9" t="s">
        <v>187</v>
      </c>
      <c r="E2884" s="9" t="s">
        <v>20388</v>
      </c>
      <c r="F2884" s="10">
        <v>1.514</v>
      </c>
      <c r="G2884" s="10">
        <v>1.665</v>
      </c>
      <c r="H2884" s="10"/>
      <c r="I2884" s="9" t="s">
        <v>74</v>
      </c>
      <c r="J2884" s="9" t="s">
        <v>20389</v>
      </c>
      <c r="K2884" s="9" t="s">
        <v>20390</v>
      </c>
      <c r="L2884" s="8" t="s">
        <v>20391</v>
      </c>
      <c r="M2884" s="9" t="s">
        <v>36</v>
      </c>
      <c r="N2884" s="9" t="s">
        <v>20392</v>
      </c>
      <c r="O2884" s="9">
        <f>HYPERLINK("https://www.google.com/maps/search/?api=1&amp;query=42.46240701,-5.57961447", "https://www.google.com/maps/search/?api=1&amp;query=42.46240701,-5.57961447")</f>
      </c>
      <c r="P2884" s="9" t="s">
        <v>10950</v>
      </c>
      <c r="Q2884" s="9" t="s">
        <v>3744</v>
      </c>
    </row>
    <row r="2885" spans="1:17" x14ac:dyDescent="0.25">
      <c r="A2885" s="8" t="s">
        <v>20393</v>
      </c>
      <c r="B2885" s="8" t="s">
        <v>20394</v>
      </c>
      <c r="C2885" s="9" t="s">
        <v>20395</v>
      </c>
      <c r="D2885" s="9" t="s">
        <v>398</v>
      </c>
      <c r="E2885" s="9" t="s">
        <v>20396</v>
      </c>
      <c r="F2885" s="10">
        <v>1.514</v>
      </c>
      <c r="G2885" s="10">
        <v>1.665</v>
      </c>
      <c r="H2885" s="10"/>
      <c r="I2885" s="9" t="s">
        <v>400</v>
      </c>
      <c r="J2885" s="9" t="s">
        <v>20397</v>
      </c>
      <c r="K2885" s="9" t="s">
        <v>20398</v>
      </c>
      <c r="L2885" s="8" t="s">
        <v>20399</v>
      </c>
      <c r="M2885" s="9" t="s">
        <v>49</v>
      </c>
      <c r="N2885" s="9" t="s">
        <v>88</v>
      </c>
      <c r="O2885" s="9">
        <f>HYPERLINK("https://www.google.com/maps/search/?api=1&amp;query=38.05936,-0.88526", "https://www.google.com/maps/search/?api=1&amp;query=38.05936,-0.88526")</f>
      </c>
      <c r="P2885" s="9" t="s">
        <v>646</v>
      </c>
      <c r="Q2885" s="9" t="s">
        <v>20400</v>
      </c>
    </row>
    <row r="2886" spans="1:17" x14ac:dyDescent="0.25">
      <c r="A2886" s="8" t="s">
        <v>20401</v>
      </c>
      <c r="B2886" s="8" t="s">
        <v>20402</v>
      </c>
      <c r="C2886" s="9" t="s">
        <v>20403</v>
      </c>
      <c r="D2886" s="9" t="s">
        <v>488</v>
      </c>
      <c r="E2886" s="9" t="s">
        <v>8696</v>
      </c>
      <c r="F2886" s="10">
        <v>1.514</v>
      </c>
      <c r="G2886" s="10">
        <v>1.665</v>
      </c>
      <c r="H2886" s="10"/>
      <c r="I2886" s="9" t="s">
        <v>45</v>
      </c>
      <c r="J2886" s="9" t="s">
        <v>20404</v>
      </c>
      <c r="K2886" s="9" t="s">
        <v>20405</v>
      </c>
      <c r="L2886" s="8" t="s">
        <v>8699</v>
      </c>
      <c r="M2886" s="9" t="s">
        <v>36</v>
      </c>
      <c r="N2886" s="9" t="s">
        <v>37</v>
      </c>
      <c r="O2886" s="9">
        <f>HYPERLINK("https://www.google.com/maps/search/?api=1&amp;query=37.41157193,-3.85800362", "https://www.google.com/maps/search/?api=1&amp;query=37.41157193,-3.85800362")</f>
      </c>
      <c r="P2886" s="9" t="s">
        <v>8321</v>
      </c>
      <c r="Q2886" s="9" t="s">
        <v>20406</v>
      </c>
    </row>
    <row r="2887" spans="1:17" x14ac:dyDescent="0.25">
      <c r="A2887" s="8" t="s">
        <v>20407</v>
      </c>
      <c r="B2887" s="8" t="s">
        <v>20408</v>
      </c>
      <c r="C2887" s="9" t="s">
        <v>20409</v>
      </c>
      <c r="D2887" s="9" t="s">
        <v>1560</v>
      </c>
      <c r="E2887" s="9" t="s">
        <v>20410</v>
      </c>
      <c r="F2887" s="10">
        <v>1.514</v>
      </c>
      <c r="G2887" s="10">
        <v>1.665</v>
      </c>
      <c r="H2887" s="10"/>
      <c r="I2887" s="9" t="s">
        <v>400</v>
      </c>
      <c r="J2887" s="9" t="s">
        <v>20411</v>
      </c>
      <c r="K2887" s="9" t="s">
        <v>20412</v>
      </c>
      <c r="L2887" s="8" t="s">
        <v>20413</v>
      </c>
      <c r="M2887" s="9" t="s">
        <v>49</v>
      </c>
      <c r="N2887" s="9" t="s">
        <v>37</v>
      </c>
      <c r="O2887" s="9">
        <f>HYPERLINK("https://www.google.com/maps/search/?api=1&amp;query=40.60525892,0.34967222", "https://www.google.com/maps/search/?api=1&amp;query=40.60525892,0.34967222")</f>
      </c>
      <c r="P2887" s="9" t="s">
        <v>493</v>
      </c>
      <c r="Q2887" s="9" t="s">
        <v>20414</v>
      </c>
    </row>
    <row r="2888" spans="1:17" x14ac:dyDescent="0.25">
      <c r="A2888" s="8" t="s">
        <v>20415</v>
      </c>
      <c r="B2888" s="8" t="s">
        <v>20416</v>
      </c>
      <c r="C2888" s="9" t="s">
        <v>15045</v>
      </c>
      <c r="D2888" s="9" t="s">
        <v>197</v>
      </c>
      <c r="E2888" s="9" t="s">
        <v>11975</v>
      </c>
      <c r="F2888" s="10">
        <v>1.514</v>
      </c>
      <c r="G2888" s="10">
        <v>1.665</v>
      </c>
      <c r="H2888" s="10"/>
      <c r="I2888" s="9" t="s">
        <v>168</v>
      </c>
      <c r="J2888" s="9" t="s">
        <v>20417</v>
      </c>
      <c r="K2888" s="9" t="s">
        <v>20418</v>
      </c>
      <c r="L2888" s="8" t="s">
        <v>11978</v>
      </c>
      <c r="M2888" s="9" t="s">
        <v>36</v>
      </c>
      <c r="N2888" s="9" t="s">
        <v>37</v>
      </c>
      <c r="O2888" s="9">
        <f>HYPERLINK("https://www.google.com/maps/search/?api=1&amp;query=40.08476588,-3.86791805", "https://www.google.com/maps/search/?api=1&amp;query=40.08476588,-3.86791805")</f>
      </c>
      <c r="P2888" s="9" t="s">
        <v>1100</v>
      </c>
      <c r="Q2888" s="9" t="s">
        <v>3885</v>
      </c>
    </row>
    <row r="2889" spans="1:17" x14ac:dyDescent="0.25">
      <c r="A2889" s="8" t="s">
        <v>20419</v>
      </c>
      <c r="B2889" s="8" t="s">
        <v>20420</v>
      </c>
      <c r="C2889" s="9" t="s">
        <v>20421</v>
      </c>
      <c r="D2889" s="9" t="s">
        <v>177</v>
      </c>
      <c r="E2889" s="9" t="s">
        <v>20422</v>
      </c>
      <c r="F2889" s="10">
        <v>1.514</v>
      </c>
      <c r="G2889" s="10">
        <v>1.665</v>
      </c>
      <c r="H2889" s="10"/>
      <c r="I2889" s="9" t="s">
        <v>74</v>
      </c>
      <c r="J2889" s="9" t="s">
        <v>20423</v>
      </c>
      <c r="K2889" s="9" t="s">
        <v>20424</v>
      </c>
      <c r="L2889" s="8" t="s">
        <v>20425</v>
      </c>
      <c r="M2889" s="9" t="s">
        <v>49</v>
      </c>
      <c r="N2889" s="9" t="s">
        <v>20426</v>
      </c>
      <c r="O2889" s="9">
        <f>HYPERLINK("https://www.google.com/maps/search/?api=1&amp;query=41.80813593,-5.14515002", "https://www.google.com/maps/search/?api=1&amp;query=41.80813593,-5.14515002")</f>
      </c>
      <c r="P2889" s="9" t="s">
        <v>880</v>
      </c>
      <c r="Q2889" s="9" t="s">
        <v>16334</v>
      </c>
    </row>
    <row r="2890" spans="1:17" x14ac:dyDescent="0.25">
      <c r="A2890" s="8" t="s">
        <v>20427</v>
      </c>
      <c r="B2890" s="8" t="s">
        <v>20428</v>
      </c>
      <c r="C2890" s="9" t="s">
        <v>20429</v>
      </c>
      <c r="D2890" s="9" t="s">
        <v>83</v>
      </c>
      <c r="E2890" s="9" t="s">
        <v>11378</v>
      </c>
      <c r="F2890" s="10">
        <v>1.514</v>
      </c>
      <c r="G2890" s="10">
        <v>1.665</v>
      </c>
      <c r="H2890" s="10"/>
      <c r="I2890" s="9" t="s">
        <v>83</v>
      </c>
      <c r="J2890" s="9" t="s">
        <v>11379</v>
      </c>
      <c r="K2890" s="9" t="s">
        <v>20430</v>
      </c>
      <c r="L2890" s="8" t="s">
        <v>11381</v>
      </c>
      <c r="M2890" s="9" t="s">
        <v>100</v>
      </c>
      <c r="N2890" s="9" t="s">
        <v>88</v>
      </c>
      <c r="O2890" s="9">
        <f>HYPERLINK("https://www.google.com/maps/search/?api=1&amp;query=40.52681018,-3.4816025", "https://www.google.com/maps/search/?api=1&amp;query=40.52681018,-3.4816025")</f>
      </c>
      <c r="P2890" s="9" t="s">
        <v>1139</v>
      </c>
      <c r="Q2890" s="9" t="s">
        <v>20431</v>
      </c>
    </row>
    <row r="2891" spans="1:17" x14ac:dyDescent="0.25">
      <c r="A2891" s="8" t="s">
        <v>20432</v>
      </c>
      <c r="B2891" s="8" t="s">
        <v>20433</v>
      </c>
      <c r="C2891" s="9" t="s">
        <v>20434</v>
      </c>
      <c r="D2891" s="9" t="s">
        <v>94</v>
      </c>
      <c r="E2891" s="9" t="s">
        <v>20435</v>
      </c>
      <c r="F2891" s="10">
        <v>1.514</v>
      </c>
      <c r="G2891" s="10">
        <v>1.665</v>
      </c>
      <c r="H2891" s="10"/>
      <c r="I2891" s="9" t="s">
        <v>96</v>
      </c>
      <c r="J2891" s="9" t="s">
        <v>20436</v>
      </c>
      <c r="K2891" s="9" t="s">
        <v>20437</v>
      </c>
      <c r="L2891" s="8" t="s">
        <v>20438</v>
      </c>
      <c r="M2891" s="9" t="s">
        <v>49</v>
      </c>
      <c r="N2891" s="9" t="s">
        <v>37</v>
      </c>
      <c r="O2891" s="9">
        <f>HYPERLINK("https://www.google.com/maps/search/?api=1&amp;query=41.42880042,1.77902737", "https://www.google.com/maps/search/?api=1&amp;query=41.42880042,1.77902737")</f>
      </c>
      <c r="P2891" s="9" t="s">
        <v>2032</v>
      </c>
      <c r="Q2891" s="9" t="s">
        <v>20439</v>
      </c>
    </row>
    <row r="2892" spans="1:17" x14ac:dyDescent="0.25">
      <c r="A2892" s="8" t="s">
        <v>20440</v>
      </c>
      <c r="B2892" s="8" t="s">
        <v>20441</v>
      </c>
      <c r="C2892" s="9" t="s">
        <v>20442</v>
      </c>
      <c r="D2892" s="9" t="s">
        <v>94</v>
      </c>
      <c r="E2892" s="9" t="s">
        <v>1529</v>
      </c>
      <c r="F2892" s="10">
        <v>1.514</v>
      </c>
      <c r="G2892" s="10">
        <v>1.665</v>
      </c>
      <c r="H2892" s="10"/>
      <c r="I2892" s="9" t="s">
        <v>96</v>
      </c>
      <c r="J2892" s="9" t="s">
        <v>20443</v>
      </c>
      <c r="K2892" s="9" t="s">
        <v>20444</v>
      </c>
      <c r="L2892" s="8" t="s">
        <v>1532</v>
      </c>
      <c r="M2892" s="9" t="s">
        <v>49</v>
      </c>
      <c r="N2892" s="9" t="s">
        <v>88</v>
      </c>
      <c r="O2892" s="9">
        <f>HYPERLINK("https://www.google.com/maps/search/?api=1&amp;query=41.62742628,2.16767856", "https://www.google.com/maps/search/?api=1&amp;query=41.62742628,2.16767856")</f>
      </c>
      <c r="P2892" s="9" t="s">
        <v>705</v>
      </c>
      <c r="Q2892" s="9" t="s">
        <v>1131</v>
      </c>
    </row>
    <row r="2893" spans="1:17" x14ac:dyDescent="0.25">
      <c r="A2893" s="8" t="s">
        <v>20445</v>
      </c>
      <c r="B2893" s="8" t="s">
        <v>20446</v>
      </c>
      <c r="C2893" s="9" t="s">
        <v>16350</v>
      </c>
      <c r="D2893" s="9" t="s">
        <v>400</v>
      </c>
      <c r="E2893" s="9" t="s">
        <v>16351</v>
      </c>
      <c r="F2893" s="10">
        <v>1.514</v>
      </c>
      <c r="G2893" s="10">
        <v>1.665</v>
      </c>
      <c r="H2893" s="10"/>
      <c r="I2893" s="9" t="s">
        <v>400</v>
      </c>
      <c r="J2893" s="9" t="s">
        <v>20447</v>
      </c>
      <c r="K2893" s="9" t="s">
        <v>20448</v>
      </c>
      <c r="L2893" s="8" t="s">
        <v>16354</v>
      </c>
      <c r="M2893" s="9" t="s">
        <v>100</v>
      </c>
      <c r="N2893" s="9" t="s">
        <v>1695</v>
      </c>
      <c r="O2893" s="9">
        <f>HYPERLINK("https://www.google.com/maps/search/?api=1&amp;query=38.89512642,-0.07272317", "https://www.google.com/maps/search/?api=1&amp;query=38.89512642,-0.07272317")</f>
      </c>
      <c r="P2893" s="9" t="s">
        <v>831</v>
      </c>
      <c r="Q2893" s="9" t="s">
        <v>112</v>
      </c>
    </row>
    <row r="2894" spans="1:17" x14ac:dyDescent="0.25">
      <c r="A2894" s="8" t="s">
        <v>20449</v>
      </c>
      <c r="B2894" s="8" t="s">
        <v>20450</v>
      </c>
      <c r="C2894" s="9" t="s">
        <v>20451</v>
      </c>
      <c r="D2894" s="9" t="s">
        <v>30</v>
      </c>
      <c r="E2894" s="9" t="s">
        <v>20452</v>
      </c>
      <c r="F2894" s="10">
        <v>1.514</v>
      </c>
      <c r="G2894" s="10">
        <v>1.665</v>
      </c>
      <c r="H2894" s="10"/>
      <c r="I2894" s="9" t="s">
        <v>32</v>
      </c>
      <c r="J2894" s="9" t="s">
        <v>20453</v>
      </c>
      <c r="K2894" s="9" t="s">
        <v>20454</v>
      </c>
      <c r="L2894" s="8" t="s">
        <v>20455</v>
      </c>
      <c r="M2894" s="9" t="s">
        <v>49</v>
      </c>
      <c r="N2894" s="9" t="s">
        <v>211</v>
      </c>
      <c r="O2894" s="9">
        <f>HYPERLINK("https://www.google.com/maps/search/?api=1&amp;query=38.3284649,-6.7708421", "https://www.google.com/maps/search/?api=1&amp;query=38.3284649,-6.7708421")</f>
      </c>
      <c r="P2894" s="9" t="s">
        <v>1203</v>
      </c>
      <c r="Q2894" s="9" t="s">
        <v>7480</v>
      </c>
    </row>
    <row r="2895" spans="1:17" x14ac:dyDescent="0.25">
      <c r="A2895" s="8" t="s">
        <v>20456</v>
      </c>
      <c r="B2895" s="8" t="s">
        <v>20457</v>
      </c>
      <c r="C2895" s="9" t="s">
        <v>20458</v>
      </c>
      <c r="D2895" s="9" t="s">
        <v>379</v>
      </c>
      <c r="E2895" s="9" t="s">
        <v>20459</v>
      </c>
      <c r="F2895" s="10">
        <v>1.514</v>
      </c>
      <c r="G2895" s="10">
        <v>1.665</v>
      </c>
      <c r="H2895" s="10"/>
      <c r="I2895" s="9" t="s">
        <v>379</v>
      </c>
      <c r="J2895" s="9" t="s">
        <v>20460</v>
      </c>
      <c r="K2895" s="9" t="s">
        <v>7704</v>
      </c>
      <c r="L2895" s="8" t="s">
        <v>4338</v>
      </c>
      <c r="M2895" s="9" t="s">
        <v>36</v>
      </c>
      <c r="N2895" s="9" t="s">
        <v>88</v>
      </c>
      <c r="O2895" s="9">
        <f>HYPERLINK("https://www.google.com/maps/search/?api=1&amp;query=42.7928902,-1.68531849", "https://www.google.com/maps/search/?api=1&amp;query=42.7928902,-1.68531849")</f>
      </c>
      <c r="P2895" s="9" t="s">
        <v>880</v>
      </c>
      <c r="Q2895" s="9" t="s">
        <v>1131</v>
      </c>
    </row>
    <row r="2896" spans="1:17" x14ac:dyDescent="0.25">
      <c r="A2896" s="8" t="s">
        <v>20461</v>
      </c>
      <c r="B2896" s="8" t="s">
        <v>20462</v>
      </c>
      <c r="C2896" s="9" t="s">
        <v>20463</v>
      </c>
      <c r="D2896" s="9" t="s">
        <v>2288</v>
      </c>
      <c r="E2896" s="9" t="s">
        <v>20464</v>
      </c>
      <c r="F2896" s="10">
        <v>1.514</v>
      </c>
      <c r="G2896" s="10">
        <v>1.665</v>
      </c>
      <c r="H2896" s="10"/>
      <c r="I2896" s="9" t="s">
        <v>168</v>
      </c>
      <c r="J2896" s="9" t="s">
        <v>20465</v>
      </c>
      <c r="K2896" s="9" t="s">
        <v>20466</v>
      </c>
      <c r="L2896" s="8" t="s">
        <v>20467</v>
      </c>
      <c r="M2896" s="9" t="s">
        <v>36</v>
      </c>
      <c r="N2896" s="9" t="s">
        <v>88</v>
      </c>
      <c r="O2896" s="9">
        <f>HYPERLINK("https://www.google.com/maps/search/?api=1&amp;query=39.23304578,-1.79991789", "https://www.google.com/maps/search/?api=1&amp;query=39.23304578,-1.79991789")</f>
      </c>
      <c r="P2896" s="9" t="s">
        <v>20468</v>
      </c>
      <c r="Q2896" s="9" t="s">
        <v>3885</v>
      </c>
    </row>
    <row r="2897" spans="1:17" x14ac:dyDescent="0.25">
      <c r="A2897" s="8" t="s">
        <v>20469</v>
      </c>
      <c r="B2897" s="8" t="s">
        <v>20470</v>
      </c>
      <c r="C2897" s="9" t="s">
        <v>20471</v>
      </c>
      <c r="D2897" s="9" t="s">
        <v>94</v>
      </c>
      <c r="E2897" s="9" t="s">
        <v>15735</v>
      </c>
      <c r="F2897" s="10">
        <v>1.514</v>
      </c>
      <c r="G2897" s="10">
        <v>1.665</v>
      </c>
      <c r="H2897" s="10"/>
      <c r="I2897" s="9" t="s">
        <v>96</v>
      </c>
      <c r="J2897" s="9" t="s">
        <v>20472</v>
      </c>
      <c r="K2897" s="9" t="s">
        <v>20473</v>
      </c>
      <c r="L2897" s="8" t="s">
        <v>15738</v>
      </c>
      <c r="M2897" s="9" t="s">
        <v>36</v>
      </c>
      <c r="N2897" s="9" t="s">
        <v>37</v>
      </c>
      <c r="O2897" s="9">
        <f>HYPERLINK("https://www.google.com/maps/search/?api=1&amp;query=41.62032283,1.50934176", "https://www.google.com/maps/search/?api=1&amp;query=41.62032283,1.50934176")</f>
      </c>
      <c r="P2897" s="9" t="s">
        <v>38</v>
      </c>
      <c r="Q2897" s="9" t="s">
        <v>11448</v>
      </c>
    </row>
    <row r="2898" spans="1:17" x14ac:dyDescent="0.25">
      <c r="A2898" s="8" t="s">
        <v>20474</v>
      </c>
      <c r="B2898" s="8" t="s">
        <v>20475</v>
      </c>
      <c r="C2898" s="9" t="s">
        <v>20161</v>
      </c>
      <c r="D2898" s="9" t="s">
        <v>892</v>
      </c>
      <c r="E2898" s="9" t="s">
        <v>20476</v>
      </c>
      <c r="F2898" s="10">
        <v>1.514</v>
      </c>
      <c r="G2898" s="10">
        <v>1.665</v>
      </c>
      <c r="H2898" s="10"/>
      <c r="I2898" s="9" t="s">
        <v>32</v>
      </c>
      <c r="J2898" s="9" t="s">
        <v>20477</v>
      </c>
      <c r="K2898" s="9" t="s">
        <v>20478</v>
      </c>
      <c r="L2898" s="8" t="s">
        <v>20479</v>
      </c>
      <c r="M2898" s="9" t="s">
        <v>36</v>
      </c>
      <c r="N2898" s="9" t="s">
        <v>7479</v>
      </c>
      <c r="O2898" s="9">
        <f>HYPERLINK("https://www.google.com/maps/search/?api=1&amp;query=39.9814799,-5.61028303", "https://www.google.com/maps/search/?api=1&amp;query=39.9814799,-5.61028303")</f>
      </c>
      <c r="P2898" s="9" t="s">
        <v>8007</v>
      </c>
      <c r="Q2898" s="9" t="s">
        <v>1131</v>
      </c>
    </row>
    <row r="2899" spans="1:17" x14ac:dyDescent="0.25">
      <c r="A2899" s="8" t="s">
        <v>20480</v>
      </c>
      <c r="B2899" s="8" t="s">
        <v>20481</v>
      </c>
      <c r="C2899" s="9" t="s">
        <v>20482</v>
      </c>
      <c r="D2899" s="9" t="s">
        <v>155</v>
      </c>
      <c r="E2899" s="9" t="s">
        <v>2409</v>
      </c>
      <c r="F2899" s="10">
        <v>1.514</v>
      </c>
      <c r="G2899" s="10">
        <v>1.665</v>
      </c>
      <c r="H2899" s="10"/>
      <c r="I2899" s="9" t="s">
        <v>157</v>
      </c>
      <c r="J2899" s="9" t="s">
        <v>20483</v>
      </c>
      <c r="K2899" s="9" t="s">
        <v>20484</v>
      </c>
      <c r="L2899" s="8" t="s">
        <v>2412</v>
      </c>
      <c r="M2899" s="9" t="s">
        <v>36</v>
      </c>
      <c r="N2899" s="9" t="s">
        <v>9686</v>
      </c>
      <c r="O2899" s="9">
        <f>HYPERLINK("https://www.google.com/maps/search/?api=1&amp;query=39.7030491,3.22603196", "https://www.google.com/maps/search/?api=1&amp;query=39.7030491,3.22603196")</f>
      </c>
      <c r="P2899" s="9" t="s">
        <v>1613</v>
      </c>
      <c r="Q2899" s="9" t="s">
        <v>3771</v>
      </c>
    </row>
    <row r="2900" spans="1:17" x14ac:dyDescent="0.25">
      <c r="A2900" s="8" t="s">
        <v>20485</v>
      </c>
      <c r="B2900" s="8" t="s">
        <v>20486</v>
      </c>
      <c r="C2900" s="9" t="s">
        <v>20487</v>
      </c>
      <c r="D2900" s="9" t="s">
        <v>919</v>
      </c>
      <c r="E2900" s="9" t="s">
        <v>20488</v>
      </c>
      <c r="F2900" s="10">
        <v>1.514</v>
      </c>
      <c r="G2900" s="10">
        <v>1.665</v>
      </c>
      <c r="H2900" s="10"/>
      <c r="I2900" s="9" t="s">
        <v>118</v>
      </c>
      <c r="J2900" s="9" t="s">
        <v>20489</v>
      </c>
      <c r="K2900" s="9" t="s">
        <v>20490</v>
      </c>
      <c r="L2900" s="8" t="s">
        <v>20491</v>
      </c>
      <c r="M2900" s="9" t="s">
        <v>36</v>
      </c>
      <c r="N2900" s="9" t="s">
        <v>20492</v>
      </c>
      <c r="O2900" s="9">
        <f>HYPERLINK("https://www.google.com/maps/search/?api=1&amp;query=42.67032872,-2.35691627", "https://www.google.com/maps/search/?api=1&amp;query=42.67032872,-2.35691627")</f>
      </c>
      <c r="P2900" s="9" t="s">
        <v>12730</v>
      </c>
      <c r="Q2900" s="9" t="s">
        <v>7556</v>
      </c>
    </row>
    <row r="2901" spans="1:17" x14ac:dyDescent="0.25">
      <c r="A2901" s="8" t="s">
        <v>20493</v>
      </c>
      <c r="B2901" s="8" t="s">
        <v>20494</v>
      </c>
      <c r="C2901" s="9" t="s">
        <v>20495</v>
      </c>
      <c r="D2901" s="9" t="s">
        <v>1483</v>
      </c>
      <c r="E2901" s="9" t="s">
        <v>20496</v>
      </c>
      <c r="F2901" s="10">
        <v>1.514</v>
      </c>
      <c r="G2901" s="10">
        <v>1.665</v>
      </c>
      <c r="H2901" s="10"/>
      <c r="I2901" s="9" t="s">
        <v>74</v>
      </c>
      <c r="J2901" s="9" t="s">
        <v>20497</v>
      </c>
      <c r="K2901" s="9" t="s">
        <v>20498</v>
      </c>
      <c r="L2901" s="8" t="s">
        <v>20499</v>
      </c>
      <c r="M2901" s="9" t="s">
        <v>36</v>
      </c>
      <c r="N2901" s="9" t="s">
        <v>13330</v>
      </c>
      <c r="O2901" s="9">
        <f>HYPERLINK("https://www.google.com/maps/search/?api=1&amp;query=42.94497819,-3.48300443", "https://www.google.com/maps/search/?api=1&amp;query=42.94497819,-3.48300443")</f>
      </c>
      <c r="P2901" s="9" t="s">
        <v>992</v>
      </c>
      <c r="Q2901" s="9" t="s">
        <v>6551</v>
      </c>
    </row>
    <row r="2902" spans="1:17" x14ac:dyDescent="0.25">
      <c r="A2902" s="8" t="s">
        <v>20500</v>
      </c>
      <c r="B2902" s="8" t="s">
        <v>20501</v>
      </c>
      <c r="C2902" s="9" t="s">
        <v>20502</v>
      </c>
      <c r="D2902" s="9" t="s">
        <v>444</v>
      </c>
      <c r="E2902" s="9" t="s">
        <v>20503</v>
      </c>
      <c r="F2902" s="10">
        <v>1.514</v>
      </c>
      <c r="G2902" s="10">
        <v>1.665</v>
      </c>
      <c r="H2902" s="10"/>
      <c r="I2902" s="9" t="s">
        <v>444</v>
      </c>
      <c r="J2902" s="9" t="s">
        <v>20504</v>
      </c>
      <c r="K2902" s="9" t="s">
        <v>20505</v>
      </c>
      <c r="L2902" s="8" t="s">
        <v>10905</v>
      </c>
      <c r="M2902" s="9" t="s">
        <v>36</v>
      </c>
      <c r="N2902" s="9" t="s">
        <v>37</v>
      </c>
      <c r="O2902" s="9">
        <f>HYPERLINK("https://www.google.com/maps/search/?api=1&amp;query=43.34056707,-5.86926336", "https://www.google.com/maps/search/?api=1&amp;query=43.34056707,-5.86926336")</f>
      </c>
      <c r="P2902" s="9" t="s">
        <v>1010</v>
      </c>
      <c r="Q2902" s="9" t="s">
        <v>20506</v>
      </c>
    </row>
    <row r="2903" spans="1:17" x14ac:dyDescent="0.25">
      <c r="A2903" s="8" t="s">
        <v>6000</v>
      </c>
      <c r="B2903" s="8" t="s">
        <v>20507</v>
      </c>
      <c r="C2903" s="9" t="s">
        <v>20508</v>
      </c>
      <c r="D2903" s="9" t="s">
        <v>424</v>
      </c>
      <c r="E2903" s="9" t="s">
        <v>20509</v>
      </c>
      <c r="F2903" s="10">
        <v>1.514</v>
      </c>
      <c r="G2903" s="10">
        <v>1.665</v>
      </c>
      <c r="H2903" s="10"/>
      <c r="I2903" s="9" t="s">
        <v>96</v>
      </c>
      <c r="J2903" s="9" t="s">
        <v>20510</v>
      </c>
      <c r="K2903" s="9" t="s">
        <v>20511</v>
      </c>
      <c r="L2903" s="8" t="s">
        <v>20512</v>
      </c>
      <c r="M2903" s="9" t="s">
        <v>36</v>
      </c>
      <c r="N2903" s="9" t="s">
        <v>20513</v>
      </c>
      <c r="O2903" s="9">
        <f>HYPERLINK("https://www.google.com/maps/search/?api=1&amp;query=41.92077824,1.19128711", "https://www.google.com/maps/search/?api=1&amp;query=41.92077824,1.19128711")</f>
      </c>
      <c r="P2903" s="9" t="s">
        <v>3165</v>
      </c>
      <c r="Q2903" s="9" t="s">
        <v>20514</v>
      </c>
    </row>
    <row r="2904" spans="1:17" x14ac:dyDescent="0.25">
      <c r="A2904" s="8" t="s">
        <v>20515</v>
      </c>
      <c r="B2904" s="8" t="s">
        <v>20516</v>
      </c>
      <c r="C2904" s="9" t="s">
        <v>20517</v>
      </c>
      <c r="D2904" s="9" t="s">
        <v>400</v>
      </c>
      <c r="E2904" s="9" t="s">
        <v>20518</v>
      </c>
      <c r="F2904" s="10">
        <v>1.514</v>
      </c>
      <c r="G2904" s="10">
        <v>1.665</v>
      </c>
      <c r="H2904" s="10"/>
      <c r="I2904" s="9" t="s">
        <v>400</v>
      </c>
      <c r="J2904" s="9" t="s">
        <v>20519</v>
      </c>
      <c r="K2904" s="9" t="s">
        <v>20520</v>
      </c>
      <c r="L2904" s="8" t="s">
        <v>20521</v>
      </c>
      <c r="M2904" s="9" t="s">
        <v>49</v>
      </c>
      <c r="N2904" s="9" t="s">
        <v>7222</v>
      </c>
      <c r="O2904" s="9">
        <f>HYPERLINK("https://www.google.com/maps/search/?api=1&amp;query=39.57422578,-0.32778776", "https://www.google.com/maps/search/?api=1&amp;query=39.57422578,-0.32778776")</f>
      </c>
      <c r="P2904" s="9" t="s">
        <v>4183</v>
      </c>
      <c r="Q2904" s="9" t="s">
        <v>11243</v>
      </c>
    </row>
    <row r="2905" spans="1:17" x14ac:dyDescent="0.25">
      <c r="A2905" s="8" t="s">
        <v>20522</v>
      </c>
      <c r="B2905" s="8" t="s">
        <v>20523</v>
      </c>
      <c r="C2905" s="9" t="s">
        <v>20524</v>
      </c>
      <c r="D2905" s="9" t="s">
        <v>1192</v>
      </c>
      <c r="E2905" s="9" t="s">
        <v>20525</v>
      </c>
      <c r="F2905" s="10">
        <v>1.514</v>
      </c>
      <c r="G2905" s="10">
        <v>1.665</v>
      </c>
      <c r="H2905" s="10"/>
      <c r="I2905" s="9" t="s">
        <v>168</v>
      </c>
      <c r="J2905" s="9" t="s">
        <v>20526</v>
      </c>
      <c r="K2905" s="9" t="s">
        <v>20527</v>
      </c>
      <c r="L2905" s="8" t="s">
        <v>20528</v>
      </c>
      <c r="M2905" s="9" t="s">
        <v>49</v>
      </c>
      <c r="N2905" s="9" t="s">
        <v>20529</v>
      </c>
      <c r="O2905" s="9">
        <f>HYPERLINK("https://www.google.com/maps/search/?api=1&amp;query=38.588362,-3.064356", "https://www.google.com/maps/search/?api=1&amp;query=38.588362,-3.064356")</f>
      </c>
      <c r="P2905" s="9" t="s">
        <v>3685</v>
      </c>
      <c r="Q2905" s="9" t="s">
        <v>7130</v>
      </c>
    </row>
    <row r="2906" spans="1:17" x14ac:dyDescent="0.25">
      <c r="A2906" s="8" t="s">
        <v>20530</v>
      </c>
      <c r="B2906" s="8" t="s">
        <v>20531</v>
      </c>
      <c r="C2906" s="9" t="s">
        <v>20532</v>
      </c>
      <c r="D2906" s="9" t="s">
        <v>307</v>
      </c>
      <c r="E2906" s="9" t="s">
        <v>20533</v>
      </c>
      <c r="F2906" s="10">
        <v>1.514</v>
      </c>
      <c r="G2906" s="10">
        <v>1.665</v>
      </c>
      <c r="H2906" s="10"/>
      <c r="I2906" s="9" t="s">
        <v>74</v>
      </c>
      <c r="J2906" s="9" t="s">
        <v>20534</v>
      </c>
      <c r="K2906" s="9" t="s">
        <v>20535</v>
      </c>
      <c r="L2906" s="8" t="s">
        <v>20536</v>
      </c>
      <c r="M2906" s="9" t="s">
        <v>36</v>
      </c>
      <c r="N2906" s="9" t="s">
        <v>8274</v>
      </c>
      <c r="O2906" s="9">
        <f>HYPERLINK("https://www.google.com/maps/search/?api=1&amp;query=41.46609105,-5.65997754", "https://www.google.com/maps/search/?api=1&amp;query=41.46609105,-5.65997754")</f>
      </c>
      <c r="P2906" s="9" t="s">
        <v>1927</v>
      </c>
      <c r="Q2906" s="9" t="s">
        <v>10756</v>
      </c>
    </row>
    <row r="2907" spans="1:17" x14ac:dyDescent="0.25">
      <c r="A2907" s="8" t="s">
        <v>20537</v>
      </c>
      <c r="B2907" s="8" t="s">
        <v>20538</v>
      </c>
      <c r="C2907" s="9" t="s">
        <v>20539</v>
      </c>
      <c r="D2907" s="9" t="s">
        <v>187</v>
      </c>
      <c r="E2907" s="9" t="s">
        <v>20540</v>
      </c>
      <c r="F2907" s="10">
        <v>1.514</v>
      </c>
      <c r="G2907" s="10">
        <v>1.665</v>
      </c>
      <c r="H2907" s="10"/>
      <c r="I2907" s="9" t="s">
        <v>74</v>
      </c>
      <c r="J2907" s="9" t="s">
        <v>20541</v>
      </c>
      <c r="K2907" s="9" t="s">
        <v>20542</v>
      </c>
      <c r="L2907" s="8" t="s">
        <v>20543</v>
      </c>
      <c r="M2907" s="9" t="s">
        <v>49</v>
      </c>
      <c r="N2907" s="9" t="s">
        <v>20544</v>
      </c>
      <c r="O2907" s="9">
        <f>HYPERLINK("https://www.google.com/maps/search/?api=1&amp;query=42.62354089,-6.45213278", "https://www.google.com/maps/search/?api=1&amp;query=42.62354089,-6.45213278")</f>
      </c>
      <c r="P2907" s="9" t="s">
        <v>780</v>
      </c>
      <c r="Q2907" s="9" t="s">
        <v>2112</v>
      </c>
    </row>
    <row r="2908" spans="1:17" x14ac:dyDescent="0.25">
      <c r="A2908" s="8" t="s">
        <v>20545</v>
      </c>
      <c r="B2908" s="8" t="s">
        <v>20546</v>
      </c>
      <c r="C2908" s="9" t="s">
        <v>20547</v>
      </c>
      <c r="D2908" s="9" t="s">
        <v>217</v>
      </c>
      <c r="E2908" s="9" t="s">
        <v>20548</v>
      </c>
      <c r="F2908" s="10">
        <v>1.514</v>
      </c>
      <c r="G2908" s="10">
        <v>1.665</v>
      </c>
      <c r="H2908" s="10"/>
      <c r="I2908" s="9" t="s">
        <v>45</v>
      </c>
      <c r="J2908" s="9" t="s">
        <v>20549</v>
      </c>
      <c r="K2908" s="9" t="s">
        <v>20550</v>
      </c>
      <c r="L2908" s="8" t="s">
        <v>20551</v>
      </c>
      <c r="M2908" s="9" t="s">
        <v>49</v>
      </c>
      <c r="N2908" s="9" t="s">
        <v>37</v>
      </c>
      <c r="O2908" s="9">
        <f>HYPERLINK("https://www.google.com/maps/search/?api=1&amp;query=36.4964722,-4.9925555", "https://www.google.com/maps/search/?api=1&amp;query=36.4964722,-4.9925555")</f>
      </c>
      <c r="P2908" s="9" t="s">
        <v>897</v>
      </c>
      <c r="Q2908" s="9" t="s">
        <v>10317</v>
      </c>
    </row>
    <row r="2909" spans="1:17" x14ac:dyDescent="0.25">
      <c r="A2909" s="8" t="s">
        <v>20552</v>
      </c>
      <c r="B2909" s="8" t="s">
        <v>20553</v>
      </c>
      <c r="C2909" s="9" t="s">
        <v>20554</v>
      </c>
      <c r="D2909" s="9" t="s">
        <v>61</v>
      </c>
      <c r="E2909" s="9" t="s">
        <v>61</v>
      </c>
      <c r="F2909" s="10">
        <v>1.514</v>
      </c>
      <c r="G2909" s="10">
        <v>1.665</v>
      </c>
      <c r="H2909" s="10"/>
      <c r="I2909" s="9" t="s">
        <v>45</v>
      </c>
      <c r="J2909" s="9" t="s">
        <v>20555</v>
      </c>
      <c r="K2909" s="9" t="s">
        <v>20556</v>
      </c>
      <c r="L2909" s="8" t="s">
        <v>795</v>
      </c>
      <c r="M2909" s="9" t="s">
        <v>49</v>
      </c>
      <c r="N2909" s="9" t="s">
        <v>37</v>
      </c>
      <c r="O2909" s="9">
        <f>HYPERLINK("https://www.google.com/maps/search/?api=1&amp;query=37.3961111,-5.9455555", "https://www.google.com/maps/search/?api=1&amp;query=37.3961111,-5.9455555")</f>
      </c>
      <c r="P2909" s="9" t="s">
        <v>1439</v>
      </c>
      <c r="Q2909" s="9" t="s">
        <v>1131</v>
      </c>
    </row>
    <row r="2910" spans="1:17" x14ac:dyDescent="0.25">
      <c r="A2910" s="8" t="s">
        <v>20557</v>
      </c>
      <c r="B2910" s="8" t="s">
        <v>20558</v>
      </c>
      <c r="C2910" s="9" t="s">
        <v>20559</v>
      </c>
      <c r="D2910" s="9" t="s">
        <v>226</v>
      </c>
      <c r="E2910" s="9" t="s">
        <v>20560</v>
      </c>
      <c r="F2910" s="10">
        <v>1.514</v>
      </c>
      <c r="G2910" s="10">
        <v>1.665</v>
      </c>
      <c r="H2910" s="10"/>
      <c r="I2910" s="9" t="s">
        <v>168</v>
      </c>
      <c r="J2910" s="9" t="s">
        <v>20561</v>
      </c>
      <c r="K2910" s="9" t="s">
        <v>20562</v>
      </c>
      <c r="L2910" s="8" t="s">
        <v>20563</v>
      </c>
      <c r="M2910" s="9" t="s">
        <v>36</v>
      </c>
      <c r="N2910" s="9" t="s">
        <v>1695</v>
      </c>
      <c r="O2910" s="9">
        <f>HYPERLINK("https://www.google.com/maps/search/?api=1&amp;query=40.12385517,-2.90851826", "https://www.google.com/maps/search/?api=1&amp;query=40.12385517,-2.90851826")</f>
      </c>
      <c r="P2910" s="9" t="s">
        <v>1203</v>
      </c>
      <c r="Q2910" s="9" t="s">
        <v>4404</v>
      </c>
    </row>
    <row r="2911" spans="1:17" x14ac:dyDescent="0.25">
      <c r="A2911" s="8" t="s">
        <v>20564</v>
      </c>
      <c r="B2911" s="8" t="s">
        <v>20565</v>
      </c>
      <c r="C2911" s="9" t="s">
        <v>20566</v>
      </c>
      <c r="D2911" s="9" t="s">
        <v>516</v>
      </c>
      <c r="E2911" s="9" t="s">
        <v>20567</v>
      </c>
      <c r="F2911" s="10">
        <v>1.514</v>
      </c>
      <c r="G2911" s="10">
        <v>1.665</v>
      </c>
      <c r="H2911" s="10"/>
      <c r="I2911" s="9" t="s">
        <v>140</v>
      </c>
      <c r="J2911" s="9" t="s">
        <v>20568</v>
      </c>
      <c r="K2911" s="9" t="s">
        <v>20569</v>
      </c>
      <c r="L2911" s="8" t="s">
        <v>20570</v>
      </c>
      <c r="M2911" s="9" t="s">
        <v>49</v>
      </c>
      <c r="N2911" s="9" t="s">
        <v>211</v>
      </c>
      <c r="O2911" s="9">
        <f>HYPERLINK("https://www.google.com/maps/search/?api=1&amp;query=43.01285252,-7.52345402", "https://www.google.com/maps/search/?api=1&amp;query=43.01285252,-7.52345402")</f>
      </c>
      <c r="P2911" s="9" t="s">
        <v>915</v>
      </c>
      <c r="Q2911" s="9" t="s">
        <v>647</v>
      </c>
    </row>
    <row r="2912" spans="1:17" x14ac:dyDescent="0.25">
      <c r="A2912" s="8" t="s">
        <v>20571</v>
      </c>
      <c r="B2912" s="8" t="s">
        <v>20572</v>
      </c>
      <c r="C2912" s="9" t="s">
        <v>20573</v>
      </c>
      <c r="D2912" s="9" t="s">
        <v>83</v>
      </c>
      <c r="E2912" s="9" t="s">
        <v>604</v>
      </c>
      <c r="F2912" s="10">
        <v>1.514</v>
      </c>
      <c r="G2912" s="10">
        <v>1.665</v>
      </c>
      <c r="H2912" s="10"/>
      <c r="I2912" s="9" t="s">
        <v>83</v>
      </c>
      <c r="J2912" s="9" t="s">
        <v>20574</v>
      </c>
      <c r="K2912" s="9" t="s">
        <v>20575</v>
      </c>
      <c r="L2912" s="8" t="s">
        <v>20576</v>
      </c>
      <c r="M2912" s="9" t="s">
        <v>49</v>
      </c>
      <c r="N2912" s="9" t="s">
        <v>37</v>
      </c>
      <c r="O2912" s="9">
        <f>HYPERLINK("https://www.google.com/maps/search/?api=1&amp;query=40.30828008,-3.77760477", "https://www.google.com/maps/search/?api=1&amp;query=40.30828008,-3.77760477")</f>
      </c>
      <c r="P2912" s="9" t="s">
        <v>321</v>
      </c>
      <c r="Q2912" s="9" t="s">
        <v>20577</v>
      </c>
    </row>
    <row r="2913" spans="1:17" x14ac:dyDescent="0.25">
      <c r="A2913" s="8" t="s">
        <v>20578</v>
      </c>
      <c r="B2913" s="8" t="s">
        <v>20579</v>
      </c>
      <c r="C2913" s="9" t="s">
        <v>20580</v>
      </c>
      <c r="D2913" s="9" t="s">
        <v>631</v>
      </c>
      <c r="E2913" s="9" t="s">
        <v>1047</v>
      </c>
      <c r="F2913" s="10">
        <v>1.514</v>
      </c>
      <c r="G2913" s="10">
        <v>1.665</v>
      </c>
      <c r="H2913" s="10"/>
      <c r="I2913" s="9" t="s">
        <v>45</v>
      </c>
      <c r="J2913" s="9" t="s">
        <v>20581</v>
      </c>
      <c r="K2913" s="9" t="s">
        <v>20582</v>
      </c>
      <c r="L2913" s="8" t="s">
        <v>20583</v>
      </c>
      <c r="M2913" s="9" t="s">
        <v>36</v>
      </c>
      <c r="N2913" s="9" t="s">
        <v>5450</v>
      </c>
      <c r="O2913" s="9">
        <f>HYPERLINK("https://www.google.com/maps/search/?api=1&amp;query=37.75833019,-4.82788291", "https://www.google.com/maps/search/?api=1&amp;query=37.75833019,-4.82788291")</f>
      </c>
      <c r="P2913" s="9" t="s">
        <v>4029</v>
      </c>
      <c r="Q2913" s="9" t="s">
        <v>9506</v>
      </c>
    </row>
    <row r="2914" spans="1:17" x14ac:dyDescent="0.25">
      <c r="A2914" s="8" t="s">
        <v>20584</v>
      </c>
      <c r="B2914" s="8" t="s">
        <v>20585</v>
      </c>
      <c r="C2914" s="9" t="s">
        <v>20586</v>
      </c>
      <c r="D2914" s="9" t="s">
        <v>3841</v>
      </c>
      <c r="E2914" s="9" t="s">
        <v>20587</v>
      </c>
      <c r="F2914" s="10">
        <v>1.514</v>
      </c>
      <c r="G2914" s="10">
        <v>1.665</v>
      </c>
      <c r="H2914" s="10"/>
      <c r="I2914" s="9" t="s">
        <v>74</v>
      </c>
      <c r="J2914" s="9" t="s">
        <v>20588</v>
      </c>
      <c r="K2914" s="9" t="s">
        <v>20589</v>
      </c>
      <c r="L2914" s="8" t="s">
        <v>20590</v>
      </c>
      <c r="M2914" s="9" t="s">
        <v>36</v>
      </c>
      <c r="N2914" s="9" t="s">
        <v>20591</v>
      </c>
      <c r="O2914" s="9">
        <f>HYPERLINK("https://www.google.com/maps/search/?api=1&amp;query=41.49582337,-2.8707933", "https://www.google.com/maps/search/?api=1&amp;query=41.49582337,-2.8707933")</f>
      </c>
      <c r="P2914" s="9" t="s">
        <v>8200</v>
      </c>
      <c r="Q2914" s="9" t="s">
        <v>1131</v>
      </c>
    </row>
    <row r="2915" spans="1:17" x14ac:dyDescent="0.25">
      <c r="A2915" s="8" t="s">
        <v>20592</v>
      </c>
      <c r="B2915" s="8" t="s">
        <v>20593</v>
      </c>
      <c r="C2915" s="9" t="s">
        <v>20594</v>
      </c>
      <c r="D2915" s="9" t="s">
        <v>280</v>
      </c>
      <c r="E2915" s="9" t="s">
        <v>20595</v>
      </c>
      <c r="F2915" s="10">
        <v>1.514</v>
      </c>
      <c r="G2915" s="10">
        <v>1.665</v>
      </c>
      <c r="H2915" s="10"/>
      <c r="I2915" s="9" t="s">
        <v>118</v>
      </c>
      <c r="J2915" s="9" t="s">
        <v>20596</v>
      </c>
      <c r="K2915" s="9" t="s">
        <v>20597</v>
      </c>
      <c r="L2915" s="8" t="s">
        <v>20598</v>
      </c>
      <c r="M2915" s="9" t="s">
        <v>49</v>
      </c>
      <c r="N2915" s="9" t="s">
        <v>88</v>
      </c>
      <c r="O2915" s="9">
        <f>HYPERLINK("https://www.google.com/maps/search/?api=1&amp;query=43.06569062,-2.16402766", "https://www.google.com/maps/search/?api=1&amp;query=43.06569062,-2.16402766")</f>
      </c>
      <c r="P2915" s="9" t="s">
        <v>144</v>
      </c>
      <c r="Q2915" s="9" t="s">
        <v>12074</v>
      </c>
    </row>
    <row r="2916" spans="1:17" x14ac:dyDescent="0.25">
      <c r="A2916" s="8" t="s">
        <v>20599</v>
      </c>
      <c r="B2916" s="8" t="s">
        <v>20600</v>
      </c>
      <c r="C2916" s="9" t="s">
        <v>20601</v>
      </c>
      <c r="D2916" s="9" t="s">
        <v>1847</v>
      </c>
      <c r="E2916" s="9" t="s">
        <v>1847</v>
      </c>
      <c r="F2916" s="10">
        <v>1.514</v>
      </c>
      <c r="G2916" s="10">
        <v>1.665</v>
      </c>
      <c r="H2916" s="10"/>
      <c r="I2916" s="9" t="s">
        <v>74</v>
      </c>
      <c r="J2916" s="9" t="s">
        <v>20602</v>
      </c>
      <c r="K2916" s="9" t="s">
        <v>20603</v>
      </c>
      <c r="L2916" s="8" t="s">
        <v>20604</v>
      </c>
      <c r="M2916" s="9" t="s">
        <v>36</v>
      </c>
      <c r="N2916" s="9" t="s">
        <v>14319</v>
      </c>
      <c r="O2916" s="9">
        <f>HYPERLINK("https://www.google.com/maps/search/?api=1&amp;query=40.94142159,-4.10570788", "https://www.google.com/maps/search/?api=1&amp;query=40.94142159,-4.10570788")</f>
      </c>
      <c r="P2916" s="9" t="s">
        <v>1751</v>
      </c>
      <c r="Q2916" s="9" t="s">
        <v>2641</v>
      </c>
    </row>
    <row r="2917" spans="1:17" x14ac:dyDescent="0.25">
      <c r="A2917" s="8" t="s">
        <v>20605</v>
      </c>
      <c r="B2917" s="8" t="s">
        <v>20606</v>
      </c>
      <c r="C2917" s="9" t="s">
        <v>20607</v>
      </c>
      <c r="D2917" s="9" t="s">
        <v>30</v>
      </c>
      <c r="E2917" s="9" t="s">
        <v>20608</v>
      </c>
      <c r="F2917" s="10">
        <v>1.514</v>
      </c>
      <c r="G2917" s="10">
        <v>1.665</v>
      </c>
      <c r="H2917" s="10"/>
      <c r="I2917" s="9" t="s">
        <v>32</v>
      </c>
      <c r="J2917" s="9" t="s">
        <v>20609</v>
      </c>
      <c r="K2917" s="9" t="s">
        <v>20610</v>
      </c>
      <c r="L2917" s="8" t="s">
        <v>20611</v>
      </c>
      <c r="M2917" s="9" t="s">
        <v>36</v>
      </c>
      <c r="N2917" s="9" t="s">
        <v>2640</v>
      </c>
      <c r="O2917" s="9">
        <f>HYPERLINK("https://www.google.com/maps/search/?api=1&amp;query=38.82931453,-6.21334331", "https://www.google.com/maps/search/?api=1&amp;query=38.82931453,-6.21334331")</f>
      </c>
      <c r="P2917" s="9" t="s">
        <v>8200</v>
      </c>
      <c r="Q2917" s="9" t="s">
        <v>16656</v>
      </c>
    </row>
    <row r="2918" spans="1:17" x14ac:dyDescent="0.25">
      <c r="A2918" s="8" t="s">
        <v>20612</v>
      </c>
      <c r="B2918" s="8" t="s">
        <v>20613</v>
      </c>
      <c r="C2918" s="9" t="s">
        <v>20614</v>
      </c>
      <c r="D2918" s="9" t="s">
        <v>128</v>
      </c>
      <c r="E2918" s="9" t="s">
        <v>20615</v>
      </c>
      <c r="F2918" s="10">
        <v>1.514</v>
      </c>
      <c r="G2918" s="10">
        <v>1.665</v>
      </c>
      <c r="H2918" s="10"/>
      <c r="I2918" s="9" t="s">
        <v>45</v>
      </c>
      <c r="J2918" s="9" t="s">
        <v>20616</v>
      </c>
      <c r="K2918" s="9" t="s">
        <v>20617</v>
      </c>
      <c r="L2918" s="8" t="s">
        <v>20618</v>
      </c>
      <c r="M2918" s="9" t="s">
        <v>49</v>
      </c>
      <c r="N2918" s="9" t="s">
        <v>20619</v>
      </c>
      <c r="O2918" s="9">
        <f>HYPERLINK("https://www.google.com/maps/search/?api=1&amp;query=36.93418776,-5.25461501", "https://www.google.com/maps/search/?api=1&amp;query=36.93418776,-5.25461501")</f>
      </c>
      <c r="P2918" s="9" t="s">
        <v>880</v>
      </c>
      <c r="Q2918" s="9" t="s">
        <v>10203</v>
      </c>
    </row>
    <row r="2919" spans="1:17" x14ac:dyDescent="0.25">
      <c r="A2919" s="8" t="s">
        <v>20620</v>
      </c>
      <c r="B2919" s="8" t="s">
        <v>20621</v>
      </c>
      <c r="C2919" s="9" t="s">
        <v>16799</v>
      </c>
      <c r="D2919" s="9" t="s">
        <v>1434</v>
      </c>
      <c r="E2919" s="9" t="s">
        <v>16800</v>
      </c>
      <c r="F2919" s="10">
        <v>1.514</v>
      </c>
      <c r="G2919" s="10">
        <v>1.665</v>
      </c>
      <c r="H2919" s="10"/>
      <c r="I2919" s="9" t="s">
        <v>1434</v>
      </c>
      <c r="J2919" s="9" t="s">
        <v>20622</v>
      </c>
      <c r="K2919" s="9" t="s">
        <v>20623</v>
      </c>
      <c r="L2919" s="8" t="s">
        <v>16803</v>
      </c>
      <c r="M2919" s="9" t="s">
        <v>100</v>
      </c>
      <c r="N2919" s="9" t="s">
        <v>645</v>
      </c>
      <c r="O2919" s="9">
        <f>HYPERLINK("https://www.google.com/maps/search/?api=1&amp;query=42.56631466,-2.838859", "https://www.google.com/maps/search/?api=1&amp;query=42.56631466,-2.838859")</f>
      </c>
      <c r="P2919" s="9" t="s">
        <v>4559</v>
      </c>
      <c r="Q2919" s="9" t="s">
        <v>20624</v>
      </c>
    </row>
    <row r="2920" spans="1:17" x14ac:dyDescent="0.25">
      <c r="A2920" s="8" t="s">
        <v>20625</v>
      </c>
      <c r="B2920" s="8" t="s">
        <v>20626</v>
      </c>
      <c r="C2920" s="9" t="s">
        <v>20627</v>
      </c>
      <c r="D2920" s="9" t="s">
        <v>808</v>
      </c>
      <c r="E2920" s="9" t="s">
        <v>20628</v>
      </c>
      <c r="F2920" s="10">
        <v>1.514</v>
      </c>
      <c r="G2920" s="10">
        <v>1.665</v>
      </c>
      <c r="H2920" s="10"/>
      <c r="I2920" s="9" t="s">
        <v>808</v>
      </c>
      <c r="J2920" s="9" t="s">
        <v>20629</v>
      </c>
      <c r="K2920" s="9" t="s">
        <v>20630</v>
      </c>
      <c r="L2920" s="8" t="s">
        <v>20631</v>
      </c>
      <c r="M2920" s="9" t="s">
        <v>100</v>
      </c>
      <c r="N2920" s="9" t="s">
        <v>7163</v>
      </c>
      <c r="O2920" s="9">
        <f>HYPERLINK("https://www.google.com/maps/search/?api=1&amp;query=43.4567429,-3.70935797", "https://www.google.com/maps/search/?api=1&amp;query=43.4567429,-3.70935797")</f>
      </c>
      <c r="P2920" s="9" t="s">
        <v>771</v>
      </c>
      <c r="Q2920" s="9" t="s">
        <v>3771</v>
      </c>
    </row>
    <row r="2921" spans="1:17" x14ac:dyDescent="0.25">
      <c r="A2921" s="8" t="s">
        <v>20632</v>
      </c>
      <c r="B2921" s="8" t="s">
        <v>20633</v>
      </c>
      <c r="C2921" s="9" t="s">
        <v>20634</v>
      </c>
      <c r="D2921" s="9" t="s">
        <v>434</v>
      </c>
      <c r="E2921" s="9" t="s">
        <v>20635</v>
      </c>
      <c r="F2921" s="10">
        <v>1.514</v>
      </c>
      <c r="G2921" s="10">
        <v>1.665</v>
      </c>
      <c r="H2921" s="10"/>
      <c r="I2921" s="9" t="s">
        <v>96</v>
      </c>
      <c r="J2921" s="9" t="s">
        <v>20636</v>
      </c>
      <c r="K2921" s="9" t="s">
        <v>20637</v>
      </c>
      <c r="L2921" s="8" t="s">
        <v>20638</v>
      </c>
      <c r="M2921" s="9" t="s">
        <v>36</v>
      </c>
      <c r="N2921" s="9" t="s">
        <v>20639</v>
      </c>
      <c r="O2921" s="9">
        <f>HYPERLINK("https://www.google.com/maps/search/?api=1&amp;query=42.20184404,2.69221683", "https://www.google.com/maps/search/?api=1&amp;query=42.20184404,2.69221683")</f>
      </c>
      <c r="P2921" s="9" t="s">
        <v>2233</v>
      </c>
      <c r="Q2921" s="9" t="s">
        <v>20640</v>
      </c>
    </row>
    <row r="2922" spans="1:17" x14ac:dyDescent="0.25">
      <c r="A2922" s="8" t="s">
        <v>20641</v>
      </c>
      <c r="B2922" s="8" t="s">
        <v>20642</v>
      </c>
      <c r="C2922" s="9" t="s">
        <v>20643</v>
      </c>
      <c r="D2922" s="9" t="s">
        <v>197</v>
      </c>
      <c r="E2922" s="9" t="s">
        <v>7952</v>
      </c>
      <c r="F2922" s="10">
        <v>1.514</v>
      </c>
      <c r="G2922" s="10">
        <v>1.665</v>
      </c>
      <c r="H2922" s="10"/>
      <c r="I2922" s="9" t="s">
        <v>168</v>
      </c>
      <c r="J2922" s="9" t="s">
        <v>20644</v>
      </c>
      <c r="K2922" s="9" t="s">
        <v>20645</v>
      </c>
      <c r="L2922" s="8" t="s">
        <v>7955</v>
      </c>
      <c r="M2922" s="9" t="s">
        <v>36</v>
      </c>
      <c r="N2922" s="9" t="s">
        <v>20646</v>
      </c>
      <c r="O2922" s="9">
        <f>HYPERLINK("https://www.google.com/maps/search/?api=1&amp;query=39.43569232,-3.46939896", "https://www.google.com/maps/search/?api=1&amp;query=39.43569232,-3.46939896")</f>
      </c>
      <c r="P2922" s="9" t="s">
        <v>1203</v>
      </c>
      <c r="Q2922" s="9" t="s">
        <v>8477</v>
      </c>
    </row>
    <row r="2923" spans="1:17" x14ac:dyDescent="0.25">
      <c r="A2923" s="8" t="s">
        <v>20647</v>
      </c>
      <c r="B2923" s="8" t="s">
        <v>20648</v>
      </c>
      <c r="C2923" s="9" t="s">
        <v>20649</v>
      </c>
      <c r="D2923" s="9" t="s">
        <v>197</v>
      </c>
      <c r="E2923" s="9" t="s">
        <v>197</v>
      </c>
      <c r="F2923" s="10">
        <v>1.514</v>
      </c>
      <c r="G2923" s="10">
        <v>1.665</v>
      </c>
      <c r="H2923" s="10"/>
      <c r="I2923" s="9" t="s">
        <v>168</v>
      </c>
      <c r="J2923" s="9" t="s">
        <v>20650</v>
      </c>
      <c r="K2923" s="9" t="s">
        <v>20651</v>
      </c>
      <c r="L2923" s="8" t="s">
        <v>20652</v>
      </c>
      <c r="M2923" s="9" t="s">
        <v>49</v>
      </c>
      <c r="N2923" s="9" t="s">
        <v>954</v>
      </c>
      <c r="O2923" s="9">
        <f>HYPERLINK("https://www.google.com/maps/search/?api=1&amp;query=39.8607071,-4.04313946", "https://www.google.com/maps/search/?api=1&amp;query=39.8607071,-4.04313946")</f>
      </c>
      <c r="P2923" s="9" t="s">
        <v>172</v>
      </c>
      <c r="Q2923" s="9" t="s">
        <v>1170</v>
      </c>
    </row>
    <row r="2924" spans="1:17" x14ac:dyDescent="0.25">
      <c r="A2924" s="8" t="s">
        <v>20653</v>
      </c>
      <c r="B2924" s="8" t="s">
        <v>20654</v>
      </c>
      <c r="C2924" s="9" t="s">
        <v>20655</v>
      </c>
      <c r="D2924" s="9" t="s">
        <v>30</v>
      </c>
      <c r="E2924" s="9" t="s">
        <v>1969</v>
      </c>
      <c r="F2924" s="10">
        <v>1.514</v>
      </c>
      <c r="G2924" s="10">
        <v>1.665</v>
      </c>
      <c r="H2924" s="10"/>
      <c r="I2924" s="9" t="s">
        <v>32</v>
      </c>
      <c r="J2924" s="9" t="s">
        <v>20656</v>
      </c>
      <c r="K2924" s="9" t="s">
        <v>20657</v>
      </c>
      <c r="L2924" s="8" t="s">
        <v>1972</v>
      </c>
      <c r="M2924" s="9" t="s">
        <v>49</v>
      </c>
      <c r="N2924" s="9" t="s">
        <v>20658</v>
      </c>
      <c r="O2924" s="9">
        <f>HYPERLINK("https://www.google.com/maps/search/?api=1&amp;query=38.90561221,-6.35812022", "https://www.google.com/maps/search/?api=1&amp;query=38.90561221,-6.35812022")</f>
      </c>
      <c r="P2924" s="9" t="s">
        <v>3530</v>
      </c>
      <c r="Q2924" s="9" t="s">
        <v>112</v>
      </c>
    </row>
    <row r="2925" spans="1:17" x14ac:dyDescent="0.25">
      <c r="A2925" s="8" t="s">
        <v>20659</v>
      </c>
      <c r="B2925" s="8" t="s">
        <v>20660</v>
      </c>
      <c r="C2925" s="9" t="s">
        <v>20661</v>
      </c>
      <c r="D2925" s="9" t="s">
        <v>61</v>
      </c>
      <c r="E2925" s="9" t="s">
        <v>20662</v>
      </c>
      <c r="F2925" s="10">
        <v>1.514</v>
      </c>
      <c r="G2925" s="10">
        <v>1.665</v>
      </c>
      <c r="H2925" s="10"/>
      <c r="I2925" s="9" t="s">
        <v>45</v>
      </c>
      <c r="J2925" s="9" t="s">
        <v>20663</v>
      </c>
      <c r="K2925" s="9" t="s">
        <v>20664</v>
      </c>
      <c r="L2925" s="8" t="s">
        <v>20665</v>
      </c>
      <c r="M2925" s="9" t="s">
        <v>49</v>
      </c>
      <c r="N2925" s="9" t="s">
        <v>88</v>
      </c>
      <c r="O2925" s="9">
        <f>HYPERLINK("https://www.google.com/maps/search/?api=1&amp;query=37.83277795,-5.77056472", "https://www.google.com/maps/search/?api=1&amp;query=37.83277795,-5.77056472")</f>
      </c>
      <c r="P2925" s="9" t="s">
        <v>1250</v>
      </c>
      <c r="Q2925" s="9" t="s">
        <v>1170</v>
      </c>
    </row>
    <row r="2926" spans="1:17" x14ac:dyDescent="0.25">
      <c r="A2926" s="8" t="s">
        <v>20666</v>
      </c>
      <c r="B2926" s="8" t="s">
        <v>20667</v>
      </c>
      <c r="C2926" s="9" t="s">
        <v>20668</v>
      </c>
      <c r="D2926" s="9" t="s">
        <v>217</v>
      </c>
      <c r="E2926" s="9" t="s">
        <v>20669</v>
      </c>
      <c r="F2926" s="10">
        <v>1.514</v>
      </c>
      <c r="G2926" s="10">
        <v>1.665</v>
      </c>
      <c r="H2926" s="10"/>
      <c r="I2926" s="9" t="s">
        <v>45</v>
      </c>
      <c r="J2926" s="9" t="s">
        <v>20670</v>
      </c>
      <c r="K2926" s="9" t="s">
        <v>20671</v>
      </c>
      <c r="L2926" s="8" t="s">
        <v>20672</v>
      </c>
      <c r="M2926" s="9" t="s">
        <v>49</v>
      </c>
      <c r="N2926" s="9" t="s">
        <v>122</v>
      </c>
      <c r="O2926" s="9">
        <f>HYPERLINK("https://www.google.com/maps/search/?api=1&amp;query=36.93490868,-4.68035348", "https://www.google.com/maps/search/?api=1&amp;query=36.93490868,-4.68035348")</f>
      </c>
      <c r="P2926" s="9" t="s">
        <v>12610</v>
      </c>
      <c r="Q2926" s="9" t="s">
        <v>1131</v>
      </c>
    </row>
    <row r="2927" spans="1:17" x14ac:dyDescent="0.25">
      <c r="A2927" s="8" t="s">
        <v>20673</v>
      </c>
      <c r="B2927" s="8" t="s">
        <v>20674</v>
      </c>
      <c r="C2927" s="9" t="s">
        <v>20675</v>
      </c>
      <c r="D2927" s="9" t="s">
        <v>892</v>
      </c>
      <c r="E2927" s="9" t="s">
        <v>4378</v>
      </c>
      <c r="F2927" s="10">
        <v>1.514</v>
      </c>
      <c r="G2927" s="10">
        <v>1.665</v>
      </c>
      <c r="H2927" s="10"/>
      <c r="I2927" s="9" t="s">
        <v>32</v>
      </c>
      <c r="J2927" s="9" t="s">
        <v>20676</v>
      </c>
      <c r="K2927" s="9" t="s">
        <v>20677</v>
      </c>
      <c r="L2927" s="8" t="s">
        <v>4381</v>
      </c>
      <c r="M2927" s="9" t="s">
        <v>49</v>
      </c>
      <c r="N2927" s="9" t="s">
        <v>592</v>
      </c>
      <c r="O2927" s="9">
        <f>HYPERLINK("https://www.google.com/maps/search/?api=1&amp;query=40.02272591,-6.09717179", "https://www.google.com/maps/search/?api=1&amp;query=40.02272591,-6.09717179")</f>
      </c>
      <c r="P2927" s="9" t="s">
        <v>321</v>
      </c>
      <c r="Q2927" s="9" t="s">
        <v>5395</v>
      </c>
    </row>
    <row r="2928" spans="1:17" x14ac:dyDescent="0.25">
      <c r="A2928" s="8" t="s">
        <v>20678</v>
      </c>
      <c r="B2928" s="8" t="s">
        <v>20679</v>
      </c>
      <c r="C2928" s="9" t="s">
        <v>20680</v>
      </c>
      <c r="D2928" s="9" t="s">
        <v>400</v>
      </c>
      <c r="E2928" s="9" t="s">
        <v>20681</v>
      </c>
      <c r="F2928" s="10">
        <v>1.514</v>
      </c>
      <c r="G2928" s="10">
        <v>1.665</v>
      </c>
      <c r="H2928" s="10"/>
      <c r="I2928" s="9" t="s">
        <v>400</v>
      </c>
      <c r="J2928" s="9" t="s">
        <v>20682</v>
      </c>
      <c r="K2928" s="9" t="s">
        <v>20683</v>
      </c>
      <c r="L2928" s="8" t="s">
        <v>20684</v>
      </c>
      <c r="M2928" s="9" t="s">
        <v>49</v>
      </c>
      <c r="N2928" s="9" t="s">
        <v>88</v>
      </c>
      <c r="O2928" s="9">
        <f>HYPERLINK("https://www.google.com/maps/search/?api=1&amp;query=39.07633232,-0.50823426", "https://www.google.com/maps/search/?api=1&amp;query=39.07633232,-0.50823426")</f>
      </c>
      <c r="P2928" s="9" t="s">
        <v>906</v>
      </c>
      <c r="Q2928" s="9" t="s">
        <v>3459</v>
      </c>
    </row>
    <row r="2929" spans="1:17" x14ac:dyDescent="0.25">
      <c r="A2929" s="8" t="s">
        <v>20685</v>
      </c>
      <c r="B2929" s="8" t="s">
        <v>20686</v>
      </c>
      <c r="C2929" s="9" t="s">
        <v>20687</v>
      </c>
      <c r="D2929" s="9" t="s">
        <v>488</v>
      </c>
      <c r="E2929" s="9" t="s">
        <v>20688</v>
      </c>
      <c r="F2929" s="10">
        <v>1.514</v>
      </c>
      <c r="G2929" s="10">
        <v>1.665</v>
      </c>
      <c r="H2929" s="10"/>
      <c r="I2929" s="9" t="s">
        <v>45</v>
      </c>
      <c r="J2929" s="9" t="s">
        <v>20689</v>
      </c>
      <c r="K2929" s="9" t="s">
        <v>20690</v>
      </c>
      <c r="L2929" s="8" t="s">
        <v>20691</v>
      </c>
      <c r="M2929" s="9" t="s">
        <v>100</v>
      </c>
      <c r="N2929" s="9" t="s">
        <v>7222</v>
      </c>
      <c r="O2929" s="9">
        <f>HYPERLINK("https://www.google.com/maps/search/?api=1&amp;query=38.24577788,-3.05103604", "https://www.google.com/maps/search/?api=1&amp;query=38.24577788,-3.05103604")</f>
      </c>
      <c r="P2929" s="9" t="s">
        <v>1741</v>
      </c>
      <c r="Q2929" s="9" t="s">
        <v>2998</v>
      </c>
    </row>
    <row r="2930" spans="1:17" x14ac:dyDescent="0.25">
      <c r="A2930" s="8" t="s">
        <v>20692</v>
      </c>
      <c r="B2930" s="8" t="s">
        <v>20693</v>
      </c>
      <c r="C2930" s="9" t="s">
        <v>20694</v>
      </c>
      <c r="D2930" s="9" t="s">
        <v>1282</v>
      </c>
      <c r="E2930" s="9" t="s">
        <v>1282</v>
      </c>
      <c r="F2930" s="10">
        <v>1.514</v>
      </c>
      <c r="G2930" s="10">
        <v>1.665</v>
      </c>
      <c r="H2930" s="10"/>
      <c r="I2930" s="9" t="s">
        <v>45</v>
      </c>
      <c r="J2930" s="9" t="s">
        <v>20695</v>
      </c>
      <c r="K2930" s="9" t="s">
        <v>20696</v>
      </c>
      <c r="L2930" s="8" t="s">
        <v>3042</v>
      </c>
      <c r="M2930" s="9" t="s">
        <v>49</v>
      </c>
      <c r="N2930" s="9" t="s">
        <v>122</v>
      </c>
      <c r="O2930" s="9">
        <f>HYPERLINK("https://www.google.com/maps/search/?api=1&amp;query=37.16061582,-3.59951107", "https://www.google.com/maps/search/?api=1&amp;query=37.16061582,-3.59951107")</f>
      </c>
      <c r="P2930" s="9" t="s">
        <v>521</v>
      </c>
      <c r="Q2930" s="9" t="s">
        <v>7794</v>
      </c>
    </row>
    <row r="2931" spans="1:17" x14ac:dyDescent="0.25">
      <c r="A2931" s="8" t="s">
        <v>20697</v>
      </c>
      <c r="B2931" s="8" t="s">
        <v>20698</v>
      </c>
      <c r="C2931" s="9" t="s">
        <v>20699</v>
      </c>
      <c r="D2931" s="9" t="s">
        <v>919</v>
      </c>
      <c r="E2931" s="9" t="s">
        <v>20700</v>
      </c>
      <c r="F2931" s="10">
        <v>1.514</v>
      </c>
      <c r="G2931" s="10">
        <v>1.665</v>
      </c>
      <c r="H2931" s="10"/>
      <c r="I2931" s="9" t="s">
        <v>118</v>
      </c>
      <c r="J2931" s="9" t="s">
        <v>20701</v>
      </c>
      <c r="K2931" s="9" t="s">
        <v>20702</v>
      </c>
      <c r="L2931" s="8" t="s">
        <v>20703</v>
      </c>
      <c r="M2931" s="9" t="s">
        <v>49</v>
      </c>
      <c r="N2931" s="9" t="s">
        <v>483</v>
      </c>
      <c r="O2931" s="9">
        <f>HYPERLINK("https://www.google.com/maps/search/?api=1&amp;query=42.83765783,-2.69833764", "https://www.google.com/maps/search/?api=1&amp;query=42.83765783,-2.69833764")</f>
      </c>
      <c r="P2931" s="9" t="s">
        <v>1250</v>
      </c>
      <c r="Q2931" s="9" t="s">
        <v>20704</v>
      </c>
    </row>
    <row r="2932" spans="1:17" x14ac:dyDescent="0.25">
      <c r="A2932" s="8" t="s">
        <v>20705</v>
      </c>
      <c r="B2932" s="8" t="s">
        <v>20706</v>
      </c>
      <c r="C2932" s="9" t="s">
        <v>20707</v>
      </c>
      <c r="D2932" s="9" t="s">
        <v>94</v>
      </c>
      <c r="E2932" s="9" t="s">
        <v>3810</v>
      </c>
      <c r="F2932" s="10">
        <v>1.514</v>
      </c>
      <c r="G2932" s="10">
        <v>1.665</v>
      </c>
      <c r="H2932" s="10"/>
      <c r="I2932" s="9" t="s">
        <v>96</v>
      </c>
      <c r="J2932" s="9" t="s">
        <v>20708</v>
      </c>
      <c r="K2932" s="9" t="s">
        <v>20709</v>
      </c>
      <c r="L2932" s="8" t="s">
        <v>3813</v>
      </c>
      <c r="M2932" s="9" t="s">
        <v>49</v>
      </c>
      <c r="N2932" s="9" t="s">
        <v>20710</v>
      </c>
      <c r="O2932" s="9">
        <f>HYPERLINK("https://www.google.com/maps/search/?api=1&amp;query=41.50686067,2.03729795", "https://www.google.com/maps/search/?api=1&amp;query=41.50686067,2.03729795")</f>
      </c>
      <c r="P2932" s="9" t="s">
        <v>38</v>
      </c>
      <c r="Q2932" s="9" t="s">
        <v>1131</v>
      </c>
    </row>
    <row r="2933" spans="1:17" x14ac:dyDescent="0.25">
      <c r="A2933" s="8" t="s">
        <v>20711</v>
      </c>
      <c r="B2933" s="8" t="s">
        <v>20712</v>
      </c>
      <c r="C2933" s="9" t="s">
        <v>20713</v>
      </c>
      <c r="D2933" s="9" t="s">
        <v>434</v>
      </c>
      <c r="E2933" s="9" t="s">
        <v>20714</v>
      </c>
      <c r="F2933" s="10">
        <v>1.514</v>
      </c>
      <c r="G2933" s="10">
        <v>1.665</v>
      </c>
      <c r="H2933" s="10"/>
      <c r="I2933" s="9" t="s">
        <v>96</v>
      </c>
      <c r="J2933" s="9" t="s">
        <v>20715</v>
      </c>
      <c r="K2933" s="9" t="s">
        <v>20716</v>
      </c>
      <c r="L2933" s="8" t="s">
        <v>20717</v>
      </c>
      <c r="M2933" s="9" t="s">
        <v>36</v>
      </c>
      <c r="N2933" s="9" t="s">
        <v>20718</v>
      </c>
      <c r="O2933" s="9">
        <f>HYPERLINK("https://www.google.com/maps/search/?api=1&amp;query=41.76632036,2.78052762", "https://www.google.com/maps/search/?api=1&amp;query=41.76632036,2.78052762")</f>
      </c>
      <c r="P2933" s="9" t="s">
        <v>2213</v>
      </c>
      <c r="Q2933" s="9" t="s">
        <v>20719</v>
      </c>
    </row>
    <row r="2934" spans="1:17" x14ac:dyDescent="0.25">
      <c r="A2934" s="8" t="s">
        <v>20720</v>
      </c>
      <c r="B2934" s="8" t="s">
        <v>20721</v>
      </c>
      <c r="C2934" s="9" t="s">
        <v>20722</v>
      </c>
      <c r="D2934" s="9" t="s">
        <v>106</v>
      </c>
      <c r="E2934" s="9" t="s">
        <v>20723</v>
      </c>
      <c r="F2934" s="10">
        <v>1.514</v>
      </c>
      <c r="G2934" s="10">
        <v>1.665</v>
      </c>
      <c r="H2934" s="10"/>
      <c r="I2934" s="9" t="s">
        <v>106</v>
      </c>
      <c r="J2934" s="9" t="s">
        <v>20724</v>
      </c>
      <c r="K2934" s="9" t="s">
        <v>20725</v>
      </c>
      <c r="L2934" s="8" t="s">
        <v>20726</v>
      </c>
      <c r="M2934" s="9" t="s">
        <v>100</v>
      </c>
      <c r="N2934" s="9" t="s">
        <v>37</v>
      </c>
      <c r="O2934" s="9">
        <f>HYPERLINK("https://www.google.com/maps/search/?api=1&amp;query=38.00738292,-1.33764981", "https://www.google.com/maps/search/?api=1&amp;query=38.00738292,-1.33764981")</f>
      </c>
      <c r="P2934" s="9" t="s">
        <v>6803</v>
      </c>
      <c r="Q2934" s="9" t="s">
        <v>3657</v>
      </c>
    </row>
    <row r="2935" spans="1:17" x14ac:dyDescent="0.25">
      <c r="A2935" s="8" t="s">
        <v>20727</v>
      </c>
      <c r="B2935" s="8" t="s">
        <v>20728</v>
      </c>
      <c r="C2935" s="9" t="s">
        <v>20729</v>
      </c>
      <c r="D2935" s="9" t="s">
        <v>1847</v>
      </c>
      <c r="E2935" s="9" t="s">
        <v>20730</v>
      </c>
      <c r="F2935" s="10">
        <v>1.514</v>
      </c>
      <c r="G2935" s="10">
        <v>1.665</v>
      </c>
      <c r="H2935" s="10"/>
      <c r="I2935" s="9" t="s">
        <v>74</v>
      </c>
      <c r="J2935" s="9" t="s">
        <v>20731</v>
      </c>
      <c r="K2935" s="9" t="s">
        <v>20732</v>
      </c>
      <c r="L2935" s="8" t="s">
        <v>20733</v>
      </c>
      <c r="M2935" s="9" t="s">
        <v>36</v>
      </c>
      <c r="N2935" s="9" t="s">
        <v>211</v>
      </c>
      <c r="O2935" s="9">
        <f>HYPERLINK("https://www.google.com/maps/search/?api=1&amp;query=41.14896575,-3.67164111", "https://www.google.com/maps/search/?api=1&amp;query=41.14896575,-3.67164111")</f>
      </c>
      <c r="P2935" s="9" t="s">
        <v>1203</v>
      </c>
      <c r="Q2935" s="9" t="s">
        <v>618</v>
      </c>
    </row>
    <row r="2936" spans="1:17" x14ac:dyDescent="0.25">
      <c r="A2936" s="8" t="s">
        <v>20734</v>
      </c>
      <c r="B2936" s="8" t="s">
        <v>20735</v>
      </c>
      <c r="C2936" s="9" t="s">
        <v>20736</v>
      </c>
      <c r="D2936" s="9" t="s">
        <v>1560</v>
      </c>
      <c r="E2936" s="9" t="s">
        <v>20737</v>
      </c>
      <c r="F2936" s="10">
        <v>1.514</v>
      </c>
      <c r="G2936" s="10">
        <v>1.665</v>
      </c>
      <c r="H2936" s="10"/>
      <c r="I2936" s="9" t="s">
        <v>400</v>
      </c>
      <c r="J2936" s="9" t="s">
        <v>20738</v>
      </c>
      <c r="K2936" s="9" t="s">
        <v>20739</v>
      </c>
      <c r="L2936" s="8" t="s">
        <v>20740</v>
      </c>
      <c r="M2936" s="9" t="s">
        <v>49</v>
      </c>
      <c r="N2936" s="9" t="s">
        <v>122</v>
      </c>
      <c r="O2936" s="9">
        <f>HYPERLINK("https://www.google.com/maps/search/?api=1&amp;query=39.97689437,0.01046594", "https://www.google.com/maps/search/?api=1&amp;query=39.97689437,0.01046594")</f>
      </c>
      <c r="P2936" s="9" t="s">
        <v>349</v>
      </c>
      <c r="Q2936" s="9" t="s">
        <v>11396</v>
      </c>
    </row>
    <row r="2937" spans="1:17" x14ac:dyDescent="0.25">
      <c r="A2937" s="8" t="s">
        <v>20741</v>
      </c>
      <c r="B2937" s="8" t="s">
        <v>20742</v>
      </c>
      <c r="C2937" s="9" t="s">
        <v>20743</v>
      </c>
      <c r="D2937" s="9" t="s">
        <v>177</v>
      </c>
      <c r="E2937" s="9" t="s">
        <v>20744</v>
      </c>
      <c r="F2937" s="10">
        <v>1.514</v>
      </c>
      <c r="G2937" s="10">
        <v>1.665</v>
      </c>
      <c r="H2937" s="10"/>
      <c r="I2937" s="9" t="s">
        <v>74</v>
      </c>
      <c r="J2937" s="9" t="s">
        <v>20745</v>
      </c>
      <c r="K2937" s="9" t="s">
        <v>20746</v>
      </c>
      <c r="L2937" s="8" t="s">
        <v>20747</v>
      </c>
      <c r="M2937" s="9" t="s">
        <v>100</v>
      </c>
      <c r="N2937" s="9" t="s">
        <v>357</v>
      </c>
      <c r="O2937" s="9">
        <f>HYPERLINK("https://www.google.com/maps/search/?api=1&amp;query=41.80973484,-4.58276006", "https://www.google.com/maps/search/?api=1&amp;query=41.80973484,-4.58276006")</f>
      </c>
      <c r="P2937" s="9" t="s">
        <v>880</v>
      </c>
      <c r="Q2937" s="9" t="s">
        <v>7556</v>
      </c>
    </row>
    <row r="2938" spans="1:17" x14ac:dyDescent="0.25">
      <c r="A2938" s="8" t="s">
        <v>20748</v>
      </c>
      <c r="B2938" s="8" t="s">
        <v>20749</v>
      </c>
      <c r="C2938" s="9" t="s">
        <v>20750</v>
      </c>
      <c r="D2938" s="9" t="s">
        <v>30</v>
      </c>
      <c r="E2938" s="9" t="s">
        <v>30</v>
      </c>
      <c r="F2938" s="10">
        <v>1.514</v>
      </c>
      <c r="G2938" s="10">
        <v>1.665</v>
      </c>
      <c r="H2938" s="10"/>
      <c r="I2938" s="9" t="s">
        <v>32</v>
      </c>
      <c r="J2938" s="9" t="s">
        <v>20751</v>
      </c>
      <c r="K2938" s="9" t="s">
        <v>20752</v>
      </c>
      <c r="L2938" s="8" t="s">
        <v>5025</v>
      </c>
      <c r="M2938" s="9" t="s">
        <v>49</v>
      </c>
      <c r="N2938" s="9" t="s">
        <v>211</v>
      </c>
      <c r="O2938" s="9">
        <f>HYPERLINK("https://www.google.com/maps/search/?api=1&amp;query=38.84866857,-6.93847684", "https://www.google.com/maps/search/?api=1&amp;query=38.84866857,-6.93847684")</f>
      </c>
      <c r="P2938" s="9" t="s">
        <v>880</v>
      </c>
      <c r="Q2938" s="9" t="s">
        <v>9506</v>
      </c>
    </row>
    <row r="2939" spans="1:17" x14ac:dyDescent="0.25">
      <c r="A2939" s="8" t="s">
        <v>20753</v>
      </c>
      <c r="B2939" s="8" t="s">
        <v>20754</v>
      </c>
      <c r="C2939" s="9" t="s">
        <v>20755</v>
      </c>
      <c r="D2939" s="9" t="s">
        <v>1617</v>
      </c>
      <c r="E2939" s="9" t="s">
        <v>20756</v>
      </c>
      <c r="F2939" s="10">
        <v>1.514</v>
      </c>
      <c r="G2939" s="10">
        <v>1.665</v>
      </c>
      <c r="H2939" s="10"/>
      <c r="I2939" s="9" t="s">
        <v>292</v>
      </c>
      <c r="J2939" s="9" t="s">
        <v>20757</v>
      </c>
      <c r="K2939" s="9" t="s">
        <v>20758</v>
      </c>
      <c r="L2939" s="8" t="s">
        <v>20759</v>
      </c>
      <c r="M2939" s="9" t="s">
        <v>49</v>
      </c>
      <c r="N2939" s="9" t="s">
        <v>211</v>
      </c>
      <c r="O2939" s="9">
        <f>HYPERLINK("https://www.google.com/maps/search/?api=1&amp;query=42.24436173,-0.44508703", "https://www.google.com/maps/search/?api=1&amp;query=42.24436173,-0.44508703")</f>
      </c>
      <c r="P2939" s="9" t="s">
        <v>20760</v>
      </c>
      <c r="Q2939" s="9" t="s">
        <v>14755</v>
      </c>
    </row>
    <row r="2940" spans="1:17" x14ac:dyDescent="0.25">
      <c r="A2940" s="8" t="s">
        <v>20761</v>
      </c>
      <c r="B2940" s="8" t="s">
        <v>20762</v>
      </c>
      <c r="C2940" s="9" t="s">
        <v>20763</v>
      </c>
      <c r="D2940" s="9" t="s">
        <v>344</v>
      </c>
      <c r="E2940" s="9" t="s">
        <v>1931</v>
      </c>
      <c r="F2940" s="10">
        <v>1.514</v>
      </c>
      <c r="G2940" s="10">
        <v>1.665</v>
      </c>
      <c r="H2940" s="10"/>
      <c r="I2940" s="9" t="s">
        <v>140</v>
      </c>
      <c r="J2940" s="9" t="s">
        <v>20764</v>
      </c>
      <c r="K2940" s="9" t="s">
        <v>20765</v>
      </c>
      <c r="L2940" s="8" t="s">
        <v>1934</v>
      </c>
      <c r="M2940" s="9" t="s">
        <v>49</v>
      </c>
      <c r="N2940" s="9" t="s">
        <v>211</v>
      </c>
      <c r="O2940" s="9">
        <f>HYPERLINK("https://www.google.com/maps/search/?api=1&amp;query=43.35321894,-8.40722978", "https://www.google.com/maps/search/?api=1&amp;query=43.35321894,-8.40722978")</f>
      </c>
      <c r="P2940" s="9" t="s">
        <v>4426</v>
      </c>
      <c r="Q2940" s="9" t="s">
        <v>5645</v>
      </c>
    </row>
    <row r="2941" spans="1:17" x14ac:dyDescent="0.25">
      <c r="A2941" s="8" t="s">
        <v>20766</v>
      </c>
      <c r="B2941" s="8" t="s">
        <v>20767</v>
      </c>
      <c r="C2941" s="9" t="s">
        <v>20768</v>
      </c>
      <c r="D2941" s="9" t="s">
        <v>400</v>
      </c>
      <c r="E2941" s="9" t="s">
        <v>20769</v>
      </c>
      <c r="F2941" s="10">
        <v>1.514</v>
      </c>
      <c r="G2941" s="10">
        <v>1.665</v>
      </c>
      <c r="H2941" s="10"/>
      <c r="I2941" s="9" t="s">
        <v>400</v>
      </c>
      <c r="J2941" s="9" t="s">
        <v>20770</v>
      </c>
      <c r="K2941" s="9" t="s">
        <v>20771</v>
      </c>
      <c r="L2941" s="8" t="s">
        <v>20772</v>
      </c>
      <c r="M2941" s="9" t="s">
        <v>49</v>
      </c>
      <c r="N2941" s="9" t="s">
        <v>88</v>
      </c>
      <c r="O2941" s="9">
        <f>HYPERLINK("https://www.google.com/maps/search/?api=1&amp;query=39.3920827,-0.78571527", "https://www.google.com/maps/search/?api=1&amp;query=39.3920827,-0.78571527")</f>
      </c>
      <c r="P2941" s="9" t="s">
        <v>1741</v>
      </c>
      <c r="Q2941" s="9" t="s">
        <v>20773</v>
      </c>
    </row>
    <row r="2942" spans="1:17" x14ac:dyDescent="0.25">
      <c r="A2942" s="8" t="s">
        <v>20774</v>
      </c>
      <c r="B2942" s="8" t="s">
        <v>20775</v>
      </c>
      <c r="C2942" s="9" t="s">
        <v>20776</v>
      </c>
      <c r="D2942" s="9" t="s">
        <v>488</v>
      </c>
      <c r="E2942" s="9" t="s">
        <v>20777</v>
      </c>
      <c r="F2942" s="10">
        <v>1.514</v>
      </c>
      <c r="G2942" s="10">
        <v>1.665</v>
      </c>
      <c r="H2942" s="10"/>
      <c r="I2942" s="9" t="s">
        <v>45</v>
      </c>
      <c r="J2942" s="9" t="s">
        <v>20778</v>
      </c>
      <c r="K2942" s="9" t="s">
        <v>20779</v>
      </c>
      <c r="L2942" s="8" t="s">
        <v>20780</v>
      </c>
      <c r="M2942" s="9" t="s">
        <v>36</v>
      </c>
      <c r="N2942" s="9" t="s">
        <v>88</v>
      </c>
      <c r="O2942" s="9">
        <f>HYPERLINK("https://www.google.com/maps/search/?api=1&amp;query=38.26151396,-2.91666339", "https://www.google.com/maps/search/?api=1&amp;query=38.26151396,-2.91666339")</f>
      </c>
      <c r="P2942" s="9" t="s">
        <v>20781</v>
      </c>
      <c r="Q2942" s="9" t="s">
        <v>19797</v>
      </c>
    </row>
    <row r="2943" spans="1:17" x14ac:dyDescent="0.25">
      <c r="A2943" s="8" t="s">
        <v>20782</v>
      </c>
      <c r="B2943" s="8" t="s">
        <v>20783</v>
      </c>
      <c r="C2943" s="9" t="s">
        <v>20784</v>
      </c>
      <c r="D2943" s="9" t="s">
        <v>379</v>
      </c>
      <c r="E2943" s="9" t="s">
        <v>4775</v>
      </c>
      <c r="F2943" s="10">
        <v>1.514</v>
      </c>
      <c r="G2943" s="10">
        <v>1.665</v>
      </c>
      <c r="H2943" s="10"/>
      <c r="I2943" s="9" t="s">
        <v>379</v>
      </c>
      <c r="J2943" s="9" t="s">
        <v>20785</v>
      </c>
      <c r="K2943" s="9" t="s">
        <v>20786</v>
      </c>
      <c r="L2943" s="8" t="s">
        <v>4778</v>
      </c>
      <c r="M2943" s="9" t="s">
        <v>36</v>
      </c>
      <c r="N2943" s="9" t="s">
        <v>20787</v>
      </c>
      <c r="O2943" s="9">
        <f>HYPERLINK("https://www.google.com/maps/search/?api=1&amp;query=42.20125301,-1.64204225", "https://www.google.com/maps/search/?api=1&amp;query=42.20125301,-1.64204225")</f>
      </c>
      <c r="P2943" s="9" t="s">
        <v>1373</v>
      </c>
      <c r="Q2943" s="9" t="s">
        <v>20788</v>
      </c>
    </row>
    <row r="2944" spans="1:17" x14ac:dyDescent="0.25">
      <c r="A2944" s="8" t="s">
        <v>20789</v>
      </c>
      <c r="B2944" s="8" t="s">
        <v>20790</v>
      </c>
      <c r="C2944" s="9" t="s">
        <v>20791</v>
      </c>
      <c r="D2944" s="9" t="s">
        <v>344</v>
      </c>
      <c r="E2944" s="9" t="s">
        <v>20792</v>
      </c>
      <c r="F2944" s="10">
        <v>1.514</v>
      </c>
      <c r="G2944" s="10">
        <v>1.665</v>
      </c>
      <c r="H2944" s="10"/>
      <c r="I2944" s="9" t="s">
        <v>140</v>
      </c>
      <c r="J2944" s="9" t="s">
        <v>20793</v>
      </c>
      <c r="K2944" s="9" t="s">
        <v>20794</v>
      </c>
      <c r="L2944" s="8" t="s">
        <v>20795</v>
      </c>
      <c r="M2944" s="9" t="s">
        <v>36</v>
      </c>
      <c r="N2944" s="9" t="s">
        <v>211</v>
      </c>
      <c r="O2944" s="9">
        <f>HYPERLINK("https://www.google.com/maps/search/?api=1&amp;query=43.29427646,-8.36022248", "https://www.google.com/maps/search/?api=1&amp;query=43.29427646,-8.36022248")</f>
      </c>
      <c r="P2944" s="9" t="s">
        <v>521</v>
      </c>
      <c r="Q2944" s="9" t="s">
        <v>3885</v>
      </c>
    </row>
    <row r="2945" spans="1:17" x14ac:dyDescent="0.25">
      <c r="A2945" s="8" t="s">
        <v>20796</v>
      </c>
      <c r="B2945" s="8" t="s">
        <v>20797</v>
      </c>
      <c r="C2945" s="9" t="s">
        <v>20798</v>
      </c>
      <c r="D2945" s="9" t="s">
        <v>400</v>
      </c>
      <c r="E2945" s="9" t="s">
        <v>10041</v>
      </c>
      <c r="F2945" s="10">
        <v>1.514</v>
      </c>
      <c r="G2945" s="10">
        <v>1.665</v>
      </c>
      <c r="H2945" s="10"/>
      <c r="I2945" s="9" t="s">
        <v>400</v>
      </c>
      <c r="J2945" s="9" t="s">
        <v>20799</v>
      </c>
      <c r="K2945" s="9" t="s">
        <v>20800</v>
      </c>
      <c r="L2945" s="8" t="s">
        <v>10044</v>
      </c>
      <c r="M2945" s="9" t="s">
        <v>49</v>
      </c>
      <c r="N2945" s="9" t="s">
        <v>17482</v>
      </c>
      <c r="O2945" s="9">
        <f>HYPERLINK("https://www.google.com/maps/search/?api=1&amp;query=39.36414623,-0.46643002", "https://www.google.com/maps/search/?api=1&amp;query=39.36414623,-0.46643002")</f>
      </c>
      <c r="P2945" s="9" t="s">
        <v>1637</v>
      </c>
      <c r="Q2945" s="9" t="s">
        <v>2669</v>
      </c>
    </row>
    <row r="2946" spans="1:17" x14ac:dyDescent="0.25">
      <c r="A2946" s="8" t="s">
        <v>20801</v>
      </c>
      <c r="B2946" s="8" t="s">
        <v>20802</v>
      </c>
      <c r="C2946" s="9" t="s">
        <v>20803</v>
      </c>
      <c r="D2946" s="9" t="s">
        <v>61</v>
      </c>
      <c r="E2946" s="9" t="s">
        <v>1808</v>
      </c>
      <c r="F2946" s="10">
        <v>1.514</v>
      </c>
      <c r="G2946" s="10">
        <v>1.665</v>
      </c>
      <c r="H2946" s="10"/>
      <c r="I2946" s="9" t="s">
        <v>45</v>
      </c>
      <c r="J2946" s="9" t="s">
        <v>20804</v>
      </c>
      <c r="K2946" s="9" t="s">
        <v>20805</v>
      </c>
      <c r="L2946" s="8" t="s">
        <v>1811</v>
      </c>
      <c r="M2946" s="9" t="s">
        <v>49</v>
      </c>
      <c r="N2946" s="9" t="s">
        <v>66</v>
      </c>
      <c r="O2946" s="9">
        <f>HYPERLINK("https://www.google.com/maps/search/?api=1&amp;query=37.33904435,-6.06532198", "https://www.google.com/maps/search/?api=1&amp;query=37.33904435,-6.06532198")</f>
      </c>
      <c r="P2946" s="9" t="s">
        <v>1100</v>
      </c>
      <c r="Q2946" s="9" t="s">
        <v>8298</v>
      </c>
    </row>
    <row r="2947" spans="1:17" x14ac:dyDescent="0.25">
      <c r="A2947" s="8" t="s">
        <v>20806</v>
      </c>
      <c r="B2947" s="8" t="s">
        <v>20807</v>
      </c>
      <c r="C2947" s="9" t="s">
        <v>20808</v>
      </c>
      <c r="D2947" s="9" t="s">
        <v>469</v>
      </c>
      <c r="E2947" s="9" t="s">
        <v>20809</v>
      </c>
      <c r="F2947" s="10">
        <v>1.514</v>
      </c>
      <c r="G2947" s="10">
        <v>1.665</v>
      </c>
      <c r="H2947" s="10"/>
      <c r="I2947" s="9" t="s">
        <v>74</v>
      </c>
      <c r="J2947" s="9" t="s">
        <v>20810</v>
      </c>
      <c r="K2947" s="9" t="s">
        <v>20811</v>
      </c>
      <c r="L2947" s="8" t="s">
        <v>20812</v>
      </c>
      <c r="M2947" s="9" t="s">
        <v>49</v>
      </c>
      <c r="N2947" s="9" t="s">
        <v>37</v>
      </c>
      <c r="O2947" s="9">
        <f>HYPERLINK("https://www.google.com/maps/search/?api=1&amp;query=41.20018455,-6.58273921", "https://www.google.com/maps/search/?api=1&amp;query=41.20018455,-6.58273921")</f>
      </c>
      <c r="P2947" s="9" t="s">
        <v>5394</v>
      </c>
      <c r="Q2947" s="9" t="s">
        <v>8812</v>
      </c>
    </row>
    <row r="2948" spans="1:17" x14ac:dyDescent="0.25">
      <c r="A2948" s="8" t="s">
        <v>20813</v>
      </c>
      <c r="B2948" s="8" t="s">
        <v>20814</v>
      </c>
      <c r="C2948" s="9" t="s">
        <v>20815</v>
      </c>
      <c r="D2948" s="9" t="s">
        <v>1282</v>
      </c>
      <c r="E2948" s="9" t="s">
        <v>20816</v>
      </c>
      <c r="F2948" s="10">
        <v>1.514</v>
      </c>
      <c r="G2948" s="10">
        <v>1.665</v>
      </c>
      <c r="H2948" s="10"/>
      <c r="I2948" s="9" t="s">
        <v>45</v>
      </c>
      <c r="J2948" s="9" t="s">
        <v>20817</v>
      </c>
      <c r="K2948" s="9" t="s">
        <v>20818</v>
      </c>
      <c r="L2948" s="8" t="s">
        <v>20819</v>
      </c>
      <c r="M2948" s="9" t="s">
        <v>49</v>
      </c>
      <c r="N2948" s="9" t="s">
        <v>122</v>
      </c>
      <c r="O2948" s="9">
        <f>HYPERLINK("https://www.google.com/maps/search/?api=1&amp;query=37.39456438,-3.02686048", "https://www.google.com/maps/search/?api=1&amp;query=37.39456438,-3.02686048")</f>
      </c>
      <c r="P2948" s="9" t="s">
        <v>2442</v>
      </c>
      <c r="Q2948" s="9" t="s">
        <v>20820</v>
      </c>
    </row>
    <row r="2949" spans="1:17" x14ac:dyDescent="0.25">
      <c r="A2949" s="8" t="s">
        <v>20821</v>
      </c>
      <c r="B2949" s="8" t="s">
        <v>20822</v>
      </c>
      <c r="C2949" s="9" t="s">
        <v>20823</v>
      </c>
      <c r="D2949" s="9" t="s">
        <v>444</v>
      </c>
      <c r="E2949" s="9" t="s">
        <v>20824</v>
      </c>
      <c r="F2949" s="10">
        <v>1.514</v>
      </c>
      <c r="G2949" s="10">
        <v>1.665</v>
      </c>
      <c r="H2949" s="10"/>
      <c r="I2949" s="9" t="s">
        <v>444</v>
      </c>
      <c r="J2949" s="9" t="s">
        <v>20825</v>
      </c>
      <c r="K2949" s="9" t="s">
        <v>20826</v>
      </c>
      <c r="L2949" s="8" t="s">
        <v>6225</v>
      </c>
      <c r="M2949" s="9" t="s">
        <v>49</v>
      </c>
      <c r="N2949" s="9" t="s">
        <v>211</v>
      </c>
      <c r="O2949" s="9">
        <f>HYPERLINK("https://www.google.com/maps/search/?api=1&amp;query=43.44478868,-5.79933184", "https://www.google.com/maps/search/?api=1&amp;query=43.44478868,-5.79933184")</f>
      </c>
      <c r="P2949" s="9" t="s">
        <v>521</v>
      </c>
      <c r="Q2949" s="9" t="s">
        <v>14424</v>
      </c>
    </row>
    <row r="2950" spans="1:17" x14ac:dyDescent="0.25">
      <c r="A2950" s="8" t="s">
        <v>20827</v>
      </c>
      <c r="B2950" s="8" t="s">
        <v>20828</v>
      </c>
      <c r="C2950" s="9" t="s">
        <v>20829</v>
      </c>
      <c r="D2950" s="9" t="s">
        <v>658</v>
      </c>
      <c r="E2950" s="9" t="s">
        <v>20830</v>
      </c>
      <c r="F2950" s="10">
        <v>1.514</v>
      </c>
      <c r="G2950" s="10">
        <v>1.665</v>
      </c>
      <c r="H2950" s="10"/>
      <c r="I2950" s="9" t="s">
        <v>45</v>
      </c>
      <c r="J2950" s="9" t="s">
        <v>20831</v>
      </c>
      <c r="K2950" s="9" t="s">
        <v>20832</v>
      </c>
      <c r="L2950" s="8" t="s">
        <v>20833</v>
      </c>
      <c r="M2950" s="9" t="s">
        <v>49</v>
      </c>
      <c r="N2950" s="9" t="s">
        <v>20834</v>
      </c>
      <c r="O2950" s="9">
        <f>HYPERLINK("https://www.google.com/maps/search/?api=1&amp;query=36.84156426,-2.94564933", "https://www.google.com/maps/search/?api=1&amp;query=36.84156426,-2.94564933")</f>
      </c>
      <c r="P2950" s="9" t="s">
        <v>521</v>
      </c>
      <c r="Q2950" s="9" t="s">
        <v>7794</v>
      </c>
    </row>
    <row r="2951" spans="1:17" x14ac:dyDescent="0.25">
      <c r="A2951" s="8" t="s">
        <v>20835</v>
      </c>
      <c r="B2951" s="8" t="s">
        <v>20836</v>
      </c>
      <c r="C2951" s="9" t="s">
        <v>20837</v>
      </c>
      <c r="D2951" s="9" t="s">
        <v>128</v>
      </c>
      <c r="E2951" s="9" t="s">
        <v>4759</v>
      </c>
      <c r="F2951" s="10">
        <v>1.514</v>
      </c>
      <c r="G2951" s="10">
        <v>1.665</v>
      </c>
      <c r="H2951" s="10"/>
      <c r="I2951" s="9" t="s">
        <v>45</v>
      </c>
      <c r="J2951" s="9" t="s">
        <v>20838</v>
      </c>
      <c r="K2951" s="9" t="s">
        <v>20839</v>
      </c>
      <c r="L2951" s="8" t="s">
        <v>4762</v>
      </c>
      <c r="M2951" s="9" t="s">
        <v>36</v>
      </c>
      <c r="N2951" s="9" t="s">
        <v>211</v>
      </c>
      <c r="O2951" s="9">
        <f>HYPERLINK("https://www.google.com/maps/search/?api=1&amp;query=36.28147302,-6.08404928", "https://www.google.com/maps/search/?api=1&amp;query=36.28147302,-6.08404928")</f>
      </c>
      <c r="P2951" s="9" t="s">
        <v>266</v>
      </c>
      <c r="Q2951" s="9" t="s">
        <v>1742</v>
      </c>
    </row>
    <row r="2952" spans="1:17" x14ac:dyDescent="0.25">
      <c r="A2952" s="8" t="s">
        <v>20840</v>
      </c>
      <c r="B2952" s="8" t="s">
        <v>20841</v>
      </c>
      <c r="C2952" s="9" t="s">
        <v>20842</v>
      </c>
      <c r="D2952" s="9" t="s">
        <v>177</v>
      </c>
      <c r="E2952" s="9" t="s">
        <v>20843</v>
      </c>
      <c r="F2952" s="10">
        <v>1.514</v>
      </c>
      <c r="G2952" s="10">
        <v>1.665</v>
      </c>
      <c r="H2952" s="10"/>
      <c r="I2952" s="9" t="s">
        <v>74</v>
      </c>
      <c r="J2952" s="9" t="s">
        <v>20844</v>
      </c>
      <c r="K2952" s="9" t="s">
        <v>20845</v>
      </c>
      <c r="L2952" s="8" t="s">
        <v>20846</v>
      </c>
      <c r="M2952" s="9" t="s">
        <v>36</v>
      </c>
      <c r="N2952" s="9" t="s">
        <v>37</v>
      </c>
      <c r="O2952" s="9">
        <f>HYPERLINK("https://www.google.com/maps/search/?api=1&amp;query=41.77398153,-5.31168686", "https://www.google.com/maps/search/?api=1&amp;query=41.77398153,-5.31168686")</f>
      </c>
      <c r="P2952" s="9" t="s">
        <v>38</v>
      </c>
      <c r="Q2952" s="9" t="s">
        <v>3202</v>
      </c>
    </row>
    <row r="2953" spans="1:17" x14ac:dyDescent="0.25">
      <c r="A2953" s="8" t="s">
        <v>20847</v>
      </c>
      <c r="B2953" s="8" t="s">
        <v>20848</v>
      </c>
      <c r="C2953" s="9" t="s">
        <v>20849</v>
      </c>
      <c r="D2953" s="9" t="s">
        <v>400</v>
      </c>
      <c r="E2953" s="9" t="s">
        <v>20850</v>
      </c>
      <c r="F2953" s="10">
        <v>1.514</v>
      </c>
      <c r="G2953" s="10">
        <v>1.665</v>
      </c>
      <c r="H2953" s="10"/>
      <c r="I2953" s="9" t="s">
        <v>400</v>
      </c>
      <c r="J2953" s="9" t="s">
        <v>20851</v>
      </c>
      <c r="K2953" s="9" t="s">
        <v>20852</v>
      </c>
      <c r="L2953" s="8" t="s">
        <v>20853</v>
      </c>
      <c r="M2953" s="9" t="s">
        <v>36</v>
      </c>
      <c r="N2953" s="9" t="s">
        <v>88</v>
      </c>
      <c r="O2953" s="9">
        <f>HYPERLINK("https://www.google.com/maps/search/?api=1&amp;query=39.64718716,-0.4292993", "https://www.google.com/maps/search/?api=1&amp;query=39.64718716,-0.4292993")</f>
      </c>
      <c r="P2953" s="9" t="s">
        <v>1100</v>
      </c>
      <c r="Q2953" s="9" t="s">
        <v>12402</v>
      </c>
    </row>
    <row r="2954" spans="1:17" x14ac:dyDescent="0.25">
      <c r="A2954" s="8" t="s">
        <v>20854</v>
      </c>
      <c r="B2954" s="8" t="s">
        <v>20855</v>
      </c>
      <c r="C2954" s="9" t="s">
        <v>20856</v>
      </c>
      <c r="D2954" s="9" t="s">
        <v>280</v>
      </c>
      <c r="E2954" s="9" t="s">
        <v>20857</v>
      </c>
      <c r="F2954" s="10">
        <v>1.514</v>
      </c>
      <c r="G2954" s="10">
        <v>1.665</v>
      </c>
      <c r="H2954" s="10"/>
      <c r="I2954" s="9" t="s">
        <v>118</v>
      </c>
      <c r="J2954" s="9" t="s">
        <v>20858</v>
      </c>
      <c r="K2954" s="9" t="s">
        <v>20859</v>
      </c>
      <c r="L2954" s="8" t="s">
        <v>14824</v>
      </c>
      <c r="M2954" s="9" t="s">
        <v>100</v>
      </c>
      <c r="N2954" s="9" t="s">
        <v>88</v>
      </c>
      <c r="O2954" s="9">
        <f>HYPERLINK("https://www.google.com/maps/search/?api=1&amp;query=43.27836033,-2.07289433", "https://www.google.com/maps/search/?api=1&amp;query=43.27836033,-2.07289433")</f>
      </c>
      <c r="P2954" s="9" t="s">
        <v>172</v>
      </c>
      <c r="Q2954" s="9" t="s">
        <v>2554</v>
      </c>
    </row>
    <row r="2955" spans="1:17" x14ac:dyDescent="0.25">
      <c r="A2955" s="8" t="s">
        <v>20860</v>
      </c>
      <c r="B2955" s="8" t="s">
        <v>20861</v>
      </c>
      <c r="C2955" s="9" t="s">
        <v>20862</v>
      </c>
      <c r="D2955" s="9" t="s">
        <v>424</v>
      </c>
      <c r="E2955" s="9" t="s">
        <v>20863</v>
      </c>
      <c r="F2955" s="10">
        <v>1.514</v>
      </c>
      <c r="G2955" s="10">
        <v>1.665</v>
      </c>
      <c r="H2955" s="10"/>
      <c r="I2955" s="9" t="s">
        <v>96</v>
      </c>
      <c r="J2955" s="9" t="s">
        <v>20864</v>
      </c>
      <c r="K2955" s="9" t="s">
        <v>20865</v>
      </c>
      <c r="L2955" s="8" t="s">
        <v>20866</v>
      </c>
      <c r="M2955" s="9" t="s">
        <v>100</v>
      </c>
      <c r="N2955" s="9" t="s">
        <v>592</v>
      </c>
      <c r="O2955" s="9">
        <f>HYPERLINK("https://www.google.com/maps/search/?api=1&amp;query=41.67112375,1.26108864", "https://www.google.com/maps/search/?api=1&amp;query=41.67112375,1.26108864")</f>
      </c>
      <c r="P2955" s="9" t="s">
        <v>258</v>
      </c>
      <c r="Q2955" s="9" t="s">
        <v>15295</v>
      </c>
    </row>
    <row r="2956" spans="1:17" x14ac:dyDescent="0.25">
      <c r="A2956" s="8" t="s">
        <v>20867</v>
      </c>
      <c r="B2956" s="8" t="s">
        <v>20868</v>
      </c>
      <c r="C2956" s="9" t="s">
        <v>16482</v>
      </c>
      <c r="D2956" s="9" t="s">
        <v>94</v>
      </c>
      <c r="E2956" s="9" t="s">
        <v>236</v>
      </c>
      <c r="F2956" s="10">
        <v>1.514</v>
      </c>
      <c r="G2956" s="10">
        <v>1.665</v>
      </c>
      <c r="H2956" s="10"/>
      <c r="I2956" s="9" t="s">
        <v>96</v>
      </c>
      <c r="J2956" s="9" t="s">
        <v>20869</v>
      </c>
      <c r="K2956" s="9" t="s">
        <v>20870</v>
      </c>
      <c r="L2956" s="8" t="s">
        <v>239</v>
      </c>
      <c r="M2956" s="9" t="s">
        <v>36</v>
      </c>
      <c r="N2956" s="9" t="s">
        <v>37</v>
      </c>
      <c r="O2956" s="9">
        <f>HYPERLINK("https://www.google.com/maps/search/?api=1&amp;query=41.21929084,1.67487485", "https://www.google.com/maps/search/?api=1&amp;query=41.21929084,1.67487485")</f>
      </c>
      <c r="P2956" s="9" t="s">
        <v>1250</v>
      </c>
      <c r="Q2956" s="9" t="s">
        <v>5429</v>
      </c>
    </row>
    <row r="2957" spans="1:17" x14ac:dyDescent="0.25">
      <c r="A2957" s="8" t="s">
        <v>20871</v>
      </c>
      <c r="B2957" s="8" t="s">
        <v>20872</v>
      </c>
      <c r="C2957" s="9" t="s">
        <v>20873</v>
      </c>
      <c r="D2957" s="9" t="s">
        <v>409</v>
      </c>
      <c r="E2957" s="9" t="s">
        <v>20874</v>
      </c>
      <c r="F2957" s="10">
        <v>1.514</v>
      </c>
      <c r="G2957" s="10">
        <v>1.665</v>
      </c>
      <c r="H2957" s="10"/>
      <c r="I2957" s="9" t="s">
        <v>292</v>
      </c>
      <c r="J2957" s="9" t="s">
        <v>20875</v>
      </c>
      <c r="K2957" s="9" t="s">
        <v>20876</v>
      </c>
      <c r="L2957" s="8" t="s">
        <v>20877</v>
      </c>
      <c r="M2957" s="9" t="s">
        <v>49</v>
      </c>
      <c r="N2957" s="9" t="s">
        <v>88</v>
      </c>
      <c r="O2957" s="9">
        <f>HYPERLINK("https://www.google.com/maps/search/?api=1&amp;query=41.84006811,-1.41945138", "https://www.google.com/maps/search/?api=1&amp;query=41.84006811,-1.41945138")</f>
      </c>
      <c r="P2957" s="9" t="s">
        <v>646</v>
      </c>
      <c r="Q2957" s="9" t="s">
        <v>2818</v>
      </c>
    </row>
    <row r="2958" spans="1:17" x14ac:dyDescent="0.25">
      <c r="A2958" s="8" t="s">
        <v>20878</v>
      </c>
      <c r="B2958" s="8" t="s">
        <v>20879</v>
      </c>
      <c r="C2958" s="9" t="s">
        <v>20880</v>
      </c>
      <c r="D2958" s="9" t="s">
        <v>106</v>
      </c>
      <c r="E2958" s="9" t="s">
        <v>20881</v>
      </c>
      <c r="F2958" s="10">
        <v>1.514</v>
      </c>
      <c r="G2958" s="10">
        <v>1.665</v>
      </c>
      <c r="H2958" s="10"/>
      <c r="I2958" s="9" t="s">
        <v>106</v>
      </c>
      <c r="J2958" s="9" t="s">
        <v>20882</v>
      </c>
      <c r="K2958" s="9" t="s">
        <v>20883</v>
      </c>
      <c r="L2958" s="8" t="s">
        <v>20884</v>
      </c>
      <c r="M2958" s="9" t="s">
        <v>49</v>
      </c>
      <c r="N2958" s="9" t="s">
        <v>88</v>
      </c>
      <c r="O2958" s="9">
        <f>HYPERLINK("https://www.google.com/maps/search/?api=1&amp;query=37.89141317,-0.94355011", "https://www.google.com/maps/search/?api=1&amp;query=37.89141317,-0.94355011")</f>
      </c>
      <c r="P2958" s="9" t="s">
        <v>172</v>
      </c>
      <c r="Q2958" s="9" t="s">
        <v>14408</v>
      </c>
    </row>
    <row r="2959" spans="1:17" x14ac:dyDescent="0.25">
      <c r="A2959" s="8" t="s">
        <v>20885</v>
      </c>
      <c r="B2959" s="8" t="s">
        <v>20886</v>
      </c>
      <c r="C2959" s="9" t="s">
        <v>20887</v>
      </c>
      <c r="D2959" s="9" t="s">
        <v>409</v>
      </c>
      <c r="E2959" s="9" t="s">
        <v>409</v>
      </c>
      <c r="F2959" s="10">
        <v>1.514</v>
      </c>
      <c r="G2959" s="10">
        <v>1.665</v>
      </c>
      <c r="H2959" s="10"/>
      <c r="I2959" s="9" t="s">
        <v>292</v>
      </c>
      <c r="J2959" s="9" t="s">
        <v>20888</v>
      </c>
      <c r="K2959" s="9" t="s">
        <v>20889</v>
      </c>
      <c r="L2959" s="8" t="s">
        <v>6439</v>
      </c>
      <c r="M2959" s="9" t="s">
        <v>49</v>
      </c>
      <c r="N2959" s="9" t="s">
        <v>20890</v>
      </c>
      <c r="O2959" s="9">
        <f>HYPERLINK("https://www.google.com/maps/search/?api=1&amp;query=41.63686437,-0.9899754", "https://www.google.com/maps/search/?api=1&amp;query=41.63686437,-0.9899754")</f>
      </c>
      <c r="P2959" s="9" t="s">
        <v>11650</v>
      </c>
      <c r="Q2959" s="9" t="s">
        <v>7038</v>
      </c>
    </row>
    <row r="2960" spans="1:17" x14ac:dyDescent="0.25">
      <c r="A2960" s="8" t="s">
        <v>20891</v>
      </c>
      <c r="B2960" s="8" t="s">
        <v>20892</v>
      </c>
      <c r="C2960" s="9" t="s">
        <v>20893</v>
      </c>
      <c r="D2960" s="9" t="s">
        <v>177</v>
      </c>
      <c r="E2960" s="9" t="s">
        <v>20843</v>
      </c>
      <c r="F2960" s="10">
        <v>1.514</v>
      </c>
      <c r="G2960" s="10">
        <v>1.665</v>
      </c>
      <c r="H2960" s="10"/>
      <c r="I2960" s="9" t="s">
        <v>74</v>
      </c>
      <c r="J2960" s="9" t="s">
        <v>20894</v>
      </c>
      <c r="K2960" s="9" t="s">
        <v>20895</v>
      </c>
      <c r="L2960" s="8" t="s">
        <v>20846</v>
      </c>
      <c r="M2960" s="9" t="s">
        <v>49</v>
      </c>
      <c r="N2960" s="9" t="s">
        <v>37</v>
      </c>
      <c r="O2960" s="9">
        <f>HYPERLINK("https://www.google.com/maps/search/?api=1&amp;query=41.78511043,-5.32419877", "https://www.google.com/maps/search/?api=1&amp;query=41.78511043,-5.32419877")</f>
      </c>
      <c r="P2960" s="9" t="s">
        <v>38</v>
      </c>
      <c r="Q2960" s="9" t="s">
        <v>3202</v>
      </c>
    </row>
    <row r="2961" spans="1:17" x14ac:dyDescent="0.25">
      <c r="A2961" s="8" t="s">
        <v>20896</v>
      </c>
      <c r="B2961" s="8" t="s">
        <v>20897</v>
      </c>
      <c r="C2961" s="9" t="s">
        <v>20898</v>
      </c>
      <c r="D2961" s="9" t="s">
        <v>398</v>
      </c>
      <c r="E2961" s="9" t="s">
        <v>20899</v>
      </c>
      <c r="F2961" s="10">
        <v>1.514</v>
      </c>
      <c r="G2961" s="10">
        <v>1.665</v>
      </c>
      <c r="H2961" s="10"/>
      <c r="I2961" s="9" t="s">
        <v>400</v>
      </c>
      <c r="J2961" s="9" t="s">
        <v>20900</v>
      </c>
      <c r="K2961" s="9" t="s">
        <v>20901</v>
      </c>
      <c r="L2961" s="8" t="s">
        <v>20902</v>
      </c>
      <c r="M2961" s="9" t="s">
        <v>49</v>
      </c>
      <c r="N2961" s="9" t="s">
        <v>88</v>
      </c>
      <c r="O2961" s="9">
        <f>HYPERLINK("https://www.google.com/maps/search/?api=1&amp;query=38.41146418,-0.56546756", "https://www.google.com/maps/search/?api=1&amp;query=38.41146418,-0.56546756")</f>
      </c>
      <c r="P2961" s="9" t="s">
        <v>321</v>
      </c>
      <c r="Q2961" s="9" t="s">
        <v>1742</v>
      </c>
    </row>
    <row r="2962" spans="1:17" x14ac:dyDescent="0.25">
      <c r="A2962" s="8" t="s">
        <v>20903</v>
      </c>
      <c r="B2962" s="8" t="s">
        <v>20904</v>
      </c>
      <c r="C2962" s="9" t="s">
        <v>20905</v>
      </c>
      <c r="D2962" s="9" t="s">
        <v>83</v>
      </c>
      <c r="E2962" s="9" t="s">
        <v>83</v>
      </c>
      <c r="F2962" s="10">
        <v>1.514</v>
      </c>
      <c r="G2962" s="10">
        <v>1.665</v>
      </c>
      <c r="H2962" s="10"/>
      <c r="I2962" s="9" t="s">
        <v>83</v>
      </c>
      <c r="J2962" s="9" t="s">
        <v>20906</v>
      </c>
      <c r="K2962" s="9" t="s">
        <v>20907</v>
      </c>
      <c r="L2962" s="8" t="s">
        <v>1430</v>
      </c>
      <c r="M2962" s="9" t="s">
        <v>49</v>
      </c>
      <c r="N2962" s="9" t="s">
        <v>20908</v>
      </c>
      <c r="O2962" s="9">
        <f>HYPERLINK("https://www.google.com/maps/search/?api=1&amp;query=40.44311335,-3.71167802", "https://www.google.com/maps/search/?api=1&amp;query=40.44311335,-3.71167802")</f>
      </c>
      <c r="P2962" s="9" t="s">
        <v>2594</v>
      </c>
      <c r="Q2962" s="9" t="s">
        <v>1131</v>
      </c>
    </row>
    <row r="2963" spans="1:17" x14ac:dyDescent="0.25">
      <c r="A2963" s="8" t="s">
        <v>20909</v>
      </c>
      <c r="B2963" s="8" t="s">
        <v>20910</v>
      </c>
      <c r="C2963" s="9" t="s">
        <v>20911</v>
      </c>
      <c r="D2963" s="9" t="s">
        <v>631</v>
      </c>
      <c r="E2963" s="9" t="s">
        <v>1047</v>
      </c>
      <c r="F2963" s="10">
        <v>1.514</v>
      </c>
      <c r="G2963" s="10">
        <v>1.665</v>
      </c>
      <c r="H2963" s="10"/>
      <c r="I2963" s="9" t="s">
        <v>45</v>
      </c>
      <c r="J2963" s="9" t="s">
        <v>20912</v>
      </c>
      <c r="K2963" s="9" t="s">
        <v>20913</v>
      </c>
      <c r="L2963" s="8" t="s">
        <v>14446</v>
      </c>
      <c r="M2963" s="9" t="s">
        <v>49</v>
      </c>
      <c r="N2963" s="9" t="s">
        <v>66</v>
      </c>
      <c r="O2963" s="9">
        <f>HYPERLINK("https://www.google.com/maps/search/?api=1&amp;query=37.85173456,-4.76556258", "https://www.google.com/maps/search/?api=1&amp;query=37.85173456,-4.76556258")</f>
      </c>
      <c r="P2963" s="9" t="s">
        <v>880</v>
      </c>
      <c r="Q2963" s="9" t="s">
        <v>3657</v>
      </c>
    </row>
    <row r="2964" spans="1:17" x14ac:dyDescent="0.25">
      <c r="A2964" s="8" t="s">
        <v>20914</v>
      </c>
      <c r="B2964" s="8" t="s">
        <v>20915</v>
      </c>
      <c r="C2964" s="9" t="s">
        <v>20916</v>
      </c>
      <c r="D2964" s="9" t="s">
        <v>1617</v>
      </c>
      <c r="E2964" s="9" t="s">
        <v>7323</v>
      </c>
      <c r="F2964" s="10">
        <v>1.514</v>
      </c>
      <c r="G2964" s="10">
        <v>1.665</v>
      </c>
      <c r="H2964" s="10"/>
      <c r="I2964" s="9" t="s">
        <v>292</v>
      </c>
      <c r="J2964" s="9" t="s">
        <v>20917</v>
      </c>
      <c r="K2964" s="9" t="s">
        <v>20918</v>
      </c>
      <c r="L2964" s="8" t="s">
        <v>7326</v>
      </c>
      <c r="M2964" s="9" t="s">
        <v>36</v>
      </c>
      <c r="N2964" s="9" t="s">
        <v>730</v>
      </c>
      <c r="O2964" s="9">
        <f>HYPERLINK("https://www.google.com/maps/search/?api=1&amp;query=41.82802923,0.3111366", "https://www.google.com/maps/search/?api=1&amp;query=41.82802923,0.3111366")</f>
      </c>
      <c r="P2964" s="9" t="s">
        <v>646</v>
      </c>
      <c r="Q2964" s="9" t="s">
        <v>20919</v>
      </c>
    </row>
    <row r="2965" spans="1:17" x14ac:dyDescent="0.25">
      <c r="A2965" s="8" t="s">
        <v>20920</v>
      </c>
      <c r="B2965" s="8" t="s">
        <v>20921</v>
      </c>
      <c r="C2965" s="9" t="s">
        <v>20922</v>
      </c>
      <c r="D2965" s="9" t="s">
        <v>808</v>
      </c>
      <c r="E2965" s="9" t="s">
        <v>20923</v>
      </c>
      <c r="F2965" s="10">
        <v>1.514</v>
      </c>
      <c r="G2965" s="10">
        <v>1.665</v>
      </c>
      <c r="H2965" s="10"/>
      <c r="I2965" s="9" t="s">
        <v>808</v>
      </c>
      <c r="J2965" s="9" t="s">
        <v>20924</v>
      </c>
      <c r="K2965" s="9" t="s">
        <v>20925</v>
      </c>
      <c r="L2965" s="8" t="s">
        <v>20926</v>
      </c>
      <c r="M2965" s="9" t="s">
        <v>49</v>
      </c>
      <c r="N2965" s="9" t="s">
        <v>37</v>
      </c>
      <c r="O2965" s="9">
        <f>HYPERLINK("https://www.google.com/maps/search/?api=1&amp;query=43.412222,-3.8435", "https://www.google.com/maps/search/?api=1&amp;query=43.412222,-3.8435")</f>
      </c>
      <c r="P2965" s="9" t="s">
        <v>6227</v>
      </c>
      <c r="Q2965" s="9" t="s">
        <v>13648</v>
      </c>
    </row>
    <row r="2966" spans="1:17" x14ac:dyDescent="0.25">
      <c r="A2966" s="8" t="s">
        <v>20927</v>
      </c>
      <c r="B2966" s="8" t="s">
        <v>20928</v>
      </c>
      <c r="C2966" s="9" t="s">
        <v>20929</v>
      </c>
      <c r="D2966" s="9" t="s">
        <v>1617</v>
      </c>
      <c r="E2966" s="9" t="s">
        <v>20930</v>
      </c>
      <c r="F2966" s="10">
        <v>1.514</v>
      </c>
      <c r="G2966" s="10">
        <v>1.665</v>
      </c>
      <c r="H2966" s="10"/>
      <c r="I2966" s="9" t="s">
        <v>292</v>
      </c>
      <c r="J2966" s="9" t="s">
        <v>20931</v>
      </c>
      <c r="K2966" s="9" t="s">
        <v>20932</v>
      </c>
      <c r="L2966" s="8" t="s">
        <v>20933</v>
      </c>
      <c r="M2966" s="9" t="s">
        <v>49</v>
      </c>
      <c r="N2966" s="9" t="s">
        <v>122</v>
      </c>
      <c r="O2966" s="9">
        <f>HYPERLINK("https://www.google.com/maps/search/?api=1&amp;query=42.14058379,0.22588306", "https://www.google.com/maps/search/?api=1&amp;query=42.14058379,0.22588306")</f>
      </c>
      <c r="P2966" s="9" t="s">
        <v>880</v>
      </c>
      <c r="Q2966" s="9" t="s">
        <v>14879</v>
      </c>
    </row>
    <row r="2967" spans="1:17" x14ac:dyDescent="0.25">
      <c r="A2967" s="8" t="s">
        <v>20934</v>
      </c>
      <c r="B2967" s="8" t="s">
        <v>20935</v>
      </c>
      <c r="C2967" s="9" t="s">
        <v>14813</v>
      </c>
      <c r="D2967" s="9" t="s">
        <v>1847</v>
      </c>
      <c r="E2967" s="9" t="s">
        <v>1847</v>
      </c>
      <c r="F2967" s="10">
        <v>1.514</v>
      </c>
      <c r="G2967" s="10">
        <v>1.665</v>
      </c>
      <c r="H2967" s="10"/>
      <c r="I2967" s="9" t="s">
        <v>74</v>
      </c>
      <c r="J2967" s="9" t="s">
        <v>20936</v>
      </c>
      <c r="K2967" s="9" t="s">
        <v>20937</v>
      </c>
      <c r="L2967" s="8" t="s">
        <v>20938</v>
      </c>
      <c r="M2967" s="9" t="s">
        <v>49</v>
      </c>
      <c r="N2967" s="9" t="s">
        <v>37</v>
      </c>
      <c r="O2967" s="9">
        <f>HYPERLINK("https://www.google.com/maps/search/?api=1&amp;query=40.94355148,-4.12035745", "https://www.google.com/maps/search/?api=1&amp;query=40.94355148,-4.12035745")</f>
      </c>
      <c r="P2967" s="9" t="s">
        <v>258</v>
      </c>
      <c r="Q2967" s="9" t="s">
        <v>17100</v>
      </c>
    </row>
    <row r="2968" spans="1:17" x14ac:dyDescent="0.25">
      <c r="A2968" s="8" t="s">
        <v>20939</v>
      </c>
      <c r="B2968" s="8" t="s">
        <v>20940</v>
      </c>
      <c r="C2968" s="9" t="s">
        <v>20941</v>
      </c>
      <c r="D2968" s="9" t="s">
        <v>892</v>
      </c>
      <c r="E2968" s="9" t="s">
        <v>20942</v>
      </c>
      <c r="F2968" s="10">
        <v>1.514</v>
      </c>
      <c r="G2968" s="10">
        <v>1.665</v>
      </c>
      <c r="H2968" s="10"/>
      <c r="I2968" s="9" t="s">
        <v>32</v>
      </c>
      <c r="J2968" s="9" t="s">
        <v>20943</v>
      </c>
      <c r="K2968" s="9" t="s">
        <v>20944</v>
      </c>
      <c r="L2968" s="8" t="s">
        <v>20945</v>
      </c>
      <c r="M2968" s="9" t="s">
        <v>49</v>
      </c>
      <c r="N2968" s="9" t="s">
        <v>20946</v>
      </c>
      <c r="O2968" s="9">
        <f>HYPERLINK("https://www.google.com/maps/search/?api=1&amp;query=39.22885794,-6.14854517", "https://www.google.com/maps/search/?api=1&amp;query=39.22885794,-6.14854517")</f>
      </c>
      <c r="P2968" s="9" t="s">
        <v>1803</v>
      </c>
      <c r="Q2968" s="9" t="s">
        <v>1131</v>
      </c>
    </row>
    <row r="2969" spans="1:17" x14ac:dyDescent="0.25">
      <c r="A2969" s="8" t="s">
        <v>20947</v>
      </c>
      <c r="B2969" s="8" t="s">
        <v>20948</v>
      </c>
      <c r="C2969" s="9" t="s">
        <v>20949</v>
      </c>
      <c r="D2969" s="9" t="s">
        <v>280</v>
      </c>
      <c r="E2969" s="9" t="s">
        <v>20950</v>
      </c>
      <c r="F2969" s="10">
        <v>1.514</v>
      </c>
      <c r="G2969" s="10">
        <v>1.665</v>
      </c>
      <c r="H2969" s="10"/>
      <c r="I2969" s="9" t="s">
        <v>118</v>
      </c>
      <c r="J2969" s="9" t="s">
        <v>20951</v>
      </c>
      <c r="K2969" s="9" t="s">
        <v>20952</v>
      </c>
      <c r="L2969" s="8" t="s">
        <v>20953</v>
      </c>
      <c r="M2969" s="9" t="s">
        <v>36</v>
      </c>
      <c r="N2969" s="9" t="s">
        <v>37</v>
      </c>
      <c r="O2969" s="9">
        <f>HYPERLINK("https://www.google.com/maps/search/?api=1&amp;query=43.07888113,-2.1561828", "https://www.google.com/maps/search/?api=1&amp;query=43.07888113,-2.1561828")</f>
      </c>
      <c r="P2969" s="9" t="s">
        <v>14790</v>
      </c>
      <c r="Q2969" s="9" t="s">
        <v>20954</v>
      </c>
    </row>
    <row r="2970" spans="1:17" x14ac:dyDescent="0.25">
      <c r="A2970" s="8" t="s">
        <v>20955</v>
      </c>
      <c r="B2970" s="8" t="s">
        <v>20956</v>
      </c>
      <c r="C2970" s="9" t="s">
        <v>20957</v>
      </c>
      <c r="D2970" s="9" t="s">
        <v>469</v>
      </c>
      <c r="E2970" s="9" t="s">
        <v>20958</v>
      </c>
      <c r="F2970" s="10">
        <v>1.514</v>
      </c>
      <c r="G2970" s="10">
        <v>1.665</v>
      </c>
      <c r="H2970" s="10"/>
      <c r="I2970" s="9" t="s">
        <v>74</v>
      </c>
      <c r="J2970" s="9" t="s">
        <v>20959</v>
      </c>
      <c r="K2970" s="9" t="s">
        <v>20960</v>
      </c>
      <c r="L2970" s="8" t="s">
        <v>20961</v>
      </c>
      <c r="M2970" s="9" t="s">
        <v>49</v>
      </c>
      <c r="N2970" s="9" t="s">
        <v>211</v>
      </c>
      <c r="O2970" s="9">
        <f>HYPERLINK("https://www.google.com/maps/search/?api=1&amp;query=41.01707539,-5.67028287", "https://www.google.com/maps/search/?api=1&amp;query=41.01707539,-5.67028287")</f>
      </c>
      <c r="P2970" s="9" t="s">
        <v>626</v>
      </c>
      <c r="Q2970" s="9" t="s">
        <v>20962</v>
      </c>
    </row>
    <row r="2971" spans="1:17" x14ac:dyDescent="0.25">
      <c r="A2971" s="8" t="s">
        <v>20963</v>
      </c>
      <c r="B2971" s="8" t="s">
        <v>20964</v>
      </c>
      <c r="C2971" s="9" t="s">
        <v>20965</v>
      </c>
      <c r="D2971" s="9" t="s">
        <v>83</v>
      </c>
      <c r="E2971" s="9" t="s">
        <v>83</v>
      </c>
      <c r="F2971" s="10">
        <v>1.514</v>
      </c>
      <c r="G2971" s="10">
        <v>1.665</v>
      </c>
      <c r="H2971" s="10"/>
      <c r="I2971" s="9" t="s">
        <v>83</v>
      </c>
      <c r="J2971" s="9" t="s">
        <v>20966</v>
      </c>
      <c r="K2971" s="9" t="s">
        <v>20967</v>
      </c>
      <c r="L2971" s="8" t="s">
        <v>20968</v>
      </c>
      <c r="M2971" s="9" t="s">
        <v>49</v>
      </c>
      <c r="N2971" s="9" t="s">
        <v>20969</v>
      </c>
      <c r="O2971" s="9">
        <f>HYPERLINK("https://www.google.com/maps/search/?api=1&amp;query=40.38377251,-3.72392995", "https://www.google.com/maps/search/?api=1&amp;query=40.38377251,-3.72392995")</f>
      </c>
      <c r="P2971" s="9" t="s">
        <v>2594</v>
      </c>
      <c r="Q2971" s="9" t="s">
        <v>7794</v>
      </c>
    </row>
    <row r="2972" spans="1:17" x14ac:dyDescent="0.25">
      <c r="A2972" s="8" t="s">
        <v>20970</v>
      </c>
      <c r="B2972" s="8" t="s">
        <v>20971</v>
      </c>
      <c r="C2972" s="9" t="s">
        <v>20972</v>
      </c>
      <c r="D2972" s="9" t="s">
        <v>83</v>
      </c>
      <c r="E2972" s="9" t="s">
        <v>4481</v>
      </c>
      <c r="F2972" s="10">
        <v>1.514</v>
      </c>
      <c r="G2972" s="10">
        <v>1.665</v>
      </c>
      <c r="H2972" s="10"/>
      <c r="I2972" s="9" t="s">
        <v>83</v>
      </c>
      <c r="J2972" s="9" t="s">
        <v>20973</v>
      </c>
      <c r="K2972" s="9" t="s">
        <v>20974</v>
      </c>
      <c r="L2972" s="8" t="s">
        <v>20975</v>
      </c>
      <c r="M2972" s="9" t="s">
        <v>49</v>
      </c>
      <c r="N2972" s="9" t="s">
        <v>2617</v>
      </c>
      <c r="O2972" s="9">
        <f>HYPERLINK("https://www.google.com/maps/search/?api=1&amp;query=40.32090613,-3.72671592", "https://www.google.com/maps/search/?api=1&amp;query=40.32090613,-3.72671592")</f>
      </c>
      <c r="P2972" s="9" t="s">
        <v>9760</v>
      </c>
      <c r="Q2972" s="9" t="s">
        <v>2895</v>
      </c>
    </row>
    <row r="2973" spans="1:17" x14ac:dyDescent="0.25">
      <c r="A2973" s="8" t="s">
        <v>20976</v>
      </c>
      <c r="B2973" s="8" t="s">
        <v>20977</v>
      </c>
      <c r="C2973" s="9" t="s">
        <v>20978</v>
      </c>
      <c r="D2973" s="9" t="s">
        <v>1192</v>
      </c>
      <c r="E2973" s="9" t="s">
        <v>7781</v>
      </c>
      <c r="F2973" s="10">
        <v>1.514</v>
      </c>
      <c r="G2973" s="10">
        <v>1.665</v>
      </c>
      <c r="H2973" s="10"/>
      <c r="I2973" s="9" t="s">
        <v>168</v>
      </c>
      <c r="J2973" s="9" t="s">
        <v>20979</v>
      </c>
      <c r="K2973" s="9" t="s">
        <v>20980</v>
      </c>
      <c r="L2973" s="8" t="s">
        <v>7784</v>
      </c>
      <c r="M2973" s="9" t="s">
        <v>36</v>
      </c>
      <c r="N2973" s="9" t="s">
        <v>88</v>
      </c>
      <c r="O2973" s="9">
        <f>HYPERLINK("https://www.google.com/maps/search/?api=1&amp;query=39.40113345,-3.12823866", "https://www.google.com/maps/search/?api=1&amp;query=39.40113345,-3.12823866")</f>
      </c>
      <c r="P2973" s="9" t="s">
        <v>20981</v>
      </c>
      <c r="Q2973" s="9" t="s">
        <v>19191</v>
      </c>
    </row>
    <row r="2974" spans="1:17" x14ac:dyDescent="0.25">
      <c r="A2974" s="8" t="s">
        <v>20982</v>
      </c>
      <c r="B2974" s="8" t="s">
        <v>20983</v>
      </c>
      <c r="C2974" s="9" t="s">
        <v>20984</v>
      </c>
      <c r="D2974" s="9" t="s">
        <v>217</v>
      </c>
      <c r="E2974" s="9" t="s">
        <v>3733</v>
      </c>
      <c r="F2974" s="10">
        <v>1.514</v>
      </c>
      <c r="G2974" s="10">
        <v>1.665</v>
      </c>
      <c r="H2974" s="10"/>
      <c r="I2974" s="9" t="s">
        <v>45</v>
      </c>
      <c r="J2974" s="9" t="s">
        <v>20985</v>
      </c>
      <c r="K2974" s="9" t="s">
        <v>20986</v>
      </c>
      <c r="L2974" s="8" t="s">
        <v>3736</v>
      </c>
      <c r="M2974" s="9" t="s">
        <v>100</v>
      </c>
      <c r="N2974" s="9" t="s">
        <v>37</v>
      </c>
      <c r="O2974" s="9">
        <f>HYPERLINK("https://www.google.com/maps/search/?api=1&amp;query=36.64461921,-4.48994478", "https://www.google.com/maps/search/?api=1&amp;query=36.64461921,-4.48994478")</f>
      </c>
      <c r="P2974" s="9" t="s">
        <v>20987</v>
      </c>
      <c r="Q2974" s="9" t="s">
        <v>14743</v>
      </c>
    </row>
    <row r="2975" spans="1:17" x14ac:dyDescent="0.25">
      <c r="A2975" s="8" t="s">
        <v>20988</v>
      </c>
      <c r="B2975" s="8" t="s">
        <v>20989</v>
      </c>
      <c r="C2975" s="9" t="s">
        <v>20990</v>
      </c>
      <c r="D2975" s="9" t="s">
        <v>892</v>
      </c>
      <c r="E2975" s="9" t="s">
        <v>20991</v>
      </c>
      <c r="F2975" s="10">
        <v>1.514</v>
      </c>
      <c r="G2975" s="10">
        <v>1.665</v>
      </c>
      <c r="H2975" s="10"/>
      <c r="I2975" s="9" t="s">
        <v>32</v>
      </c>
      <c r="J2975" s="9" t="s">
        <v>20992</v>
      </c>
      <c r="K2975" s="9" t="s">
        <v>20993</v>
      </c>
      <c r="L2975" s="8" t="s">
        <v>20994</v>
      </c>
      <c r="M2975" s="9" t="s">
        <v>49</v>
      </c>
      <c r="N2975" s="9" t="s">
        <v>211</v>
      </c>
      <c r="O2975" s="9">
        <f>HYPERLINK("https://www.google.com/maps/search/?api=1&amp;query=39.96904829,-6.52093955", "https://www.google.com/maps/search/?api=1&amp;query=39.96904829,-6.52093955")</f>
      </c>
      <c r="P2975" s="9" t="s">
        <v>4045</v>
      </c>
      <c r="Q2975" s="9" t="s">
        <v>11262</v>
      </c>
    </row>
    <row r="2976" spans="1:17" x14ac:dyDescent="0.25">
      <c r="A2976" s="8" t="s">
        <v>20995</v>
      </c>
      <c r="B2976" s="8" t="s">
        <v>20996</v>
      </c>
      <c r="C2976" s="9" t="s">
        <v>20997</v>
      </c>
      <c r="D2976" s="9" t="s">
        <v>83</v>
      </c>
      <c r="E2976" s="9" t="s">
        <v>17937</v>
      </c>
      <c r="F2976" s="10">
        <v>1.514</v>
      </c>
      <c r="G2976" s="10">
        <v>1.665</v>
      </c>
      <c r="H2976" s="10"/>
      <c r="I2976" s="9" t="s">
        <v>83</v>
      </c>
      <c r="J2976" s="9" t="s">
        <v>20998</v>
      </c>
      <c r="K2976" s="9" t="s">
        <v>20999</v>
      </c>
      <c r="L2976" s="8" t="s">
        <v>3770</v>
      </c>
      <c r="M2976" s="9" t="s">
        <v>36</v>
      </c>
      <c r="N2976" s="9" t="s">
        <v>21000</v>
      </c>
      <c r="O2976" s="9">
        <f>HYPERLINK("https://www.google.com/maps/search/?api=1&amp;query=40.34513419,-3.44905339", "https://www.google.com/maps/search/?api=1&amp;query=40.34513419,-3.44905339")</f>
      </c>
      <c r="P2976" s="9" t="s">
        <v>4117</v>
      </c>
      <c r="Q2976" s="9" t="s">
        <v>3744</v>
      </c>
    </row>
    <row r="2977" spans="1:17" x14ac:dyDescent="0.25">
      <c r="A2977" s="8" t="s">
        <v>21001</v>
      </c>
      <c r="B2977" s="8" t="s">
        <v>21002</v>
      </c>
      <c r="C2977" s="9" t="s">
        <v>21003</v>
      </c>
      <c r="D2977" s="9" t="s">
        <v>43</v>
      </c>
      <c r="E2977" s="9" t="s">
        <v>21004</v>
      </c>
      <c r="F2977" s="10">
        <v>1.514</v>
      </c>
      <c r="G2977" s="10">
        <v>1.665</v>
      </c>
      <c r="H2977" s="10"/>
      <c r="I2977" s="9" t="s">
        <v>45</v>
      </c>
      <c r="J2977" s="9" t="s">
        <v>21005</v>
      </c>
      <c r="K2977" s="9" t="s">
        <v>21006</v>
      </c>
      <c r="L2977" s="8" t="s">
        <v>21007</v>
      </c>
      <c r="M2977" s="9" t="s">
        <v>49</v>
      </c>
      <c r="N2977" s="9" t="s">
        <v>88</v>
      </c>
      <c r="O2977" s="9">
        <f>HYPERLINK("https://www.google.com/maps/search/?api=1&amp;query=37.30154231,-6.59549255", "https://www.google.com/maps/search/?api=1&amp;query=37.30154231,-6.59549255")</f>
      </c>
      <c r="P2977" s="9" t="s">
        <v>1741</v>
      </c>
      <c r="Q2977" s="9" t="s">
        <v>21008</v>
      </c>
    </row>
    <row r="2978" spans="1:17" x14ac:dyDescent="0.25">
      <c r="A2978" s="8" t="s">
        <v>21009</v>
      </c>
      <c r="B2978" s="8" t="s">
        <v>21010</v>
      </c>
      <c r="C2978" s="9" t="s">
        <v>21011</v>
      </c>
      <c r="D2978" s="9" t="s">
        <v>409</v>
      </c>
      <c r="E2978" s="9" t="s">
        <v>21012</v>
      </c>
      <c r="F2978" s="10">
        <v>1.514</v>
      </c>
      <c r="G2978" s="10">
        <v>1.665</v>
      </c>
      <c r="H2978" s="10"/>
      <c r="I2978" s="9" t="s">
        <v>292</v>
      </c>
      <c r="J2978" s="9" t="s">
        <v>21013</v>
      </c>
      <c r="K2978" s="9" t="s">
        <v>21014</v>
      </c>
      <c r="L2978" s="8" t="s">
        <v>21015</v>
      </c>
      <c r="M2978" s="9" t="s">
        <v>36</v>
      </c>
      <c r="N2978" s="9" t="s">
        <v>122</v>
      </c>
      <c r="O2978" s="9">
        <f>HYPERLINK("https://www.google.com/maps/search/?api=1&amp;query=41.47941697,-1.37296923", "https://www.google.com/maps/search/?api=1&amp;query=41.47941697,-1.37296923")</f>
      </c>
      <c r="P2978" s="9" t="s">
        <v>1203</v>
      </c>
      <c r="Q2978" s="9" t="s">
        <v>7794</v>
      </c>
    </row>
    <row r="2979" spans="1:17" x14ac:dyDescent="0.25">
      <c r="A2979" s="8" t="s">
        <v>77</v>
      </c>
      <c r="B2979" s="8" t="s">
        <v>21016</v>
      </c>
      <c r="C2979" s="9" t="s">
        <v>21017</v>
      </c>
      <c r="D2979" s="9" t="s">
        <v>409</v>
      </c>
      <c r="E2979" s="9" t="s">
        <v>409</v>
      </c>
      <c r="F2979" s="10">
        <v>1.514</v>
      </c>
      <c r="G2979" s="10">
        <v>1.665</v>
      </c>
      <c r="H2979" s="10"/>
      <c r="I2979" s="9" t="s">
        <v>292</v>
      </c>
      <c r="J2979" s="9" t="s">
        <v>21018</v>
      </c>
      <c r="K2979" s="9" t="s">
        <v>21019</v>
      </c>
      <c r="L2979" s="8" t="s">
        <v>18347</v>
      </c>
      <c r="M2979" s="9" t="s">
        <v>49</v>
      </c>
      <c r="N2979" s="9" t="s">
        <v>21020</v>
      </c>
      <c r="O2979" s="9">
        <f>HYPERLINK("https://www.google.com/maps/search/?api=1&amp;query=41.65179569,-0.79505471", "https://www.google.com/maps/search/?api=1&amp;query=41.65179569,-0.79505471")</f>
      </c>
      <c r="P2979" s="9" t="s">
        <v>3165</v>
      </c>
      <c r="Q2979" s="9" t="s">
        <v>21021</v>
      </c>
    </row>
    <row r="2980" spans="1:17" x14ac:dyDescent="0.25">
      <c r="A2980" s="8" t="s">
        <v>21022</v>
      </c>
      <c r="B2980" s="8" t="s">
        <v>21023</v>
      </c>
      <c r="C2980" s="9" t="s">
        <v>21024</v>
      </c>
      <c r="D2980" s="9" t="s">
        <v>106</v>
      </c>
      <c r="E2980" s="9" t="s">
        <v>21025</v>
      </c>
      <c r="F2980" s="10">
        <v>1.514</v>
      </c>
      <c r="G2980" s="10">
        <v>1.665</v>
      </c>
      <c r="H2980" s="10"/>
      <c r="I2980" s="9" t="s">
        <v>106</v>
      </c>
      <c r="J2980" s="9" t="s">
        <v>21026</v>
      </c>
      <c r="K2980" s="9" t="s">
        <v>21027</v>
      </c>
      <c r="L2980" s="8" t="s">
        <v>21028</v>
      </c>
      <c r="M2980" s="9" t="s">
        <v>36</v>
      </c>
      <c r="N2980" s="9" t="s">
        <v>66</v>
      </c>
      <c r="O2980" s="9">
        <f>HYPERLINK("https://www.google.com/maps/search/?api=1&amp;query=37.68344079,-0.95496636", "https://www.google.com/maps/search/?api=1&amp;query=37.68344079,-0.95496636")</f>
      </c>
      <c r="P2980" s="9" t="s">
        <v>8071</v>
      </c>
      <c r="Q2980" s="9" t="s">
        <v>21029</v>
      </c>
    </row>
    <row r="2981" spans="1:17" x14ac:dyDescent="0.25">
      <c r="A2981" s="8" t="s">
        <v>21030</v>
      </c>
      <c r="B2981" s="8" t="s">
        <v>21031</v>
      </c>
      <c r="C2981" s="9" t="s">
        <v>21032</v>
      </c>
      <c r="D2981" s="9" t="s">
        <v>444</v>
      </c>
      <c r="E2981" s="9" t="s">
        <v>21033</v>
      </c>
      <c r="F2981" s="10">
        <v>1.514</v>
      </c>
      <c r="G2981" s="10">
        <v>1.665</v>
      </c>
      <c r="H2981" s="10"/>
      <c r="I2981" s="9" t="s">
        <v>444</v>
      </c>
      <c r="J2981" s="9" t="s">
        <v>21034</v>
      </c>
      <c r="K2981" s="9" t="s">
        <v>21035</v>
      </c>
      <c r="L2981" s="8" t="s">
        <v>7992</v>
      </c>
      <c r="M2981" s="9" t="s">
        <v>49</v>
      </c>
      <c r="N2981" s="9" t="s">
        <v>88</v>
      </c>
      <c r="O2981" s="9">
        <f>HYPERLINK("https://www.google.com/maps/search/?api=1&amp;query=43.40487764,-6.23315632", "https://www.google.com/maps/search/?api=1&amp;query=43.40487764,-6.23315632")</f>
      </c>
      <c r="P2981" s="9" t="s">
        <v>1927</v>
      </c>
      <c r="Q2981" s="9" t="s">
        <v>21036</v>
      </c>
    </row>
    <row r="2982" spans="1:17" x14ac:dyDescent="0.25">
      <c r="A2982" s="8" t="s">
        <v>21037</v>
      </c>
      <c r="B2982" s="8" t="s">
        <v>21038</v>
      </c>
      <c r="C2982" s="9" t="s">
        <v>21039</v>
      </c>
      <c r="D2982" s="9" t="s">
        <v>307</v>
      </c>
      <c r="E2982" s="9" t="s">
        <v>21040</v>
      </c>
      <c r="F2982" s="10">
        <v>1.514</v>
      </c>
      <c r="G2982" s="10">
        <v>1.665</v>
      </c>
      <c r="H2982" s="10"/>
      <c r="I2982" s="9" t="s">
        <v>74</v>
      </c>
      <c r="J2982" s="9" t="s">
        <v>21041</v>
      </c>
      <c r="K2982" s="9" t="s">
        <v>21042</v>
      </c>
      <c r="L2982" s="8" t="s">
        <v>21043</v>
      </c>
      <c r="M2982" s="9" t="s">
        <v>49</v>
      </c>
      <c r="N2982" s="9" t="s">
        <v>21044</v>
      </c>
      <c r="O2982" s="9">
        <f>HYPERLINK("https://www.google.com/maps/search/?api=1&amp;query=41.22738014,-5.31746241", "https://www.google.com/maps/search/?api=1&amp;query=41.22738014,-5.31746241")</f>
      </c>
      <c r="P2982" s="9" t="s">
        <v>2135</v>
      </c>
      <c r="Q2982" s="9" t="s">
        <v>18302</v>
      </c>
    </row>
    <row r="2983" spans="1:17" x14ac:dyDescent="0.25">
      <c r="A2983" s="8" t="s">
        <v>21045</v>
      </c>
      <c r="B2983" s="8" t="s">
        <v>21046</v>
      </c>
      <c r="C2983" s="9" t="s">
        <v>21047</v>
      </c>
      <c r="D2983" s="9" t="s">
        <v>197</v>
      </c>
      <c r="E2983" s="9" t="s">
        <v>21048</v>
      </c>
      <c r="F2983" s="10">
        <v>1.514</v>
      </c>
      <c r="G2983" s="10">
        <v>1.665</v>
      </c>
      <c r="H2983" s="10"/>
      <c r="I2983" s="9" t="s">
        <v>168</v>
      </c>
      <c r="J2983" s="9" t="s">
        <v>21049</v>
      </c>
      <c r="K2983" s="9" t="s">
        <v>21050</v>
      </c>
      <c r="L2983" s="8" t="s">
        <v>21051</v>
      </c>
      <c r="M2983" s="9" t="s">
        <v>36</v>
      </c>
      <c r="N2983" s="9" t="s">
        <v>21052</v>
      </c>
      <c r="O2983" s="9">
        <f>HYPERLINK("https://www.google.com/maps/search/?api=1&amp;query=39.9621171,-4.41983843", "https://www.google.com/maps/search/?api=1&amp;query=39.9621171,-4.41983843")</f>
      </c>
      <c r="P2983" s="9" t="s">
        <v>1373</v>
      </c>
      <c r="Q2983" s="9" t="s">
        <v>618</v>
      </c>
    </row>
    <row r="2984" spans="1:17" x14ac:dyDescent="0.25">
      <c r="A2984" s="8" t="s">
        <v>21053</v>
      </c>
      <c r="B2984" s="8" t="s">
        <v>21054</v>
      </c>
      <c r="C2984" s="9" t="s">
        <v>21055</v>
      </c>
      <c r="D2984" s="9" t="s">
        <v>516</v>
      </c>
      <c r="E2984" s="9" t="s">
        <v>21056</v>
      </c>
      <c r="F2984" s="10">
        <v>1.514</v>
      </c>
      <c r="G2984" s="10">
        <v>1.665</v>
      </c>
      <c r="H2984" s="10"/>
      <c r="I2984" s="9" t="s">
        <v>140</v>
      </c>
      <c r="J2984" s="9" t="s">
        <v>21057</v>
      </c>
      <c r="K2984" s="9" t="s">
        <v>21058</v>
      </c>
      <c r="L2984" s="8" t="s">
        <v>21059</v>
      </c>
      <c r="M2984" s="9" t="s">
        <v>49</v>
      </c>
      <c r="N2984" s="9" t="s">
        <v>37</v>
      </c>
      <c r="O2984" s="9">
        <f>HYPERLINK("https://www.google.com/maps/search/?api=1&amp;query=42.94069823,-7.39462531", "https://www.google.com/maps/search/?api=1&amp;query=42.94069823,-7.39462531")</f>
      </c>
      <c r="P2984" s="9" t="s">
        <v>144</v>
      </c>
      <c r="Q2984" s="9" t="s">
        <v>21060</v>
      </c>
    </row>
    <row r="2985" spans="1:17" x14ac:dyDescent="0.25">
      <c r="A2985" s="8" t="s">
        <v>21061</v>
      </c>
      <c r="B2985" s="8" t="s">
        <v>21062</v>
      </c>
      <c r="C2985" s="9" t="s">
        <v>21063</v>
      </c>
      <c r="D2985" s="9" t="s">
        <v>398</v>
      </c>
      <c r="E2985" s="9" t="s">
        <v>398</v>
      </c>
      <c r="F2985" s="10">
        <v>1.514</v>
      </c>
      <c r="G2985" s="10">
        <v>1.665</v>
      </c>
      <c r="H2985" s="10"/>
      <c r="I2985" s="9" t="s">
        <v>400</v>
      </c>
      <c r="J2985" s="9" t="s">
        <v>21064</v>
      </c>
      <c r="K2985" s="9" t="s">
        <v>21065</v>
      </c>
      <c r="L2985" s="8" t="s">
        <v>7922</v>
      </c>
      <c r="M2985" s="9" t="s">
        <v>49</v>
      </c>
      <c r="N2985" s="9" t="s">
        <v>15494</v>
      </c>
      <c r="O2985" s="9">
        <f>HYPERLINK("https://www.google.com/maps/search/?api=1&amp;query=38.34453096,-0.52306133", "https://www.google.com/maps/search/?api=1&amp;query=38.34453096,-0.52306133")</f>
      </c>
      <c r="P2985" s="9" t="s">
        <v>680</v>
      </c>
      <c r="Q2985" s="9" t="s">
        <v>21066</v>
      </c>
    </row>
    <row r="2986" spans="1:17" x14ac:dyDescent="0.25">
      <c r="A2986" s="8" t="s">
        <v>21067</v>
      </c>
      <c r="B2986" s="8" t="s">
        <v>21068</v>
      </c>
      <c r="C2986" s="9" t="s">
        <v>21069</v>
      </c>
      <c r="D2986" s="9" t="s">
        <v>1192</v>
      </c>
      <c r="E2986" s="9" t="s">
        <v>2354</v>
      </c>
      <c r="F2986" s="10">
        <v>1.514</v>
      </c>
      <c r="G2986" s="10">
        <v>1.665</v>
      </c>
      <c r="H2986" s="10"/>
      <c r="I2986" s="9" t="s">
        <v>168</v>
      </c>
      <c r="J2986" s="9" t="s">
        <v>21070</v>
      </c>
      <c r="K2986" s="9" t="s">
        <v>21071</v>
      </c>
      <c r="L2986" s="8" t="s">
        <v>2357</v>
      </c>
      <c r="M2986" s="9" t="s">
        <v>49</v>
      </c>
      <c r="N2986" s="9" t="s">
        <v>21072</v>
      </c>
      <c r="O2986" s="9">
        <f>HYPERLINK("https://www.google.com/maps/search/?api=1&amp;query=38.99534007,-3.3750048", "https://www.google.com/maps/search/?api=1&amp;query=38.99534007,-3.3750048")</f>
      </c>
      <c r="P2986" s="9" t="s">
        <v>1439</v>
      </c>
      <c r="Q2986" s="9" t="s">
        <v>1131</v>
      </c>
    </row>
    <row r="2987" spans="1:17" x14ac:dyDescent="0.25">
      <c r="A2987" s="8" t="s">
        <v>21073</v>
      </c>
      <c r="B2987" s="8" t="s">
        <v>21074</v>
      </c>
      <c r="C2987" s="9" t="s">
        <v>21075</v>
      </c>
      <c r="D2987" s="9" t="s">
        <v>577</v>
      </c>
      <c r="E2987" s="9" t="s">
        <v>21076</v>
      </c>
      <c r="F2987" s="10">
        <v>1.514</v>
      </c>
      <c r="G2987" s="10">
        <v>1.665</v>
      </c>
      <c r="H2987" s="10"/>
      <c r="I2987" s="9" t="s">
        <v>74</v>
      </c>
      <c r="J2987" s="9" t="s">
        <v>21077</v>
      </c>
      <c r="K2987" s="9" t="s">
        <v>21078</v>
      </c>
      <c r="L2987" s="8" t="s">
        <v>21079</v>
      </c>
      <c r="M2987" s="9" t="s">
        <v>100</v>
      </c>
      <c r="N2987" s="9" t="s">
        <v>19271</v>
      </c>
      <c r="O2987" s="9">
        <f>HYPERLINK("https://www.google.com/maps/search/?api=1&amp;query=40.80309579,-4.87307441", "https://www.google.com/maps/search/?api=1&amp;query=40.80309579,-4.87307441")</f>
      </c>
      <c r="P2987" s="9" t="s">
        <v>583</v>
      </c>
      <c r="Q2987" s="9" t="s">
        <v>1131</v>
      </c>
    </row>
    <row r="2988" spans="1:17" x14ac:dyDescent="0.25">
      <c r="A2988" s="8" t="s">
        <v>21080</v>
      </c>
      <c r="B2988" s="8" t="s">
        <v>21081</v>
      </c>
      <c r="C2988" s="9" t="s">
        <v>21082</v>
      </c>
      <c r="D2988" s="9" t="s">
        <v>94</v>
      </c>
      <c r="E2988" s="9" t="s">
        <v>94</v>
      </c>
      <c r="F2988" s="10">
        <v>1.514</v>
      </c>
      <c r="G2988" s="10">
        <v>1.665</v>
      </c>
      <c r="H2988" s="10"/>
      <c r="I2988" s="9" t="s">
        <v>96</v>
      </c>
      <c r="J2988" s="9" t="s">
        <v>21083</v>
      </c>
      <c r="K2988" s="9" t="s">
        <v>21084</v>
      </c>
      <c r="L2988" s="8" t="s">
        <v>2149</v>
      </c>
      <c r="M2988" s="9" t="s">
        <v>49</v>
      </c>
      <c r="N2988" s="9" t="s">
        <v>8648</v>
      </c>
      <c r="O2988" s="9">
        <f>HYPERLINK("https://www.google.com/maps/search/?api=1&amp;query=41.3998556,2.19865274", "https://www.google.com/maps/search/?api=1&amp;query=41.3998556,2.19865274")</f>
      </c>
      <c r="P2988" s="9" t="s">
        <v>3685</v>
      </c>
      <c r="Q2988" s="9" t="s">
        <v>11278</v>
      </c>
    </row>
    <row r="2989" spans="1:17" x14ac:dyDescent="0.25">
      <c r="A2989" s="8" t="s">
        <v>21085</v>
      </c>
      <c r="B2989" s="8" t="s">
        <v>21086</v>
      </c>
      <c r="C2989" s="9" t="s">
        <v>21087</v>
      </c>
      <c r="D2989" s="9" t="s">
        <v>43</v>
      </c>
      <c r="E2989" s="9" t="s">
        <v>21088</v>
      </c>
      <c r="F2989" s="10">
        <v>1.514</v>
      </c>
      <c r="G2989" s="10">
        <v>1.665</v>
      </c>
      <c r="H2989" s="10"/>
      <c r="I2989" s="9" t="s">
        <v>45</v>
      </c>
      <c r="J2989" s="9" t="s">
        <v>21089</v>
      </c>
      <c r="K2989" s="9" t="s">
        <v>21090</v>
      </c>
      <c r="L2989" s="8" t="s">
        <v>21091</v>
      </c>
      <c r="M2989" s="9" t="s">
        <v>49</v>
      </c>
      <c r="N2989" s="9" t="s">
        <v>21092</v>
      </c>
      <c r="O2989" s="9">
        <f>HYPERLINK("https://www.google.com/maps/search/?api=1&amp;query=37.42358338,-6.40635027", "https://www.google.com/maps/search/?api=1&amp;query=37.42358338,-6.40635027")</f>
      </c>
      <c r="P2989" s="9" t="s">
        <v>1439</v>
      </c>
      <c r="Q2989" s="9" t="s">
        <v>1131</v>
      </c>
    </row>
    <row r="2990" spans="1:17" x14ac:dyDescent="0.25">
      <c r="A2990" s="8" t="s">
        <v>18959</v>
      </c>
      <c r="B2990" s="8" t="s">
        <v>21093</v>
      </c>
      <c r="C2990" s="9" t="s">
        <v>21094</v>
      </c>
      <c r="D2990" s="9" t="s">
        <v>400</v>
      </c>
      <c r="E2990" s="9" t="s">
        <v>19007</v>
      </c>
      <c r="F2990" s="10">
        <v>1.514</v>
      </c>
      <c r="G2990" s="10">
        <v>1.665</v>
      </c>
      <c r="H2990" s="10"/>
      <c r="I2990" s="9" t="s">
        <v>400</v>
      </c>
      <c r="J2990" s="9" t="s">
        <v>21095</v>
      </c>
      <c r="K2990" s="9" t="s">
        <v>21096</v>
      </c>
      <c r="L2990" s="8" t="s">
        <v>19010</v>
      </c>
      <c r="M2990" s="9" t="s">
        <v>49</v>
      </c>
      <c r="N2990" s="9" t="s">
        <v>3034</v>
      </c>
      <c r="O2990" s="9">
        <f>HYPERLINK("https://www.google.com/maps/search/?api=1&amp;query=39.48120714,-0.45963503", "https://www.google.com/maps/search/?api=1&amp;query=39.48120714,-0.45963503")</f>
      </c>
      <c r="P2990" s="9" t="s">
        <v>14116</v>
      </c>
      <c r="Q2990" s="9" t="s">
        <v>420</v>
      </c>
    </row>
    <row r="2991" spans="1:17" x14ac:dyDescent="0.25">
      <c r="A2991" s="8" t="s">
        <v>21097</v>
      </c>
      <c r="B2991" s="8" t="s">
        <v>21098</v>
      </c>
      <c r="C2991" s="9" t="s">
        <v>21099</v>
      </c>
      <c r="D2991" s="9" t="s">
        <v>226</v>
      </c>
      <c r="E2991" s="9" t="s">
        <v>21100</v>
      </c>
      <c r="F2991" s="10">
        <v>1.514</v>
      </c>
      <c r="G2991" s="10">
        <v>1.665</v>
      </c>
      <c r="H2991" s="10"/>
      <c r="I2991" s="9" t="s">
        <v>168</v>
      </c>
      <c r="J2991" s="9" t="s">
        <v>21101</v>
      </c>
      <c r="K2991" s="9" t="s">
        <v>21102</v>
      </c>
      <c r="L2991" s="8" t="s">
        <v>21103</v>
      </c>
      <c r="M2991" s="9" t="s">
        <v>36</v>
      </c>
      <c r="N2991" s="9" t="s">
        <v>21104</v>
      </c>
      <c r="O2991" s="9">
        <f>HYPERLINK("https://www.google.com/maps/search/?api=1&amp;query=40.45115254,-2.31978492", "https://www.google.com/maps/search/?api=1&amp;query=40.45115254,-2.31978492")</f>
      </c>
      <c r="P2991" s="9" t="s">
        <v>8200</v>
      </c>
      <c r="Q2991" s="9" t="s">
        <v>1742</v>
      </c>
    </row>
    <row r="2992" spans="1:17" x14ac:dyDescent="0.25">
      <c r="A2992" s="8" t="s">
        <v>21105</v>
      </c>
      <c r="B2992" s="8" t="s">
        <v>21106</v>
      </c>
      <c r="C2992" s="9" t="s">
        <v>21107</v>
      </c>
      <c r="D2992" s="9" t="s">
        <v>1560</v>
      </c>
      <c r="E2992" s="9" t="s">
        <v>18522</v>
      </c>
      <c r="F2992" s="10">
        <v>1.514</v>
      </c>
      <c r="G2992" s="10">
        <v>1.665</v>
      </c>
      <c r="H2992" s="10"/>
      <c r="I2992" s="9" t="s">
        <v>400</v>
      </c>
      <c r="J2992" s="9" t="s">
        <v>18523</v>
      </c>
      <c r="K2992" s="9" t="s">
        <v>21108</v>
      </c>
      <c r="L2992" s="8" t="s">
        <v>12935</v>
      </c>
      <c r="M2992" s="9" t="s">
        <v>36</v>
      </c>
      <c r="N2992" s="9" t="s">
        <v>37</v>
      </c>
      <c r="O2992" s="9">
        <f>HYPERLINK("https://www.google.com/maps/search/?api=1&amp;query=40.22224486,0.20134067", "https://www.google.com/maps/search/?api=1&amp;query=40.22224486,0.20134067")</f>
      </c>
      <c r="P2992" s="9" t="s">
        <v>1259</v>
      </c>
      <c r="Q2992" s="9" t="s">
        <v>21109</v>
      </c>
    </row>
    <row r="2993" spans="1:17" x14ac:dyDescent="0.25">
      <c r="A2993" s="8" t="s">
        <v>21110</v>
      </c>
      <c r="B2993" s="8" t="s">
        <v>21111</v>
      </c>
      <c r="C2993" s="9" t="s">
        <v>21112</v>
      </c>
      <c r="D2993" s="9" t="s">
        <v>226</v>
      </c>
      <c r="E2993" s="9" t="s">
        <v>21113</v>
      </c>
      <c r="F2993" s="10">
        <v>1.514</v>
      </c>
      <c r="G2993" s="10">
        <v>1.665</v>
      </c>
      <c r="H2993" s="10"/>
      <c r="I2993" s="9" t="s">
        <v>168</v>
      </c>
      <c r="J2993" s="9" t="s">
        <v>21114</v>
      </c>
      <c r="K2993" s="9" t="s">
        <v>21115</v>
      </c>
      <c r="L2993" s="8" t="s">
        <v>21116</v>
      </c>
      <c r="M2993" s="9" t="s">
        <v>49</v>
      </c>
      <c r="N2993" s="9" t="s">
        <v>21117</v>
      </c>
      <c r="O2993" s="9">
        <f>HYPERLINK("https://www.google.com/maps/search/?api=1&amp;query=40.14618857,-2.68709378", "https://www.google.com/maps/search/?api=1&amp;query=40.14618857,-2.68709378")</f>
      </c>
      <c r="P2993" s="9" t="s">
        <v>11083</v>
      </c>
      <c r="Q2993" s="9" t="s">
        <v>11278</v>
      </c>
    </row>
    <row r="2994" spans="1:17" x14ac:dyDescent="0.25">
      <c r="A2994" s="8" t="s">
        <v>21118</v>
      </c>
      <c r="B2994" s="8" t="s">
        <v>21119</v>
      </c>
      <c r="C2994" s="9" t="s">
        <v>21120</v>
      </c>
      <c r="D2994" s="9" t="s">
        <v>398</v>
      </c>
      <c r="E2994" s="9" t="s">
        <v>11860</v>
      </c>
      <c r="F2994" s="10">
        <v>1.514</v>
      </c>
      <c r="G2994" s="10">
        <v>1.665</v>
      </c>
      <c r="H2994" s="10"/>
      <c r="I2994" s="9" t="s">
        <v>400</v>
      </c>
      <c r="J2994" s="9" t="s">
        <v>21121</v>
      </c>
      <c r="K2994" s="9" t="s">
        <v>21122</v>
      </c>
      <c r="L2994" s="8" t="s">
        <v>11863</v>
      </c>
      <c r="M2994" s="9" t="s">
        <v>36</v>
      </c>
      <c r="N2994" s="9" t="s">
        <v>88</v>
      </c>
      <c r="O2994" s="9">
        <f>HYPERLINK("https://www.google.com/maps/search/?api=1&amp;query=38.47395393,-0.80474909", "https://www.google.com/maps/search/?api=1&amp;query=38.47395393,-0.80474909")</f>
      </c>
      <c r="P2994" s="9" t="s">
        <v>2442</v>
      </c>
      <c r="Q2994" s="9" t="s">
        <v>21123</v>
      </c>
    </row>
    <row r="2995" spans="1:17" x14ac:dyDescent="0.25">
      <c r="A2995" s="8" t="s">
        <v>21124</v>
      </c>
      <c r="B2995" s="8" t="s">
        <v>21125</v>
      </c>
      <c r="C2995" s="9" t="s">
        <v>21126</v>
      </c>
      <c r="D2995" s="9" t="s">
        <v>128</v>
      </c>
      <c r="E2995" s="9" t="s">
        <v>3206</v>
      </c>
      <c r="F2995" s="10">
        <v>1.514</v>
      </c>
      <c r="G2995" s="10">
        <v>1.665</v>
      </c>
      <c r="H2995" s="10"/>
      <c r="I2995" s="9" t="s">
        <v>45</v>
      </c>
      <c r="J2995" s="9" t="s">
        <v>21127</v>
      </c>
      <c r="K2995" s="9" t="s">
        <v>21128</v>
      </c>
      <c r="L2995" s="8" t="s">
        <v>5794</v>
      </c>
      <c r="M2995" s="9" t="s">
        <v>49</v>
      </c>
      <c r="N2995" s="9" t="s">
        <v>21129</v>
      </c>
      <c r="O2995" s="9">
        <f>HYPERLINK("https://www.google.com/maps/search/?api=1&amp;query=36.52655801,-6.28940655", "https://www.google.com/maps/search/?api=1&amp;query=36.52655801,-6.28940655")</f>
      </c>
      <c r="P2995" s="9" t="s">
        <v>1439</v>
      </c>
      <c r="Q2995" s="9" t="s">
        <v>1131</v>
      </c>
    </row>
    <row r="2996" spans="1:17" x14ac:dyDescent="0.25">
      <c r="A2996" s="8" t="s">
        <v>21130</v>
      </c>
      <c r="B2996" s="8" t="s">
        <v>21131</v>
      </c>
      <c r="C2996" s="9" t="s">
        <v>21132</v>
      </c>
      <c r="D2996" s="9" t="s">
        <v>177</v>
      </c>
      <c r="E2996" s="9" t="s">
        <v>21133</v>
      </c>
      <c r="F2996" s="10">
        <v>1.514</v>
      </c>
      <c r="G2996" s="10">
        <v>1.665</v>
      </c>
      <c r="H2996" s="10"/>
      <c r="I2996" s="9" t="s">
        <v>74</v>
      </c>
      <c r="J2996" s="9" t="s">
        <v>21134</v>
      </c>
      <c r="K2996" s="9" t="s">
        <v>21135</v>
      </c>
      <c r="L2996" s="8" t="s">
        <v>21136</v>
      </c>
      <c r="M2996" s="9" t="s">
        <v>49</v>
      </c>
      <c r="N2996" s="9" t="s">
        <v>5787</v>
      </c>
      <c r="O2996" s="9">
        <f>HYPERLINK("https://www.google.com/maps/search/?api=1&amp;query=41.18200975,-4.80754549", "https://www.google.com/maps/search/?api=1&amp;query=41.18200975,-4.80754549")</f>
      </c>
      <c r="P2996" s="9" t="s">
        <v>1514</v>
      </c>
      <c r="Q2996" s="9" t="s">
        <v>21137</v>
      </c>
    </row>
    <row r="2997" spans="1:17" x14ac:dyDescent="0.25">
      <c r="A2997" s="8" t="s">
        <v>19350</v>
      </c>
      <c r="B2997" s="8" t="s">
        <v>21138</v>
      </c>
      <c r="C2997" s="9" t="s">
        <v>21139</v>
      </c>
      <c r="D2997" s="9" t="s">
        <v>106</v>
      </c>
      <c r="E2997" s="9" t="s">
        <v>4840</v>
      </c>
      <c r="F2997" s="10">
        <v>1.514</v>
      </c>
      <c r="G2997" s="10">
        <v>1.665</v>
      </c>
      <c r="H2997" s="10"/>
      <c r="I2997" s="9" t="s">
        <v>106</v>
      </c>
      <c r="J2997" s="9" t="s">
        <v>21140</v>
      </c>
      <c r="K2997" s="9" t="s">
        <v>21141</v>
      </c>
      <c r="L2997" s="8" t="s">
        <v>4843</v>
      </c>
      <c r="M2997" s="9" t="s">
        <v>49</v>
      </c>
      <c r="N2997" s="9" t="s">
        <v>21142</v>
      </c>
      <c r="O2997" s="9">
        <f>HYPERLINK("https://www.google.com/maps/search/?api=1&amp;query=37.67144086,-1.68123846", "https://www.google.com/maps/search/?api=1&amp;query=37.67144086,-1.68123846")</f>
      </c>
      <c r="P2997" s="9" t="s">
        <v>2786</v>
      </c>
      <c r="Q2997" s="9" t="s">
        <v>3771</v>
      </c>
    </row>
    <row r="2998" spans="1:17" x14ac:dyDescent="0.25">
      <c r="A2998" s="8" t="s">
        <v>21143</v>
      </c>
      <c r="B2998" s="8" t="s">
        <v>21144</v>
      </c>
      <c r="C2998" s="9" t="s">
        <v>21145</v>
      </c>
      <c r="D2998" s="9" t="s">
        <v>187</v>
      </c>
      <c r="E2998" s="9" t="s">
        <v>21146</v>
      </c>
      <c r="F2998" s="10">
        <v>1.514</v>
      </c>
      <c r="G2998" s="10">
        <v>1.665</v>
      </c>
      <c r="H2998" s="10"/>
      <c r="I2998" s="9" t="s">
        <v>74</v>
      </c>
      <c r="J2998" s="9" t="s">
        <v>21147</v>
      </c>
      <c r="K2998" s="9" t="s">
        <v>21148</v>
      </c>
      <c r="L2998" s="8" t="s">
        <v>17932</v>
      </c>
      <c r="M2998" s="9" t="s">
        <v>36</v>
      </c>
      <c r="N2998" s="9" t="s">
        <v>12632</v>
      </c>
      <c r="O2998" s="9">
        <f>HYPERLINK("https://www.google.com/maps/search/?api=1&amp;query=42.32215808,-5.57678127", "https://www.google.com/maps/search/?api=1&amp;query=42.32215808,-5.57678127")</f>
      </c>
      <c r="P2998" s="9" t="s">
        <v>583</v>
      </c>
      <c r="Q2998" s="9" t="s">
        <v>3771</v>
      </c>
    </row>
    <row r="2999" spans="1:17" x14ac:dyDescent="0.25">
      <c r="A2999" s="8" t="s">
        <v>21149</v>
      </c>
      <c r="B2999" s="8" t="s">
        <v>21150</v>
      </c>
      <c r="C2999" s="9" t="s">
        <v>21151</v>
      </c>
      <c r="D2999" s="9" t="s">
        <v>128</v>
      </c>
      <c r="E2999" s="9" t="s">
        <v>21152</v>
      </c>
      <c r="F2999" s="10">
        <v>1.514</v>
      </c>
      <c r="G2999" s="10">
        <v>1.665</v>
      </c>
      <c r="H2999" s="10"/>
      <c r="I2999" s="9" t="s">
        <v>45</v>
      </c>
      <c r="J2999" s="9" t="s">
        <v>21153</v>
      </c>
      <c r="K2999" s="9" t="s">
        <v>21154</v>
      </c>
      <c r="L2999" s="8" t="s">
        <v>4574</v>
      </c>
      <c r="M2999" s="9" t="s">
        <v>49</v>
      </c>
      <c r="N2999" s="9" t="s">
        <v>211</v>
      </c>
      <c r="O2999" s="9">
        <f>HYPERLINK("https://www.google.com/maps/search/?api=1&amp;query=36.64280707,-6.26019792", "https://www.google.com/maps/search/?api=1&amp;query=36.64280707,-6.26019792")</f>
      </c>
      <c r="P2999" s="9" t="s">
        <v>321</v>
      </c>
      <c r="Q2999" s="9" t="s">
        <v>21155</v>
      </c>
    </row>
    <row r="3000" spans="1:17" x14ac:dyDescent="0.25">
      <c r="A3000" s="8" t="s">
        <v>21156</v>
      </c>
      <c r="B3000" s="8" t="s">
        <v>21157</v>
      </c>
      <c r="C3000" s="9" t="s">
        <v>21158</v>
      </c>
      <c r="D3000" s="9" t="s">
        <v>128</v>
      </c>
      <c r="E3000" s="9" t="s">
        <v>21159</v>
      </c>
      <c r="F3000" s="10">
        <v>1.514</v>
      </c>
      <c r="G3000" s="10">
        <v>1.665</v>
      </c>
      <c r="H3000" s="10"/>
      <c r="I3000" s="9" t="s">
        <v>45</v>
      </c>
      <c r="J3000" s="9" t="s">
        <v>21160</v>
      </c>
      <c r="K3000" s="9" t="s">
        <v>21161</v>
      </c>
      <c r="L3000" s="8" t="s">
        <v>21162</v>
      </c>
      <c r="M3000" s="9" t="s">
        <v>49</v>
      </c>
      <c r="N3000" s="9" t="s">
        <v>211</v>
      </c>
      <c r="O3000" s="9">
        <f>HYPERLINK("https://www.google.com/maps/search/?api=1&amp;query=36.63202055,-6.36694842", "https://www.google.com/maps/search/?api=1&amp;query=36.63202055,-6.36694842")</f>
      </c>
      <c r="P3000" s="9" t="s">
        <v>321</v>
      </c>
      <c r="Q3000" s="9" t="s">
        <v>21163</v>
      </c>
    </row>
    <row r="3001" spans="1:17" x14ac:dyDescent="0.25">
      <c r="A3001" s="8" t="s">
        <v>21164</v>
      </c>
      <c r="B3001" s="8" t="s">
        <v>21165</v>
      </c>
      <c r="C3001" s="9" t="s">
        <v>21166</v>
      </c>
      <c r="D3001" s="9" t="s">
        <v>197</v>
      </c>
      <c r="E3001" s="9" t="s">
        <v>21167</v>
      </c>
      <c r="F3001" s="10">
        <v>1.514</v>
      </c>
      <c r="G3001" s="10">
        <v>1.665</v>
      </c>
      <c r="H3001" s="10"/>
      <c r="I3001" s="9" t="s">
        <v>168</v>
      </c>
      <c r="J3001" s="9" t="s">
        <v>21168</v>
      </c>
      <c r="K3001" s="9" t="s">
        <v>21169</v>
      </c>
      <c r="L3001" s="8" t="s">
        <v>21170</v>
      </c>
      <c r="M3001" s="9" t="s">
        <v>49</v>
      </c>
      <c r="N3001" s="9" t="s">
        <v>21171</v>
      </c>
      <c r="O3001" s="9">
        <f>HYPERLINK("https://www.google.com/maps/search/?api=1&amp;query=39.53041291,-3.07625125", "https://www.google.com/maps/search/?api=1&amp;query=39.53041291,-3.07625125")</f>
      </c>
      <c r="P3001" s="9" t="s">
        <v>20468</v>
      </c>
      <c r="Q3001" s="9" t="s">
        <v>15683</v>
      </c>
    </row>
    <row r="3002" spans="1:17" x14ac:dyDescent="0.25">
      <c r="A3002" s="8" t="s">
        <v>21172</v>
      </c>
      <c r="B3002" s="8" t="s">
        <v>21173</v>
      </c>
      <c r="C3002" s="9" t="s">
        <v>21174</v>
      </c>
      <c r="D3002" s="9" t="s">
        <v>30</v>
      </c>
      <c r="E3002" s="9" t="s">
        <v>16967</v>
      </c>
      <c r="F3002" s="10">
        <v>1.514</v>
      </c>
      <c r="G3002" s="10">
        <v>1.665</v>
      </c>
      <c r="H3002" s="10"/>
      <c r="I3002" s="9" t="s">
        <v>32</v>
      </c>
      <c r="J3002" s="9" t="s">
        <v>21175</v>
      </c>
      <c r="K3002" s="9" t="s">
        <v>21176</v>
      </c>
      <c r="L3002" s="8" t="s">
        <v>16970</v>
      </c>
      <c r="M3002" s="9" t="s">
        <v>100</v>
      </c>
      <c r="N3002" s="9" t="s">
        <v>12552</v>
      </c>
      <c r="O3002" s="9">
        <f>HYPERLINK("https://www.google.com/maps/search/?api=1&amp;query=38.67698775,-6.39380912", "https://www.google.com/maps/search/?api=1&amp;query=38.67698775,-6.39380912")</f>
      </c>
      <c r="P3002" s="9" t="s">
        <v>646</v>
      </c>
      <c r="Q3002" s="9" t="s">
        <v>1534</v>
      </c>
    </row>
    <row r="3003" spans="1:17" x14ac:dyDescent="0.25">
      <c r="A3003" s="8" t="s">
        <v>21177</v>
      </c>
      <c r="B3003" s="8" t="s">
        <v>21178</v>
      </c>
      <c r="C3003" s="9" t="s">
        <v>21179</v>
      </c>
      <c r="D3003" s="9" t="s">
        <v>398</v>
      </c>
      <c r="E3003" s="9" t="s">
        <v>9185</v>
      </c>
      <c r="F3003" s="10">
        <v>1.514</v>
      </c>
      <c r="G3003" s="10">
        <v>1.665</v>
      </c>
      <c r="H3003" s="10"/>
      <c r="I3003" s="9" t="s">
        <v>400</v>
      </c>
      <c r="J3003" s="9" t="s">
        <v>21180</v>
      </c>
      <c r="K3003" s="9" t="s">
        <v>21181</v>
      </c>
      <c r="L3003" s="8" t="s">
        <v>9188</v>
      </c>
      <c r="M3003" s="9" t="s">
        <v>49</v>
      </c>
      <c r="N3003" s="9" t="s">
        <v>21182</v>
      </c>
      <c r="O3003" s="9">
        <f>HYPERLINK("https://www.google.com/maps/search/?api=1&amp;query=38.729028,-0.93823927", "https://www.google.com/maps/search/?api=1&amp;query=38.729028,-0.93823927")</f>
      </c>
      <c r="P3003" s="9" t="s">
        <v>1250</v>
      </c>
      <c r="Q3003" s="9" t="s">
        <v>21183</v>
      </c>
    </row>
    <row r="3004" spans="1:17" x14ac:dyDescent="0.25">
      <c r="A3004" s="8" t="s">
        <v>21184</v>
      </c>
      <c r="B3004" s="8" t="s">
        <v>21185</v>
      </c>
      <c r="C3004" s="9" t="s">
        <v>21186</v>
      </c>
      <c r="D3004" s="9" t="s">
        <v>577</v>
      </c>
      <c r="E3004" s="9" t="s">
        <v>13913</v>
      </c>
      <c r="F3004" s="10">
        <v>1.514</v>
      </c>
      <c r="G3004" s="10">
        <v>1.665</v>
      </c>
      <c r="H3004" s="10"/>
      <c r="I3004" s="9" t="s">
        <v>74</v>
      </c>
      <c r="J3004" s="9" t="s">
        <v>21187</v>
      </c>
      <c r="K3004" s="9" t="s">
        <v>21188</v>
      </c>
      <c r="L3004" s="8" t="s">
        <v>13916</v>
      </c>
      <c r="M3004" s="9" t="s">
        <v>36</v>
      </c>
      <c r="N3004" s="9" t="s">
        <v>5186</v>
      </c>
      <c r="O3004" s="9">
        <f>HYPERLINK("https://www.google.com/maps/search/?api=1&amp;query=40.46607379,-5.32686192", "https://www.google.com/maps/search/?api=1&amp;query=40.46607379,-5.32686192")</f>
      </c>
      <c r="P3004" s="9" t="s">
        <v>1803</v>
      </c>
      <c r="Q3004" s="9" t="s">
        <v>1131</v>
      </c>
    </row>
    <row r="3005" spans="1:17" x14ac:dyDescent="0.25">
      <c r="A3005" s="8" t="s">
        <v>21189</v>
      </c>
      <c r="B3005" s="8" t="s">
        <v>21190</v>
      </c>
      <c r="C3005" s="9" t="s">
        <v>21191</v>
      </c>
      <c r="D3005" s="9" t="s">
        <v>1617</v>
      </c>
      <c r="E3005" s="9" t="s">
        <v>21192</v>
      </c>
      <c r="F3005" s="10">
        <v>1.514</v>
      </c>
      <c r="G3005" s="10">
        <v>1.665</v>
      </c>
      <c r="H3005" s="10"/>
      <c r="I3005" s="9" t="s">
        <v>292</v>
      </c>
      <c r="J3005" s="9" t="s">
        <v>21193</v>
      </c>
      <c r="K3005" s="9" t="s">
        <v>21194</v>
      </c>
      <c r="L3005" s="8" t="s">
        <v>21195</v>
      </c>
      <c r="M3005" s="9" t="s">
        <v>49</v>
      </c>
      <c r="N3005" s="9" t="s">
        <v>1130</v>
      </c>
      <c r="O3005" s="9">
        <f>HYPERLINK("https://www.google.com/maps/search/?api=1&amp;query=42.63023543,-0.3268936", "https://www.google.com/maps/search/?api=1&amp;query=42.63023543,-0.3268936")</f>
      </c>
      <c r="P3005" s="9" t="s">
        <v>2158</v>
      </c>
      <c r="Q3005" s="9" t="s">
        <v>18053</v>
      </c>
    </row>
    <row r="3006" spans="1:17" x14ac:dyDescent="0.25">
      <c r="A3006" s="8" t="s">
        <v>21196</v>
      </c>
      <c r="B3006" s="8" t="s">
        <v>21197</v>
      </c>
      <c r="C3006" s="9" t="s">
        <v>21198</v>
      </c>
      <c r="D3006" s="9" t="s">
        <v>1192</v>
      </c>
      <c r="E3006" s="9" t="s">
        <v>21199</v>
      </c>
      <c r="F3006" s="10">
        <v>1.514</v>
      </c>
      <c r="G3006" s="10">
        <v>1.665</v>
      </c>
      <c r="H3006" s="10"/>
      <c r="I3006" s="9" t="s">
        <v>168</v>
      </c>
      <c r="J3006" s="9" t="s">
        <v>21200</v>
      </c>
      <c r="K3006" s="9" t="s">
        <v>21201</v>
      </c>
      <c r="L3006" s="8" t="s">
        <v>21202</v>
      </c>
      <c r="M3006" s="9" t="s">
        <v>36</v>
      </c>
      <c r="N3006" s="9" t="s">
        <v>21203</v>
      </c>
      <c r="O3006" s="9">
        <f>HYPERLINK("https://www.google.com/maps/search/?api=1&amp;query=38.97823927,-2.88299763", "https://www.google.com/maps/search/?api=1&amp;query=38.97823927,-2.88299763")</f>
      </c>
      <c r="P3006" s="9" t="s">
        <v>2158</v>
      </c>
      <c r="Q3006" s="9" t="s">
        <v>21204</v>
      </c>
    </row>
    <row r="3007" spans="1:17" x14ac:dyDescent="0.25">
      <c r="A3007" s="8" t="s">
        <v>21205</v>
      </c>
      <c r="B3007" s="8" t="s">
        <v>21206</v>
      </c>
      <c r="C3007" s="9" t="s">
        <v>21207</v>
      </c>
      <c r="D3007" s="9" t="s">
        <v>138</v>
      </c>
      <c r="E3007" s="9" t="s">
        <v>2163</v>
      </c>
      <c r="F3007" s="10">
        <v>1.514</v>
      </c>
      <c r="G3007" s="10">
        <v>1.665</v>
      </c>
      <c r="H3007" s="10"/>
      <c r="I3007" s="9" t="s">
        <v>140</v>
      </c>
      <c r="J3007" s="9" t="s">
        <v>21208</v>
      </c>
      <c r="K3007" s="9" t="s">
        <v>21209</v>
      </c>
      <c r="L3007" s="8" t="s">
        <v>5068</v>
      </c>
      <c r="M3007" s="9" t="s">
        <v>36</v>
      </c>
      <c r="N3007" s="9" t="s">
        <v>211</v>
      </c>
      <c r="O3007" s="9">
        <f>HYPERLINK("https://www.google.com/maps/search/?api=1&amp;query=42.20393127,-8.76145969", "https://www.google.com/maps/search/?api=1&amp;query=42.20393127,-8.76145969")</f>
      </c>
      <c r="P3007" s="9" t="s">
        <v>813</v>
      </c>
      <c r="Q3007" s="9" t="s">
        <v>21210</v>
      </c>
    </row>
    <row r="3008" spans="1:17" x14ac:dyDescent="0.25">
      <c r="A3008" s="8" t="s">
        <v>21211</v>
      </c>
      <c r="B3008" s="8" t="s">
        <v>21212</v>
      </c>
      <c r="C3008" s="9" t="s">
        <v>21213</v>
      </c>
      <c r="D3008" s="9" t="s">
        <v>344</v>
      </c>
      <c r="E3008" s="9" t="s">
        <v>21214</v>
      </c>
      <c r="F3008" s="10">
        <v>1.59</v>
      </c>
      <c r="G3008" s="10">
        <v>1.749</v>
      </c>
      <c r="H3008" s="10"/>
      <c r="I3008" s="9" t="s">
        <v>140</v>
      </c>
      <c r="J3008" s="9" t="s">
        <v>21215</v>
      </c>
      <c r="K3008" s="9" t="s">
        <v>21216</v>
      </c>
      <c r="L3008" s="8" t="s">
        <v>4228</v>
      </c>
      <c r="M3008" s="9" t="s">
        <v>36</v>
      </c>
      <c r="N3008" s="9" t="s">
        <v>211</v>
      </c>
      <c r="O3008" s="9">
        <f>HYPERLINK("https://www.google.com/maps/search/?api=1&amp;query=43.22590082,-8.19062471", "https://www.google.com/maps/search/?api=1&amp;query=43.22590082,-8.19062471")</f>
      </c>
      <c r="P3008" s="9" t="s">
        <v>12495</v>
      </c>
      <c r="Q3008" s="9" t="s">
        <v>7200</v>
      </c>
    </row>
    <row r="3009" spans="1:17" x14ac:dyDescent="0.25">
      <c r="A3009" s="8" t="s">
        <v>21217</v>
      </c>
      <c r="B3009" s="8" t="s">
        <v>21218</v>
      </c>
      <c r="C3009" s="9" t="s">
        <v>21219</v>
      </c>
      <c r="D3009" s="9" t="s">
        <v>1560</v>
      </c>
      <c r="E3009" s="9" t="s">
        <v>21220</v>
      </c>
      <c r="F3009" s="10">
        <v>1.814</v>
      </c>
      <c r="G3009" s="10">
        <v>1.995</v>
      </c>
      <c r="H3009" s="10"/>
      <c r="I3009" s="9" t="s">
        <v>400</v>
      </c>
      <c r="J3009" s="9" t="s">
        <v>21221</v>
      </c>
      <c r="K3009" s="9" t="s">
        <v>21222</v>
      </c>
      <c r="L3009" s="8" t="s">
        <v>9342</v>
      </c>
      <c r="M3009" s="9" t="s">
        <v>49</v>
      </c>
      <c r="N3009" s="9" t="s">
        <v>37</v>
      </c>
      <c r="O3009" s="9">
        <f>HYPERLINK("https://www.google.com/maps/search/?api=1&amp;query=40.29450409,-0.28969248", "https://www.google.com/maps/search/?api=1&amp;query=40.29450409,-0.28969248")</f>
      </c>
      <c r="P3009" s="9"/>
      <c r="Q3009" s="9"/>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Oferta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2026-05-11T10:16:25Z</dcterms:created>
  <dcterms:modified xsi:type="dcterms:W3CDTF">2026-05-11T10:16:25Z</dcterms:modified>
</cp:coreProperties>
</file>